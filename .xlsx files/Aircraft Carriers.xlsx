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<sst xmlns="http://schemas.openxmlformats.org/spreadsheetml/2006/main" count="61" uniqueCount="45">
  <si>
    <t>Name</t>
  </si>
  <si>
    <t>Current</t>
  </si>
  <si>
    <t>Construction</t>
  </si>
  <si>
    <t>Total</t>
  </si>
  <si>
    <t>Column 5</t>
  </si>
  <si>
    <t>Column 6</t>
  </si>
  <si>
    <t>Raledria</t>
  </si>
  <si>
    <t>Dahe</t>
  </si>
  <si>
    <t>Emara</t>
  </si>
  <si>
    <t>Pelugrotoa</t>
  </si>
  <si>
    <t>Estijan</t>
  </si>
  <si>
    <t>Etirha</t>
  </si>
  <si>
    <t>Verste</t>
  </si>
  <si>
    <t>Ztesh</t>
  </si>
  <si>
    <t>Areoix Lie</t>
  </si>
  <si>
    <t>Easuhura</t>
  </si>
  <si>
    <t>Sunsokua</t>
  </si>
  <si>
    <t>Ashain</t>
  </si>
  <si>
    <t>Seytinemas</t>
  </si>
  <si>
    <t>Taval</t>
  </si>
  <si>
    <t>United Delet</t>
  </si>
  <si>
    <t>0-20 OLD</t>
  </si>
  <si>
    <t>0-20 NEW</t>
  </si>
  <si>
    <t>20-40 OLD</t>
  </si>
  <si>
    <t>20-40 NEW</t>
  </si>
  <si>
    <t>40-60 OLD</t>
  </si>
  <si>
    <t>40-60 NEW</t>
  </si>
  <si>
    <t>60-80 OLD</t>
  </si>
  <si>
    <t>60-80 NEW</t>
  </si>
  <si>
    <t>80-100 OLD</t>
  </si>
  <si>
    <t>80-100 NEW</t>
  </si>
  <si>
    <t>TOTAL</t>
  </si>
  <si>
    <t>Column 13</t>
  </si>
  <si>
    <t>In development</t>
  </si>
  <si>
    <t>Total Total</t>
  </si>
  <si>
    <t>notes</t>
  </si>
  <si>
    <t>Nuclear</t>
  </si>
  <si>
    <t>Helicopter</t>
  </si>
  <si>
    <t>65 percent of the budget goes to them anyways</t>
  </si>
  <si>
    <t>doing the late cold war soviet thing</t>
  </si>
  <si>
    <t>procurement was a hellfuck nightmare for everything</t>
  </si>
  <si>
    <t>they be doing them bankrupt builds these days huh</t>
  </si>
  <si>
    <t>saudis doing their thing</t>
  </si>
  <si>
    <t>bought their old shit from the og dictator, decided that they should get a new one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</si>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</sst>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b/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b/>
      <color rgb="FF434343"/>
      <name val="Roboto"/>
    </font>
    <font>
      <i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2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shrinkToFit="0" vertical="center" wrapText="0"/>
    </xf>
    <xf borderId="0" fillId="2" fontId="2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6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6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/>
    </xf>
    <xf borderId="0" fillId="3" fontId="6" numFmtId="0" xfId="0" applyAlignment="1" applyFont="1">
      <alignment shrinkToFit="0" vertical="center" wrapText="0"/>
    </xf>
    <xf borderId="0" fillId="2" fontId="6" numFmtId="49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3" fontId="2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horizontal="center" shrinkToFit="0" vertical="bottom" wrapText="0"/>
    </xf>
    <xf borderId="3" fillId="3" fontId="2" numFmtId="0" xfId="0" applyAlignment="1" applyBorder="1" applyFont="1">
      <alignment horizontal="center" shrinkToFit="0" vertical="bottom" wrapText="0"/>
    </xf>
    <xf borderId="0" fillId="3" fontId="2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" displayName="Table1" name="Table1" id="1">
  <tableColumns count="6">
    <tableColumn name="Name" id="1"/>
    <tableColumn name="Current" id="2"/>
    <tableColumn name="Construction" id="3"/>
    <tableColumn name="Total" id="4"/>
    <tableColumn name="Column 5" id="5"/>
    <tableColumn name="Column 6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M17" displayName="Long_Tonnes" name="Long_Tonnes" id="2">
  <tableColumns count="13">
    <tableColumn name="Name" id="1"/>
    <tableColumn name="0-20 OLD" id="2"/>
    <tableColumn name="0-20 NEW" id="3"/>
    <tableColumn name="20-40 OLD" id="4"/>
    <tableColumn name="20-40 NEW" id="5"/>
    <tableColumn name="40-60 OLD" id="6"/>
    <tableColumn name="40-60 NEW" id="7"/>
    <tableColumn name="60-80 OLD" id="8"/>
    <tableColumn name="60-80 NEW" id="9"/>
    <tableColumn name="80-100 OLD" id="10"/>
    <tableColumn name="80-100 NEW" id="11"/>
    <tableColumn name="TOTAL" id="12"/>
    <tableColumn name="Column 13" id="13"/>
  </tableColumns>
  <tableStyleInfo name="Copy of 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5.5"/>
    <col customWidth="1" min="3" max="3" width="13.63"/>
    <col customWidth="1" min="4" max="4" width="12.25"/>
    <col customWidth="1" min="5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>
        <v>12.0</v>
      </c>
      <c r="C2" s="3">
        <v>1.0</v>
      </c>
      <c r="D2" s="4">
        <f t="shared" ref="D2:D16" si="1">SUM(B2:C2)</f>
        <v>13</v>
      </c>
      <c r="E2" s="4"/>
      <c r="F2" s="4"/>
    </row>
    <row r="3" ht="22.5" customHeight="1">
      <c r="A3" s="5" t="s">
        <v>7</v>
      </c>
      <c r="B3" s="3">
        <v>9.0</v>
      </c>
      <c r="C3" s="3">
        <v>2.0</v>
      </c>
      <c r="D3" s="4">
        <f t="shared" si="1"/>
        <v>11</v>
      </c>
      <c r="E3" s="4"/>
      <c r="F3" s="4"/>
    </row>
    <row r="4" ht="22.5" customHeight="1">
      <c r="A4" s="6" t="s">
        <v>8</v>
      </c>
      <c r="B4" s="3">
        <v>4.0</v>
      </c>
      <c r="C4" s="3">
        <v>2.0</v>
      </c>
      <c r="D4" s="4">
        <f t="shared" si="1"/>
        <v>6</v>
      </c>
      <c r="E4" s="4"/>
      <c r="F4" s="4"/>
    </row>
    <row r="5" ht="22.5" customHeight="1">
      <c r="A5" s="7" t="s">
        <v>9</v>
      </c>
      <c r="B5" s="3">
        <v>2.0</v>
      </c>
      <c r="C5" s="3">
        <v>4.0</v>
      </c>
      <c r="D5" s="4">
        <f t="shared" si="1"/>
        <v>6</v>
      </c>
      <c r="E5" s="4"/>
      <c r="F5" s="4"/>
    </row>
    <row r="6" ht="22.5" customHeight="1">
      <c r="A6" s="7" t="s">
        <v>10</v>
      </c>
      <c r="B6" s="3">
        <v>2.0</v>
      </c>
      <c r="C6" s="3">
        <v>0.0</v>
      </c>
      <c r="D6" s="4">
        <f t="shared" si="1"/>
        <v>2</v>
      </c>
      <c r="E6" s="4"/>
      <c r="F6" s="4"/>
    </row>
    <row r="7" ht="22.5" customHeight="1">
      <c r="A7" s="6" t="s">
        <v>11</v>
      </c>
      <c r="B7" s="3">
        <v>2.0</v>
      </c>
      <c r="C7" s="3">
        <v>0.0</v>
      </c>
      <c r="D7" s="4">
        <f t="shared" si="1"/>
        <v>2</v>
      </c>
      <c r="E7" s="4"/>
      <c r="F7" s="4"/>
    </row>
    <row r="8" ht="22.5" customHeight="1">
      <c r="A8" s="8" t="s">
        <v>12</v>
      </c>
      <c r="B8" s="8">
        <v>2.0</v>
      </c>
      <c r="C8" s="3">
        <v>0.0</v>
      </c>
      <c r="D8" s="4">
        <f t="shared" si="1"/>
        <v>2</v>
      </c>
      <c r="E8" s="4"/>
      <c r="F8" s="4"/>
    </row>
    <row r="9" ht="22.5" customHeight="1">
      <c r="A9" s="6" t="s">
        <v>13</v>
      </c>
      <c r="B9" s="3">
        <v>2.0</v>
      </c>
      <c r="C9" s="3">
        <v>0.0</v>
      </c>
      <c r="D9" s="4">
        <f t="shared" si="1"/>
        <v>2</v>
      </c>
      <c r="E9" s="4"/>
      <c r="F9" s="4"/>
    </row>
    <row r="10" ht="22.5" customHeight="1">
      <c r="A10" s="6" t="s">
        <v>14</v>
      </c>
      <c r="B10" s="3">
        <v>1.0</v>
      </c>
      <c r="C10" s="3">
        <v>3.0</v>
      </c>
      <c r="D10" s="4">
        <f t="shared" si="1"/>
        <v>4</v>
      </c>
      <c r="E10" s="4"/>
      <c r="F10" s="4"/>
    </row>
    <row r="11" ht="22.5" customHeight="1">
      <c r="A11" s="3" t="s">
        <v>15</v>
      </c>
      <c r="B11" s="3">
        <v>1.0</v>
      </c>
      <c r="C11" s="3">
        <v>1.0</v>
      </c>
      <c r="D11" s="4">
        <f t="shared" si="1"/>
        <v>2</v>
      </c>
      <c r="E11" s="4"/>
      <c r="F11" s="4"/>
    </row>
    <row r="12" ht="22.5" customHeight="1">
      <c r="A12" s="2" t="s">
        <v>16</v>
      </c>
      <c r="B12" s="3">
        <v>1.0</v>
      </c>
      <c r="C12" s="3">
        <v>1.0</v>
      </c>
      <c r="D12" s="4">
        <f t="shared" si="1"/>
        <v>2</v>
      </c>
      <c r="E12" s="4"/>
      <c r="F12" s="4"/>
    </row>
    <row r="13" ht="22.5" customHeight="1">
      <c r="A13" s="3" t="s">
        <v>17</v>
      </c>
      <c r="B13" s="3">
        <v>1.0</v>
      </c>
      <c r="C13" s="3">
        <v>0.0</v>
      </c>
      <c r="D13" s="4">
        <f t="shared" si="1"/>
        <v>1</v>
      </c>
      <c r="E13" s="4"/>
      <c r="F13" s="4"/>
    </row>
    <row r="14" ht="22.5" customHeight="1">
      <c r="A14" s="3" t="s">
        <v>18</v>
      </c>
      <c r="B14" s="3">
        <v>1.0</v>
      </c>
      <c r="C14" s="3">
        <v>0.0</v>
      </c>
      <c r="D14" s="4">
        <f t="shared" si="1"/>
        <v>1</v>
      </c>
      <c r="E14" s="4"/>
      <c r="F14" s="4"/>
    </row>
    <row r="15" ht="22.5" customHeight="1">
      <c r="A15" s="3" t="s">
        <v>19</v>
      </c>
      <c r="B15" s="3">
        <v>1.0</v>
      </c>
      <c r="C15" s="3">
        <v>0.0</v>
      </c>
      <c r="D15" s="4">
        <f t="shared" si="1"/>
        <v>1</v>
      </c>
      <c r="E15" s="4"/>
      <c r="F15" s="4"/>
    </row>
    <row r="16" ht="22.5" customHeight="1">
      <c r="A16" s="3" t="s">
        <v>20</v>
      </c>
      <c r="B16" s="3">
        <v>1.0</v>
      </c>
      <c r="C16" s="3">
        <v>0.0</v>
      </c>
      <c r="D16" s="4">
        <f t="shared" si="1"/>
        <v>1</v>
      </c>
      <c r="E16" s="4"/>
      <c r="F16" s="4"/>
    </row>
    <row r="17" ht="22.5" customHeight="1">
      <c r="A17" s="4"/>
      <c r="B17" s="4"/>
      <c r="C17" s="4"/>
      <c r="D17" s="4"/>
      <c r="E17" s="4"/>
      <c r="F17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0.25"/>
    <col customWidth="1" min="3" max="5" width="9.75"/>
    <col customWidth="1" min="6" max="7" width="10.25"/>
    <col customWidth="1" min="8" max="8" width="10.0"/>
    <col customWidth="1" min="9" max="9" width="10.13"/>
    <col customWidth="1" min="10" max="11" width="11.38"/>
    <col customWidth="1" min="12" max="13" width="10.38"/>
    <col customWidth="1" min="14" max="14" width="8.38"/>
    <col customWidth="1" min="15" max="15" width="9.63"/>
    <col customWidth="1" min="16" max="16" width="9.5"/>
    <col customWidth="1" min="18" max="18" width="12.13"/>
  </cols>
  <sheetData>
    <row r="1" ht="22.5" customHeight="1">
      <c r="A1" s="1" t="s">
        <v>0</v>
      </c>
      <c r="B1" s="9" t="s">
        <v>21</v>
      </c>
      <c r="C1" s="10" t="s">
        <v>22</v>
      </c>
      <c r="D1" s="11" t="s">
        <v>23</v>
      </c>
      <c r="E1" s="12" t="s">
        <v>24</v>
      </c>
      <c r="F1" s="9" t="s">
        <v>25</v>
      </c>
      <c r="G1" s="10" t="s">
        <v>26</v>
      </c>
      <c r="H1" s="11" t="s">
        <v>27</v>
      </c>
      <c r="I1" s="12" t="s">
        <v>28</v>
      </c>
      <c r="J1" s="9" t="s">
        <v>29</v>
      </c>
      <c r="K1" s="10" t="s">
        <v>30</v>
      </c>
      <c r="L1" s="11" t="s">
        <v>31</v>
      </c>
      <c r="M1" s="11" t="s">
        <v>32</v>
      </c>
      <c r="N1" s="13" t="s">
        <v>33</v>
      </c>
      <c r="O1" s="14" t="s">
        <v>34</v>
      </c>
      <c r="Q1" s="14" t="s">
        <v>35</v>
      </c>
    </row>
    <row r="2" ht="22.5" customHeight="1">
      <c r="A2" s="15" t="s">
        <v>7</v>
      </c>
      <c r="B2" s="16">
        <v>0.0</v>
      </c>
      <c r="C2" s="16">
        <v>0.0</v>
      </c>
      <c r="D2" s="16">
        <v>0.0</v>
      </c>
      <c r="E2" s="16">
        <v>0.0</v>
      </c>
      <c r="F2" s="17">
        <v>7.0</v>
      </c>
      <c r="G2" s="18">
        <v>2.0</v>
      </c>
      <c r="H2" s="16">
        <v>0.0</v>
      </c>
      <c r="I2" s="16">
        <v>0.0</v>
      </c>
      <c r="J2" s="19">
        <v>7.0</v>
      </c>
      <c r="K2" s="19">
        <v>3.0</v>
      </c>
      <c r="L2" s="20">
        <f t="shared" ref="L2:L17" si="1">SUM(B2:K2)</f>
        <v>19</v>
      </c>
      <c r="M2" s="20">
        <f t="shared" ref="M2:M17" si="2">SUM(L2*42)</f>
        <v>798</v>
      </c>
      <c r="N2" s="13">
        <v>7.0</v>
      </c>
      <c r="O2" s="14">
        <f t="shared" ref="O2:O16" si="3">SUM(L2+N2)</f>
        <v>26</v>
      </c>
      <c r="P2" s="14" t="s">
        <v>36</v>
      </c>
    </row>
    <row r="3" ht="22.5" customHeight="1">
      <c r="A3" s="21" t="s">
        <v>6</v>
      </c>
      <c r="B3" s="16">
        <v>0.0</v>
      </c>
      <c r="C3" s="16">
        <v>0.0</v>
      </c>
      <c r="D3" s="16">
        <v>0.0</v>
      </c>
      <c r="E3" s="16">
        <v>0.0</v>
      </c>
      <c r="F3" s="17">
        <v>4.0</v>
      </c>
      <c r="G3" s="17">
        <v>5.0</v>
      </c>
      <c r="H3" s="19">
        <v>3.0</v>
      </c>
      <c r="I3" s="22">
        <v>0.0</v>
      </c>
      <c r="J3" s="16">
        <v>0.0</v>
      </c>
      <c r="K3" s="19">
        <v>4.0</v>
      </c>
      <c r="L3" s="20">
        <f t="shared" si="1"/>
        <v>16</v>
      </c>
      <c r="M3" s="20">
        <f t="shared" si="2"/>
        <v>672</v>
      </c>
      <c r="N3" s="13">
        <v>6.0</v>
      </c>
      <c r="O3" s="14">
        <f t="shared" si="3"/>
        <v>22</v>
      </c>
      <c r="P3" s="23" t="s">
        <v>37</v>
      </c>
      <c r="Q3" s="13" t="s">
        <v>38</v>
      </c>
    </row>
    <row r="4" ht="22.5" customHeight="1">
      <c r="A4" s="24" t="s">
        <v>14</v>
      </c>
      <c r="B4" s="17">
        <v>1.0</v>
      </c>
      <c r="C4" s="16">
        <v>0.0</v>
      </c>
      <c r="D4" s="17">
        <v>1.0</v>
      </c>
      <c r="E4" s="17">
        <v>1.0</v>
      </c>
      <c r="F4" s="17">
        <v>1.0</v>
      </c>
      <c r="G4" s="17">
        <v>1.0</v>
      </c>
      <c r="H4" s="16">
        <v>2.0</v>
      </c>
      <c r="I4" s="16">
        <v>0.0</v>
      </c>
      <c r="J4" s="16">
        <v>0.0</v>
      </c>
      <c r="K4" s="19">
        <v>2.0</v>
      </c>
      <c r="L4" s="20">
        <f t="shared" si="1"/>
        <v>9</v>
      </c>
      <c r="M4" s="20">
        <f t="shared" si="2"/>
        <v>378</v>
      </c>
      <c r="N4" s="13">
        <v>6.0</v>
      </c>
      <c r="O4" s="14">
        <f t="shared" si="3"/>
        <v>15</v>
      </c>
    </row>
    <row r="5" ht="22.5" customHeight="1">
      <c r="A5" s="24" t="s">
        <v>8</v>
      </c>
      <c r="B5" s="16">
        <v>0.0</v>
      </c>
      <c r="C5" s="16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2.0</v>
      </c>
      <c r="I5" s="19">
        <v>2.0</v>
      </c>
      <c r="J5" s="16">
        <v>0.0</v>
      </c>
      <c r="K5" s="16">
        <v>0.0</v>
      </c>
      <c r="L5" s="20">
        <f t="shared" si="1"/>
        <v>4</v>
      </c>
      <c r="M5" s="20">
        <f t="shared" si="2"/>
        <v>168</v>
      </c>
      <c r="N5" s="13">
        <v>2.0</v>
      </c>
      <c r="O5" s="14">
        <f t="shared" si="3"/>
        <v>6</v>
      </c>
    </row>
    <row r="6" ht="22.5" customHeight="1">
      <c r="A6" s="21" t="s">
        <v>16</v>
      </c>
      <c r="B6" s="17">
        <v>1.0</v>
      </c>
      <c r="C6" s="16">
        <v>0.0</v>
      </c>
      <c r="D6" s="16">
        <v>0.0</v>
      </c>
      <c r="E6" s="17">
        <v>1.0</v>
      </c>
      <c r="F6" s="16">
        <v>1.0</v>
      </c>
      <c r="G6" s="16">
        <v>1.0</v>
      </c>
      <c r="H6" s="16">
        <v>0.0</v>
      </c>
      <c r="I6" s="16">
        <v>0.0</v>
      </c>
      <c r="J6" s="16">
        <v>0.0</v>
      </c>
      <c r="K6" s="16">
        <v>0.0</v>
      </c>
      <c r="L6" s="20">
        <f t="shared" si="1"/>
        <v>4</v>
      </c>
      <c r="M6" s="20">
        <f t="shared" si="2"/>
        <v>168</v>
      </c>
      <c r="N6" s="13">
        <v>2.0</v>
      </c>
      <c r="O6" s="14">
        <f t="shared" si="3"/>
        <v>6</v>
      </c>
    </row>
    <row r="7" ht="22.5" customHeight="1">
      <c r="A7" s="25" t="s">
        <v>9</v>
      </c>
      <c r="B7" s="16">
        <v>0.0</v>
      </c>
      <c r="C7" s="16">
        <v>0.0</v>
      </c>
      <c r="D7" s="16">
        <v>0.0</v>
      </c>
      <c r="E7" s="17">
        <v>1.0</v>
      </c>
      <c r="F7" s="16">
        <v>0.0</v>
      </c>
      <c r="G7" s="17">
        <v>1.0</v>
      </c>
      <c r="H7" s="16">
        <v>0.0</v>
      </c>
      <c r="I7" s="16">
        <v>0.0</v>
      </c>
      <c r="J7" s="16">
        <v>0.0</v>
      </c>
      <c r="K7" s="16">
        <v>0.0</v>
      </c>
      <c r="L7" s="20">
        <f t="shared" si="1"/>
        <v>2</v>
      </c>
      <c r="M7" s="20">
        <f t="shared" si="2"/>
        <v>84</v>
      </c>
      <c r="N7" s="13">
        <v>2.0</v>
      </c>
      <c r="O7" s="14">
        <f t="shared" si="3"/>
        <v>4</v>
      </c>
      <c r="Q7" s="13" t="s">
        <v>39</v>
      </c>
    </row>
    <row r="8" ht="22.5" customHeight="1">
      <c r="A8" s="25" t="s">
        <v>10</v>
      </c>
      <c r="B8" s="16">
        <v>0.0</v>
      </c>
      <c r="C8" s="16">
        <v>0.0</v>
      </c>
      <c r="D8" s="16">
        <v>0.0</v>
      </c>
      <c r="E8" s="16">
        <v>0.0</v>
      </c>
      <c r="F8" s="16">
        <v>0.0</v>
      </c>
      <c r="G8" s="16">
        <v>0.0</v>
      </c>
      <c r="H8" s="16">
        <v>2.0</v>
      </c>
      <c r="I8" s="16">
        <v>0.0</v>
      </c>
      <c r="J8" s="16">
        <v>0.0</v>
      </c>
      <c r="K8" s="16">
        <v>0.0</v>
      </c>
      <c r="L8" s="20">
        <f t="shared" si="1"/>
        <v>2</v>
      </c>
      <c r="M8" s="20">
        <f t="shared" si="2"/>
        <v>84</v>
      </c>
      <c r="O8" s="14">
        <f t="shared" si="3"/>
        <v>2</v>
      </c>
    </row>
    <row r="9" ht="22.5" customHeight="1">
      <c r="A9" s="24" t="s">
        <v>11</v>
      </c>
      <c r="B9" s="16">
        <v>0.0</v>
      </c>
      <c r="C9" s="16">
        <v>0.0</v>
      </c>
      <c r="D9" s="16">
        <v>0.0</v>
      </c>
      <c r="E9" s="16">
        <v>0.0</v>
      </c>
      <c r="F9" s="16">
        <v>1.0</v>
      </c>
      <c r="G9" s="16">
        <v>0.0</v>
      </c>
      <c r="H9" s="16">
        <v>0.0</v>
      </c>
      <c r="I9" s="19">
        <v>1.0</v>
      </c>
      <c r="J9" s="16">
        <v>0.0</v>
      </c>
      <c r="K9" s="16">
        <v>0.0</v>
      </c>
      <c r="L9" s="20">
        <f t="shared" si="1"/>
        <v>2</v>
      </c>
      <c r="M9" s="20">
        <f t="shared" si="2"/>
        <v>84</v>
      </c>
      <c r="N9" s="13">
        <v>1.0</v>
      </c>
      <c r="O9" s="14">
        <f t="shared" si="3"/>
        <v>3</v>
      </c>
    </row>
    <row r="10" ht="22.5" customHeight="1">
      <c r="A10" s="24" t="s">
        <v>13</v>
      </c>
      <c r="B10" s="16">
        <v>0.0</v>
      </c>
      <c r="C10" s="16">
        <v>0.0</v>
      </c>
      <c r="D10" s="16">
        <v>0.0</v>
      </c>
      <c r="E10" s="16">
        <v>0.0</v>
      </c>
      <c r="F10" s="16">
        <v>0.0</v>
      </c>
      <c r="G10" s="16">
        <v>0.0</v>
      </c>
      <c r="H10" s="16">
        <v>0.0</v>
      </c>
      <c r="I10" s="16">
        <v>2.0</v>
      </c>
      <c r="J10" s="16">
        <v>0.0</v>
      </c>
      <c r="K10" s="16">
        <v>0.0</v>
      </c>
      <c r="L10" s="20">
        <f t="shared" si="1"/>
        <v>2</v>
      </c>
      <c r="M10" s="20">
        <f t="shared" si="2"/>
        <v>84</v>
      </c>
      <c r="N10" s="13">
        <v>2.0</v>
      </c>
      <c r="O10" s="14">
        <f t="shared" si="3"/>
        <v>4</v>
      </c>
      <c r="P10" s="14"/>
      <c r="Q10" s="13" t="s">
        <v>40</v>
      </c>
    </row>
    <row r="11" ht="22.5" customHeight="1">
      <c r="A11" s="26" t="s">
        <v>17</v>
      </c>
      <c r="B11" s="16">
        <v>0.0</v>
      </c>
      <c r="C11" s="16">
        <v>0.0</v>
      </c>
      <c r="D11" s="16">
        <v>0.0</v>
      </c>
      <c r="E11" s="16">
        <v>0.0</v>
      </c>
      <c r="F11" s="16">
        <v>0.0</v>
      </c>
      <c r="G11" s="16">
        <v>0.0</v>
      </c>
      <c r="H11" s="16">
        <v>0.0</v>
      </c>
      <c r="I11" s="19">
        <v>2.0</v>
      </c>
      <c r="J11" s="16">
        <v>0.0</v>
      </c>
      <c r="K11" s="16">
        <v>0.0</v>
      </c>
      <c r="L11" s="20">
        <f t="shared" si="1"/>
        <v>2</v>
      </c>
      <c r="M11" s="20">
        <f t="shared" si="2"/>
        <v>84</v>
      </c>
      <c r="O11" s="14">
        <f t="shared" si="3"/>
        <v>2</v>
      </c>
      <c r="Q11" s="13" t="s">
        <v>41</v>
      </c>
    </row>
    <row r="12" ht="22.5" customHeight="1">
      <c r="A12" s="27" t="s">
        <v>12</v>
      </c>
      <c r="B12" s="16">
        <v>0.0</v>
      </c>
      <c r="C12" s="16">
        <v>0.0</v>
      </c>
      <c r="D12" s="16">
        <v>0.0</v>
      </c>
      <c r="E12" s="16">
        <v>0.0</v>
      </c>
      <c r="F12" s="17">
        <v>1.0</v>
      </c>
      <c r="G12" s="16">
        <v>0.0</v>
      </c>
      <c r="H12" s="16">
        <v>0.0</v>
      </c>
      <c r="I12" s="16">
        <v>0.0</v>
      </c>
      <c r="J12" s="16">
        <v>0.0</v>
      </c>
      <c r="K12" s="16">
        <v>0.0</v>
      </c>
      <c r="L12" s="20">
        <f t="shared" si="1"/>
        <v>1</v>
      </c>
      <c r="M12" s="20">
        <f t="shared" si="2"/>
        <v>42</v>
      </c>
      <c r="N12" s="13">
        <v>2.0</v>
      </c>
      <c r="O12" s="14">
        <f t="shared" si="3"/>
        <v>3</v>
      </c>
      <c r="Q12" s="13" t="s">
        <v>42</v>
      </c>
    </row>
    <row r="13" ht="22.5" customHeight="1">
      <c r="A13" s="3" t="s">
        <v>15</v>
      </c>
      <c r="B13" s="16">
        <v>0.0</v>
      </c>
      <c r="C13" s="16">
        <v>0.0</v>
      </c>
      <c r="D13" s="16">
        <v>0.0</v>
      </c>
      <c r="E13" s="16">
        <v>0.0</v>
      </c>
      <c r="F13" s="17">
        <v>1.0</v>
      </c>
      <c r="G13" s="16">
        <v>0.0</v>
      </c>
      <c r="H13" s="16">
        <v>0.0</v>
      </c>
      <c r="I13" s="16">
        <v>0.0</v>
      </c>
      <c r="J13" s="16">
        <v>0.0</v>
      </c>
      <c r="K13" s="16">
        <v>0.0</v>
      </c>
      <c r="L13" s="20">
        <f t="shared" si="1"/>
        <v>1</v>
      </c>
      <c r="M13" s="20">
        <f t="shared" si="2"/>
        <v>42</v>
      </c>
      <c r="N13" s="13">
        <v>1.0</v>
      </c>
      <c r="O13" s="14">
        <f t="shared" si="3"/>
        <v>2</v>
      </c>
    </row>
    <row r="14" ht="22.5" customHeight="1">
      <c r="A14" s="3" t="s">
        <v>18</v>
      </c>
      <c r="B14" s="16">
        <v>0.0</v>
      </c>
      <c r="C14" s="16">
        <v>0.0</v>
      </c>
      <c r="D14" s="17">
        <v>1.0</v>
      </c>
      <c r="E14" s="16">
        <v>0.0</v>
      </c>
      <c r="F14" s="28">
        <v>0.0</v>
      </c>
      <c r="G14" s="16">
        <v>0.0</v>
      </c>
      <c r="H14" s="16">
        <v>0.0</v>
      </c>
      <c r="I14" s="16">
        <v>0.0</v>
      </c>
      <c r="J14" s="16">
        <v>0.0</v>
      </c>
      <c r="K14" s="16">
        <v>0.0</v>
      </c>
      <c r="L14" s="20">
        <f t="shared" si="1"/>
        <v>1</v>
      </c>
      <c r="M14" s="20">
        <f t="shared" si="2"/>
        <v>42</v>
      </c>
      <c r="N14" s="13">
        <v>1.0</v>
      </c>
      <c r="O14" s="14">
        <f t="shared" si="3"/>
        <v>2</v>
      </c>
    </row>
    <row r="15" ht="22.5" customHeight="1">
      <c r="A15" s="3" t="s">
        <v>19</v>
      </c>
      <c r="B15" s="17">
        <v>1.0</v>
      </c>
      <c r="C15" s="16">
        <v>0.0</v>
      </c>
      <c r="D15" s="28">
        <v>0.0</v>
      </c>
      <c r="E15" s="16">
        <v>0.0</v>
      </c>
      <c r="F15" s="16">
        <v>0.0</v>
      </c>
      <c r="G15" s="16">
        <v>0.0</v>
      </c>
      <c r="H15" s="16">
        <v>0.0</v>
      </c>
      <c r="I15" s="16">
        <v>0.0</v>
      </c>
      <c r="J15" s="16">
        <v>0.0</v>
      </c>
      <c r="K15" s="16">
        <v>0.0</v>
      </c>
      <c r="L15" s="20">
        <f t="shared" si="1"/>
        <v>1</v>
      </c>
      <c r="M15" s="20">
        <f t="shared" si="2"/>
        <v>42</v>
      </c>
      <c r="N15" s="13">
        <v>1.0</v>
      </c>
      <c r="O15" s="14">
        <f t="shared" si="3"/>
        <v>2</v>
      </c>
    </row>
    <row r="16" ht="21.0" customHeight="1">
      <c r="A16" s="3" t="s">
        <v>20</v>
      </c>
      <c r="B16" s="16">
        <v>0.0</v>
      </c>
      <c r="C16" s="16">
        <v>0.0</v>
      </c>
      <c r="D16" s="17">
        <v>1.0</v>
      </c>
      <c r="E16" s="16">
        <v>0.0</v>
      </c>
      <c r="F16" s="16">
        <v>0.0</v>
      </c>
      <c r="G16" s="16">
        <v>0.0</v>
      </c>
      <c r="H16" s="16">
        <v>0.0</v>
      </c>
      <c r="I16" s="16">
        <v>0.0</v>
      </c>
      <c r="J16" s="16">
        <v>0.0</v>
      </c>
      <c r="K16" s="16">
        <v>0.0</v>
      </c>
      <c r="L16" s="20">
        <f t="shared" si="1"/>
        <v>1</v>
      </c>
      <c r="M16" s="20">
        <f t="shared" si="2"/>
        <v>42</v>
      </c>
      <c r="N16" s="13">
        <v>1.0</v>
      </c>
      <c r="O16" s="14">
        <f t="shared" si="3"/>
        <v>2</v>
      </c>
      <c r="Q16" s="13" t="s">
        <v>43</v>
      </c>
    </row>
    <row r="17" ht="21.0" customHeight="1">
      <c r="A17" s="29" t="s">
        <v>44</v>
      </c>
      <c r="B17" s="30">
        <f t="shared" ref="B17:K17" si="4">SUM(B2:B16)</f>
        <v>3</v>
      </c>
      <c r="C17" s="30">
        <f t="shared" si="4"/>
        <v>0</v>
      </c>
      <c r="D17" s="30">
        <f t="shared" si="4"/>
        <v>3</v>
      </c>
      <c r="E17" s="30">
        <f t="shared" si="4"/>
        <v>3</v>
      </c>
      <c r="F17" s="30">
        <f t="shared" si="4"/>
        <v>16</v>
      </c>
      <c r="G17" s="30">
        <f t="shared" si="4"/>
        <v>10</v>
      </c>
      <c r="H17" s="30">
        <f t="shared" si="4"/>
        <v>9</v>
      </c>
      <c r="I17" s="30">
        <f t="shared" si="4"/>
        <v>7</v>
      </c>
      <c r="J17" s="30">
        <f t="shared" si="4"/>
        <v>7</v>
      </c>
      <c r="K17" s="30">
        <f t="shared" si="4"/>
        <v>9</v>
      </c>
      <c r="L17" s="31">
        <f t="shared" si="1"/>
        <v>67</v>
      </c>
      <c r="M17" s="32">
        <f t="shared" si="2"/>
        <v>2814</v>
      </c>
      <c r="N17" s="33">
        <f t="shared" ref="N17:O17" si="5">SUM(N2:N16)</f>
        <v>34</v>
      </c>
      <c r="O17" s="33">
        <f t="shared" si="5"/>
        <v>101</v>
      </c>
      <c r="R17" s="33"/>
    </row>
  </sheetData>
  <drawing r:id="rId1"/>
  <tableParts count="1">
    <tablePart r:id="rId3"/>
  </tableParts>
</worksheet>
</file>