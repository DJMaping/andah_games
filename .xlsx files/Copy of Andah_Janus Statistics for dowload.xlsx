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</sheets>
  <definedNames/>
  <calcPr/>
</workbook>
</file>

<file path=xl/sharedStrings.xml><?xml version="1.0" encoding="utf-8"?>
<sst xmlns="http://schemas.openxmlformats.org/spreadsheetml/2006/main" count="1234" uniqueCount="1046">
  <si>
    <t>Name</t>
  </si>
  <si>
    <t>Population</t>
  </si>
  <si>
    <t>Pronunciation</t>
  </si>
  <si>
    <t>IPA Use (https://ipa-reader.com/)</t>
  </si>
  <si>
    <t>Continent</t>
  </si>
  <si>
    <t>GDP (Nominal)</t>
  </si>
  <si>
    <t>Per (NOM)</t>
  </si>
  <si>
    <t>GDP (PPP)</t>
  </si>
  <si>
    <t>Per (PPP)</t>
  </si>
  <si>
    <t>Density</t>
  </si>
  <si>
    <t>Area (Km)</t>
  </si>
  <si>
    <t>Area (Mi)</t>
  </si>
  <si>
    <t>KTDI</t>
  </si>
  <si>
    <t>GDI</t>
  </si>
  <si>
    <t xml:space="preserve">Phone </t>
  </si>
  <si>
    <t>Domain</t>
  </si>
  <si>
    <t>Capital</t>
  </si>
  <si>
    <t>Demonym</t>
  </si>
  <si>
    <t>Military NOM</t>
  </si>
  <si>
    <t xml:space="preserve">Military NOM USD </t>
  </si>
  <si>
    <t>Military PPP</t>
  </si>
  <si>
    <t>Military PPP USD</t>
  </si>
  <si>
    <t>Per GDP</t>
  </si>
  <si>
    <t>Raledria</t>
  </si>
  <si>
    <t>rah-LED-ree-uh</t>
  </si>
  <si>
    <t>/ˌrɑːˈlɛd.ri.ə/</t>
  </si>
  <si>
    <t>Atirha</t>
  </si>
  <si>
    <t>.ral</t>
  </si>
  <si>
    <t>Tirna</t>
  </si>
  <si>
    <t>Raledrian</t>
  </si>
  <si>
    <t>Dahe</t>
  </si>
  <si>
    <t>dah-HAY</t>
  </si>
  <si>
    <t>/dɑːˈheɪ/</t>
  </si>
  <si>
    <t>Massir</t>
  </si>
  <si>
    <t>.dah</t>
  </si>
  <si>
    <t>Fekunza</t>
  </si>
  <si>
    <t>Dahen</t>
  </si>
  <si>
    <t>Pelugrotoa</t>
  </si>
  <si>
    <t>peh-LOO-groh-toh-uh</t>
  </si>
  <si>
    <t>/pɛˈluː.groʊ.toʊ.ə/</t>
  </si>
  <si>
    <t>Mahea</t>
  </si>
  <si>
    <t>.pel</t>
  </si>
  <si>
    <t>Thavrin</t>
  </si>
  <si>
    <t>Pelugrotoan</t>
  </si>
  <si>
    <t>Areoix Lie</t>
  </si>
  <si>
    <t>are-TOOR-lay</t>
  </si>
  <si>
    <t>/ɑːrˈtʊər.leɪ/</t>
  </si>
  <si>
    <t>Acrola</t>
  </si>
  <si>
    <t>.lie</t>
  </si>
  <si>
    <t>Vurahi</t>
  </si>
  <si>
    <t>Arten</t>
  </si>
  <si>
    <t>Estijan</t>
  </si>
  <si>
    <t>ESS-tee-jahn</t>
  </si>
  <si>
    <t>/ˈɛs.ti.dʒɑːn/</t>
  </si>
  <si>
    <t>Ayuma</t>
  </si>
  <si>
    <t>.est</t>
  </si>
  <si>
    <t>Shabiran</t>
  </si>
  <si>
    <t>Etirha</t>
  </si>
  <si>
    <t>EH-teer-hah</t>
  </si>
  <si>
    <t>/ˈɛ.tɪər.hɑː/</t>
  </si>
  <si>
    <t>.eti</t>
  </si>
  <si>
    <t>Albiran</t>
  </si>
  <si>
    <t>Etirhan</t>
  </si>
  <si>
    <t>Verusa</t>
  </si>
  <si>
    <t>VEH-roo-sah</t>
  </si>
  <si>
    <t>/ˈvɛr.uː.sɑː/</t>
  </si>
  <si>
    <t>.ver</t>
  </si>
  <si>
    <t>Huifarn</t>
  </si>
  <si>
    <t>Verusan</t>
  </si>
  <si>
    <t>Emara</t>
  </si>
  <si>
    <t>eh-MAH-rah</t>
  </si>
  <si>
    <t>/ɛˈmɑː.rə/</t>
  </si>
  <si>
    <t>.ema</t>
  </si>
  <si>
    <t>Rivostan</t>
  </si>
  <si>
    <t>Emaran</t>
  </si>
  <si>
    <t>Sunsokua</t>
  </si>
  <si>
    <t>sun-SOH-koo-ah</t>
  </si>
  <si>
    <t>/sʌnˈsoʊ.ku.ə/</t>
  </si>
  <si>
    <t>.sun</t>
  </si>
  <si>
    <t>Mikalu</t>
  </si>
  <si>
    <t>Sunsokuan</t>
  </si>
  <si>
    <t>Ztesh</t>
  </si>
  <si>
    <t>ZUH-tesh</t>
  </si>
  <si>
    <t>/ˈzʌ.tɛʃ/</t>
  </si>
  <si>
    <t>Quia</t>
  </si>
  <si>
    <t>.zte</t>
  </si>
  <si>
    <t>Nakos</t>
  </si>
  <si>
    <t>Zteshi</t>
  </si>
  <si>
    <t>Lycroa</t>
  </si>
  <si>
    <t>LIE-kroh-uh</t>
  </si>
  <si>
    <t>/ˈlaɪ.kroʊ.ə/</t>
  </si>
  <si>
    <t>.lyc</t>
  </si>
  <si>
    <t>Jungui</t>
  </si>
  <si>
    <t>Lycroan</t>
  </si>
  <si>
    <t>Seytinemas</t>
  </si>
  <si>
    <t>SAY-tee-neh-mahs</t>
  </si>
  <si>
    <t>/ˈseɪ.ti.nɛ.mɑːs/</t>
  </si>
  <si>
    <t>.sey</t>
  </si>
  <si>
    <t>Vulna</t>
  </si>
  <si>
    <t>Seytinemese</t>
  </si>
  <si>
    <t>Ashain</t>
  </si>
  <si>
    <t>ah-SHANE</t>
  </si>
  <si>
    <t>/ɑːˈʃeɪn/</t>
  </si>
  <si>
    <t>.ash</t>
  </si>
  <si>
    <t>Sjoran</t>
  </si>
  <si>
    <t>Ashaini</t>
  </si>
  <si>
    <t>Verste</t>
  </si>
  <si>
    <t>VUR-stuh</t>
  </si>
  <si>
    <t>/ˈvɜːr.stə/</t>
  </si>
  <si>
    <t>.vst</t>
  </si>
  <si>
    <t>Kaimlo</t>
  </si>
  <si>
    <t>Verstian</t>
  </si>
  <si>
    <t>Easuhura</t>
  </si>
  <si>
    <t>eh-shore-rah</t>
  </si>
  <si>
    <t>/ɛ ʃɔːr rɑː/</t>
  </si>
  <si>
    <t>.eas</t>
  </si>
  <si>
    <t>Tanbai</t>
  </si>
  <si>
    <t>Easuhuran</t>
  </si>
  <si>
    <t>United Delet</t>
  </si>
  <si>
    <t>yoo-NY-tid DEH-let</t>
  </si>
  <si>
    <t>/juːˈnaɪ.tɪd ˈdɛ.lɛt/</t>
  </si>
  <si>
    <t>New Ayre</t>
  </si>
  <si>
    <t>.del</t>
  </si>
  <si>
    <t>Mantraal</t>
  </si>
  <si>
    <t>Deletn</t>
  </si>
  <si>
    <t>Ealdorii</t>
  </si>
  <si>
    <t>EL-door-ree</t>
  </si>
  <si>
    <t>/ˈɛl.dɔːr.riː/</t>
  </si>
  <si>
    <t>.eal</t>
  </si>
  <si>
    <t>Shurqan</t>
  </si>
  <si>
    <t>Ukhdari</t>
  </si>
  <si>
    <t>OOKH-dah-ree</t>
  </si>
  <si>
    <t>/ˈʊk.dɑː.ri/</t>
  </si>
  <si>
    <t>.ukh</t>
  </si>
  <si>
    <t>Faramozan</t>
  </si>
  <si>
    <t>Etretes</t>
  </si>
  <si>
    <t>EH-treh-tez</t>
  </si>
  <si>
    <t>/ˈɛ.trɛ.tɛz/</t>
  </si>
  <si>
    <t>.ete</t>
  </si>
  <si>
    <t>Zajkovi</t>
  </si>
  <si>
    <t>Etreti</t>
  </si>
  <si>
    <t>Desaki</t>
  </si>
  <si>
    <t>DEH-sah-kee</t>
  </si>
  <si>
    <t>/ˈdɛ.sɑː.ki/</t>
  </si>
  <si>
    <t>.des</t>
  </si>
  <si>
    <t>Olmurra</t>
  </si>
  <si>
    <t>Desakian</t>
  </si>
  <si>
    <t>New Misos</t>
  </si>
  <si>
    <t>nyoo MEE-sos</t>
  </si>
  <si>
    <t>/njuː ˈmiː.sɒs/</t>
  </si>
  <si>
    <t>.mis</t>
  </si>
  <si>
    <t>Lunava</t>
  </si>
  <si>
    <t>Misoan</t>
  </si>
  <si>
    <t>Inania</t>
  </si>
  <si>
    <t>ih-NAH-nee-uh</t>
  </si>
  <si>
    <t>/ɪˈnɑː.ni.ə/</t>
  </si>
  <si>
    <t>.ina</t>
  </si>
  <si>
    <t>Fashti</t>
  </si>
  <si>
    <t>Inanian</t>
  </si>
  <si>
    <t>Vayvele</t>
  </si>
  <si>
    <t>VAY-veh-lay</t>
  </si>
  <si>
    <t>/ˈveɪ.vɛl.eɪ/</t>
  </si>
  <si>
    <t>.vay</t>
  </si>
  <si>
    <t>Kaisri</t>
  </si>
  <si>
    <t>Vayvelean</t>
  </si>
  <si>
    <t>Vesozata</t>
  </si>
  <si>
    <t>veh-soh-ZAH-tah</t>
  </si>
  <si>
    <t>/vɛ.soʊˈzɑː.tɑː/</t>
  </si>
  <si>
    <t>.vsz</t>
  </si>
  <si>
    <t>Korvani</t>
  </si>
  <si>
    <t>Vesozatan</t>
  </si>
  <si>
    <t>Quidic</t>
  </si>
  <si>
    <t>KWID-ik</t>
  </si>
  <si>
    <t>/ˈkwɪd.ɪk/</t>
  </si>
  <si>
    <t>.qui</t>
  </si>
  <si>
    <t>Talvani</t>
  </si>
  <si>
    <t>Quidican</t>
  </si>
  <si>
    <t>Trian</t>
  </si>
  <si>
    <t>TREE-an</t>
  </si>
  <si>
    <t>/ˈtriː.æn/</t>
  </si>
  <si>
    <t>.tri</t>
  </si>
  <si>
    <t>Treka</t>
  </si>
  <si>
    <t>Taval</t>
  </si>
  <si>
    <t>TAH-vahl</t>
  </si>
  <si>
    <t>/ˈtɑː.vɑːl/</t>
  </si>
  <si>
    <t>.tav</t>
  </si>
  <si>
    <t>Suraspa</t>
  </si>
  <si>
    <t>Tavalan</t>
  </si>
  <si>
    <t>Sanagara</t>
  </si>
  <si>
    <t>sah-NAH-gah-rah</t>
  </si>
  <si>
    <t>/sɑːˈnɑː.gɑː.rɑː/</t>
  </si>
  <si>
    <t>.san</t>
  </si>
  <si>
    <t>Koyaya</t>
  </si>
  <si>
    <t>Sanagaran</t>
  </si>
  <si>
    <t>Praesyu</t>
  </si>
  <si>
    <t>PRAY-shoo</t>
  </si>
  <si>
    <t>/ˈpreɪ.ʃuː/</t>
  </si>
  <si>
    <t>.pra</t>
  </si>
  <si>
    <t>Brimasha</t>
  </si>
  <si>
    <t>Praesyuan</t>
  </si>
  <si>
    <t>Siana</t>
  </si>
  <si>
    <t>see-AH-nah</t>
  </si>
  <si>
    <t>/siːˈɑː.nə/</t>
  </si>
  <si>
    <t>.sia</t>
  </si>
  <si>
    <t>Wadika</t>
  </si>
  <si>
    <t>Sianan</t>
  </si>
  <si>
    <t>Dual Cenryia</t>
  </si>
  <si>
    <t>DOO-al SEN-ree-uh</t>
  </si>
  <si>
    <t>/ˈduː.əl ˈsɛn.ri.ə/</t>
  </si>
  <si>
    <t>.cen</t>
  </si>
  <si>
    <t>Vrandig</t>
  </si>
  <si>
    <t>Cenryi</t>
  </si>
  <si>
    <t>Finae</t>
  </si>
  <si>
    <t>FEE-nay</t>
  </si>
  <si>
    <t>/ˈfiː.neɪ/</t>
  </si>
  <si>
    <t>.fin</t>
  </si>
  <si>
    <t>Hishara</t>
  </si>
  <si>
    <t>Finaen</t>
  </si>
  <si>
    <t>Terressin</t>
  </si>
  <si>
    <t>TER-ruh-sin</t>
  </si>
  <si>
    <t>/ˈtɛr.ə.sɪn/</t>
  </si>
  <si>
    <t>.ter</t>
  </si>
  <si>
    <t>Velloro</t>
  </si>
  <si>
    <t>Genaire</t>
  </si>
  <si>
    <t>GEN-air</t>
  </si>
  <si>
    <t>/ˈdʒɛn.ɛr/</t>
  </si>
  <si>
    <t>.gen</t>
  </si>
  <si>
    <t>Lishka</t>
  </si>
  <si>
    <t>Genairean</t>
  </si>
  <si>
    <t>Ohtina</t>
  </si>
  <si>
    <t>oh-TEE-nah</t>
  </si>
  <si>
    <t>/ˌoʊˈtiː.nɑː/</t>
  </si>
  <si>
    <t>.oht</t>
  </si>
  <si>
    <t>Su Sariko</t>
  </si>
  <si>
    <t>Ohtinan</t>
  </si>
  <si>
    <t>Yaxuto</t>
  </si>
  <si>
    <t>YAH-ksu-toh</t>
  </si>
  <si>
    <t>/ˈjɑːk.su.toʊ/</t>
  </si>
  <si>
    <t>.yax</t>
  </si>
  <si>
    <t>Khorin</t>
  </si>
  <si>
    <t>Yaxutan</t>
  </si>
  <si>
    <t>Ahokini</t>
  </si>
  <si>
    <t>ah-hoh-KEE-nee</t>
  </si>
  <si>
    <t>/ɑː.hoʊˈkiː.ni/</t>
  </si>
  <si>
    <t>.aho</t>
  </si>
  <si>
    <t>Ribash</t>
  </si>
  <si>
    <t>Ocaun</t>
  </si>
  <si>
    <t>OH-kawn</t>
  </si>
  <si>
    <t>/ˈoʊ.kɔːn/</t>
  </si>
  <si>
    <t>.oca</t>
  </si>
  <si>
    <t>Kejira</t>
  </si>
  <si>
    <t xml:space="preserve">Ocunese </t>
  </si>
  <si>
    <t>Oyreain</t>
  </si>
  <si>
    <t>OY-ray-in</t>
  </si>
  <si>
    <t>/ˈɔɪ.reɪ.ɪn/</t>
  </si>
  <si>
    <t>.ory</t>
  </si>
  <si>
    <t>Yetembo</t>
  </si>
  <si>
    <t>Oyreaini</t>
  </si>
  <si>
    <t>Wundry</t>
  </si>
  <si>
    <t>WUHN-dree</t>
  </si>
  <si>
    <t>/ˈwʌn.dri/</t>
  </si>
  <si>
    <t>.wun</t>
  </si>
  <si>
    <t>Teveme</t>
  </si>
  <si>
    <t>Genairan</t>
  </si>
  <si>
    <t>Pelines</t>
  </si>
  <si>
    <t>PEH-li-neez</t>
  </si>
  <si>
    <t>/ˈpɛl.iːnz/</t>
  </si>
  <si>
    <t>.pli</t>
  </si>
  <si>
    <t>Dalyar</t>
  </si>
  <si>
    <t>Pelinese</t>
  </si>
  <si>
    <t>Anymna</t>
  </si>
  <si>
    <t>ANY-mnah</t>
  </si>
  <si>
    <t>/ˈæ.nɪm.nə/</t>
  </si>
  <si>
    <t>.any</t>
  </si>
  <si>
    <t>Khureldai</t>
  </si>
  <si>
    <t>Anymnan</t>
  </si>
  <si>
    <t>Suenan</t>
  </si>
  <si>
    <t>SWEH-nahn</t>
  </si>
  <si>
    <t>/ˈswɛ.nɑːn/</t>
  </si>
  <si>
    <t>.sue</t>
  </si>
  <si>
    <t>Daspuru</t>
  </si>
  <si>
    <t>Chaenia</t>
  </si>
  <si>
    <t>KAY-nee-ah</t>
  </si>
  <si>
    <t>/ˈkeɪ.ni.ə/</t>
  </si>
  <si>
    <t>.cha</t>
  </si>
  <si>
    <t>Lutur</t>
  </si>
  <si>
    <t>Chaenian</t>
  </si>
  <si>
    <t>Darewa</t>
  </si>
  <si>
    <t>DAH-reh-wah</t>
  </si>
  <si>
    <t>/ˈdɑː.reɪ.wɑː/</t>
  </si>
  <si>
    <t>.dar</t>
  </si>
  <si>
    <t>Shamarin</t>
  </si>
  <si>
    <t>Darewan</t>
  </si>
  <si>
    <t>Merela Sta</t>
  </si>
  <si>
    <t>MEH-reh-lah STAH</t>
  </si>
  <si>
    <t>/ˈmɛr.ə.lɑː stɑː/</t>
  </si>
  <si>
    <t>.mer</t>
  </si>
  <si>
    <t>Talung</t>
  </si>
  <si>
    <t>Merelan</t>
  </si>
  <si>
    <t>Selaja</t>
  </si>
  <si>
    <t>seh-LAH-jah</t>
  </si>
  <si>
    <t>/ˌsɛˈlɑː.dʒɑː/</t>
  </si>
  <si>
    <t>.sel</t>
  </si>
  <si>
    <t>Selja</t>
  </si>
  <si>
    <t>Selajan</t>
  </si>
  <si>
    <t>Erkizil</t>
  </si>
  <si>
    <t>ER-kee-zil</t>
  </si>
  <si>
    <t>/ˈɜːr.ki.zɪl/</t>
  </si>
  <si>
    <t>.erk</t>
  </si>
  <si>
    <t>Tiraqsi</t>
  </si>
  <si>
    <t>Erkizilian</t>
  </si>
  <si>
    <t>Myla</t>
  </si>
  <si>
    <t>MY-lah</t>
  </si>
  <si>
    <t>/ˈmaɪ.lə/</t>
  </si>
  <si>
    <t>.myl</t>
  </si>
  <si>
    <t>Erkadu</t>
  </si>
  <si>
    <t>Mylanese</t>
  </si>
  <si>
    <t>Gaeiya</t>
  </si>
  <si>
    <t>GAY-ee-yah</t>
  </si>
  <si>
    <t>/ˈɡeɪ.i.jɑː/</t>
  </si>
  <si>
    <t>.gae</t>
  </si>
  <si>
    <t>Tsyanka</t>
  </si>
  <si>
    <t>Gaeiyan</t>
  </si>
  <si>
    <t>United Mihili</t>
  </si>
  <si>
    <t>yoo-NY-ted MEE-hee-lee</t>
  </si>
  <si>
    <t>/juːˈnaɪ.tɪd ˈmiː.hi.liː/</t>
  </si>
  <si>
    <t>.mil</t>
  </si>
  <si>
    <t>Talashi</t>
  </si>
  <si>
    <t>Mihilian</t>
  </si>
  <si>
    <t>Iareva</t>
  </si>
  <si>
    <t>EE-ah-REH-vah</t>
  </si>
  <si>
    <t>/iː.ɑːˈrɛ.vɑː/</t>
  </si>
  <si>
    <t>.iar</t>
  </si>
  <si>
    <t>Droskaneth</t>
  </si>
  <si>
    <t>Iarevan</t>
  </si>
  <si>
    <t>Astye</t>
  </si>
  <si>
    <t>AS-tee</t>
  </si>
  <si>
    <t>/ˈæs.ti/</t>
  </si>
  <si>
    <t>.ast</t>
  </si>
  <si>
    <t>Kavirro</t>
  </si>
  <si>
    <t>Astyen</t>
  </si>
  <si>
    <t>Laselteh</t>
  </si>
  <si>
    <t>LAH-seltsh</t>
  </si>
  <si>
    <t>/ˈlɑː.sɛltʃ/</t>
  </si>
  <si>
    <t>.las</t>
  </si>
  <si>
    <t>Dariya</t>
  </si>
  <si>
    <t>Laseltshen</t>
  </si>
  <si>
    <t>Haiza</t>
  </si>
  <si>
    <t>HAY-zah</t>
  </si>
  <si>
    <t>/ˈheɪ.zɑː/</t>
  </si>
  <si>
    <t>.hai</t>
  </si>
  <si>
    <t>Chavira</t>
  </si>
  <si>
    <t>Haizan</t>
  </si>
  <si>
    <t>Sadain</t>
  </si>
  <si>
    <t>sah-DAYN</t>
  </si>
  <si>
    <t>/ˈsɑː.deɪn/</t>
  </si>
  <si>
    <t>.sad</t>
  </si>
  <si>
    <t>Sivona</t>
  </si>
  <si>
    <t>Sadainite</t>
  </si>
  <si>
    <t>Disal Nila</t>
  </si>
  <si>
    <t>DI-sahl NEE-lah</t>
  </si>
  <si>
    <t>/ˈdɪ.sɑːl ˈniː.lɑː/</t>
  </si>
  <si>
    <t>.dis</t>
  </si>
  <si>
    <t>Naliti</t>
  </si>
  <si>
    <t>Disali</t>
  </si>
  <si>
    <t>Acrana</t>
  </si>
  <si>
    <t>AH-krah-nah</t>
  </si>
  <si>
    <t>/ɑːˈkrɑː.nə/</t>
  </si>
  <si>
    <t>.acr</t>
  </si>
  <si>
    <t>Samaru</t>
  </si>
  <si>
    <t>Acranan</t>
  </si>
  <si>
    <t>Volver</t>
  </si>
  <si>
    <t>VOLL-ver</t>
  </si>
  <si>
    <t>/ˈvɒl.vər/</t>
  </si>
  <si>
    <t>.vol</t>
  </si>
  <si>
    <t>Drolmukhazin</t>
  </si>
  <si>
    <t>Volvern</t>
  </si>
  <si>
    <t>Lydroa</t>
  </si>
  <si>
    <t>LID-roh-ah</t>
  </si>
  <si>
    <t>/ˈlɪd.roʊ.ɑː/</t>
  </si>
  <si>
    <t>.lyd</t>
  </si>
  <si>
    <t>Zarfan</t>
  </si>
  <si>
    <t>Lydroan</t>
  </si>
  <si>
    <t>North Ayre</t>
  </si>
  <si>
    <t>NORTH EYE-er</t>
  </si>
  <si>
    <t>/nɔːrθ ˈaɪ.ər/</t>
  </si>
  <si>
    <t>.ayr</t>
  </si>
  <si>
    <t>Kokema</t>
  </si>
  <si>
    <t>Ayrean</t>
  </si>
  <si>
    <t>Fermori</t>
  </si>
  <si>
    <t>FER-moh-ree</t>
  </si>
  <si>
    <t>/ˈfɜːr.moʊ.ri/</t>
  </si>
  <si>
    <t>.fer</t>
  </si>
  <si>
    <t>Khalviro</t>
  </si>
  <si>
    <t>Fermorian</t>
  </si>
  <si>
    <t>Pha Hii</t>
  </si>
  <si>
    <t>FAH HEE</t>
  </si>
  <si>
    <t>/ˈfɑː hiː/</t>
  </si>
  <si>
    <t>.pha</t>
  </si>
  <si>
    <t>Hiian</t>
  </si>
  <si>
    <t>Heiso</t>
  </si>
  <si>
    <t>HAY-soh</t>
  </si>
  <si>
    <t>/ˈheɪ.soʊ/</t>
  </si>
  <si>
    <t>Ayuma/Acrola</t>
  </si>
  <si>
    <t>.hei</t>
  </si>
  <si>
    <t>Mivlo</t>
  </si>
  <si>
    <t>Heisan</t>
  </si>
  <si>
    <t>Arbiya</t>
  </si>
  <si>
    <t>AR-bee-yah</t>
  </si>
  <si>
    <t>/ˈɑːr.bi.jə/</t>
  </si>
  <si>
    <t>.arb</t>
  </si>
  <si>
    <t>Kraevu</t>
  </si>
  <si>
    <t>Arbiyan</t>
  </si>
  <si>
    <t>Ilicuhe</t>
  </si>
  <si>
    <t>EE-lee-koo-heh</t>
  </si>
  <si>
    <t>/iːˈliː.kuː.hɛ/</t>
  </si>
  <si>
    <t>.ili</t>
  </si>
  <si>
    <t>Sakhen</t>
  </si>
  <si>
    <t>Ilicuhan</t>
  </si>
  <si>
    <t>Acetoa</t>
  </si>
  <si>
    <t>ah-SEH-toh-ah</t>
  </si>
  <si>
    <t>/ɑːˈsɛ.toʊ.ə/</t>
  </si>
  <si>
    <t>.ace</t>
  </si>
  <si>
    <t>Yezhito</t>
  </si>
  <si>
    <t>Acetoan</t>
  </si>
  <si>
    <t>Isari</t>
  </si>
  <si>
    <t>EE-sah-ree</t>
  </si>
  <si>
    <t>/iːˈsɑː.ri/</t>
  </si>
  <si>
    <t>.isa</t>
  </si>
  <si>
    <t>Damsiri</t>
  </si>
  <si>
    <t>Isarian</t>
  </si>
  <si>
    <t>Sivoso</t>
  </si>
  <si>
    <t>SEE-voh-soh</t>
  </si>
  <si>
    <t>/ˈsiː.voʊ.soʊ/</t>
  </si>
  <si>
    <t>.siv</t>
  </si>
  <si>
    <t>Amrata</t>
  </si>
  <si>
    <t>Sivosan</t>
  </si>
  <si>
    <t>Otiiric</t>
  </si>
  <si>
    <t>oh-TEE-rik</t>
  </si>
  <si>
    <t>/ˌoʊˈtiː.rɪk/</t>
  </si>
  <si>
    <t>.oti</t>
  </si>
  <si>
    <t>Fyntek</t>
  </si>
  <si>
    <t>Otiirican</t>
  </si>
  <si>
    <t>Eldjo</t>
  </si>
  <si>
    <t>EL-joh</t>
  </si>
  <si>
    <t>/ˈɛl.dʒoʊ/</t>
  </si>
  <si>
    <t>.eld</t>
  </si>
  <si>
    <t>Shorakim</t>
  </si>
  <si>
    <t>Eldjan</t>
  </si>
  <si>
    <t>Umarcia</t>
  </si>
  <si>
    <t>oo-MAR-see-ah</t>
  </si>
  <si>
    <t>/ˌuːˈmɑːr.si.ə/</t>
  </si>
  <si>
    <t>.uma</t>
  </si>
  <si>
    <t>Hirvani</t>
  </si>
  <si>
    <t>Umarcian</t>
  </si>
  <si>
    <t>Maalle</t>
  </si>
  <si>
    <t>MAH-leh</t>
  </si>
  <si>
    <t>/ˈmɑː.leɪ/</t>
  </si>
  <si>
    <t>.maa</t>
  </si>
  <si>
    <t>Rudeka</t>
  </si>
  <si>
    <t>Maallean</t>
  </si>
  <si>
    <t>Mendereide</t>
  </si>
  <si>
    <t>MEN-deh-rayd</t>
  </si>
  <si>
    <t>/ˌmɛn.dəˈreɪd/</t>
  </si>
  <si>
    <t>.men</t>
  </si>
  <si>
    <t>Tovani</t>
  </si>
  <si>
    <t>Mendereidan</t>
  </si>
  <si>
    <t>Pelan</t>
  </si>
  <si>
    <t>PEH-lahn</t>
  </si>
  <si>
    <t>/ˈpɛ.lɑːn/</t>
  </si>
  <si>
    <t>.pla</t>
  </si>
  <si>
    <t>Taoqu</t>
  </si>
  <si>
    <t xml:space="preserve">Pelani </t>
  </si>
  <si>
    <t>Reerica</t>
  </si>
  <si>
    <t>REE-rih-kah</t>
  </si>
  <si>
    <t>/ˈriː.rɪ.kɑː/</t>
  </si>
  <si>
    <t>.ree</t>
  </si>
  <si>
    <t>Halumbaro</t>
  </si>
  <si>
    <t>Reerican</t>
  </si>
  <si>
    <t>Hkuqo</t>
  </si>
  <si>
    <t>HKOO-koh</t>
  </si>
  <si>
    <t>/ˈhkuː.koʊ/</t>
  </si>
  <si>
    <t>.hku</t>
  </si>
  <si>
    <t>Tanshiva</t>
  </si>
  <si>
    <t>Hkuqoan</t>
  </si>
  <si>
    <t>Fincen</t>
  </si>
  <si>
    <t>FIN-sen</t>
  </si>
  <si>
    <t>/ˈfɪn.sən/</t>
  </si>
  <si>
    <t>.fcn</t>
  </si>
  <si>
    <t>Tiyomi</t>
  </si>
  <si>
    <t>Fincense</t>
  </si>
  <si>
    <t>Kusierna</t>
  </si>
  <si>
    <t>koo-SYEHR-nah</t>
  </si>
  <si>
    <t>/kuːˈsjɛr.nɑː/</t>
  </si>
  <si>
    <t>.kus</t>
  </si>
  <si>
    <t>Mikavasi</t>
  </si>
  <si>
    <t>Kusiernian</t>
  </si>
  <si>
    <t>Deschon</t>
  </si>
  <si>
    <t>DEH-shon</t>
  </si>
  <si>
    <t>/ˈdɛ.ʃɒn/</t>
  </si>
  <si>
    <t>.dsc</t>
  </si>
  <si>
    <t>Obelinti</t>
  </si>
  <si>
    <t>Deschonian</t>
  </si>
  <si>
    <t>Iainoa</t>
  </si>
  <si>
    <t>EE-ah-ee-noh-ah</t>
  </si>
  <si>
    <t>/iːˌɑː.iˈnoʊ.ɑː/</t>
  </si>
  <si>
    <t>.iai</t>
  </si>
  <si>
    <t>Evue</t>
  </si>
  <si>
    <t>Iainoan</t>
  </si>
  <si>
    <t>Nia</t>
  </si>
  <si>
    <t>NEE-ah</t>
  </si>
  <si>
    <t>/ˈniː.ɑː/</t>
  </si>
  <si>
    <t>.nia</t>
  </si>
  <si>
    <t>Kovasi</t>
  </si>
  <si>
    <t>Nian</t>
  </si>
  <si>
    <t>Isnti</t>
  </si>
  <si>
    <t>ISN-tee</t>
  </si>
  <si>
    <t>/ˈɪs.n.ti/</t>
  </si>
  <si>
    <t>.isn</t>
  </si>
  <si>
    <t>Mahsira</t>
  </si>
  <si>
    <t>Ucrua</t>
  </si>
  <si>
    <t>oo-CROO-ah</t>
  </si>
  <si>
    <t>/ˌuːˈkruː.ɑː/</t>
  </si>
  <si>
    <t>.ucr</t>
  </si>
  <si>
    <t>Frevinta</t>
  </si>
  <si>
    <t>Ucruan</t>
  </si>
  <si>
    <t>Prystr Hii</t>
  </si>
  <si>
    <t>PRY-str HEE</t>
  </si>
  <si>
    <t>/ˈpraɪ.str hiː/</t>
  </si>
  <si>
    <t>.pry</t>
  </si>
  <si>
    <t xml:space="preserve">Prystr </t>
  </si>
  <si>
    <t>Curata</t>
  </si>
  <si>
    <t>koo-RAH-tah</t>
  </si>
  <si>
    <t>/kuːˈrɑː.tə/</t>
  </si>
  <si>
    <t>.cur</t>
  </si>
  <si>
    <t>Hulong</t>
  </si>
  <si>
    <t>Curatan</t>
  </si>
  <si>
    <t>Phuris</t>
  </si>
  <si>
    <t>FYOO-ris</t>
  </si>
  <si>
    <t>/ˈfjuː.rɪs/</t>
  </si>
  <si>
    <t>.phu</t>
  </si>
  <si>
    <t>City of Dauris</t>
  </si>
  <si>
    <t>Phurian</t>
  </si>
  <si>
    <t>Prstreula</t>
  </si>
  <si>
    <t>PRA-stree-oo-lah</t>
  </si>
  <si>
    <t>/ˈprɑː.striː.uː.lɑː/</t>
  </si>
  <si>
    <t>.prs</t>
  </si>
  <si>
    <t>Kavani</t>
  </si>
  <si>
    <t>Prstreulan</t>
  </si>
  <si>
    <t>Mesjan Hyaa</t>
  </si>
  <si>
    <t>MES-jahn HEE-ah</t>
  </si>
  <si>
    <t>/ˈmɛs.dʒɑːn ˈhiː.ɑː/</t>
  </si>
  <si>
    <t>.mes</t>
  </si>
  <si>
    <t>Ythrenak</t>
  </si>
  <si>
    <t>Hyian</t>
  </si>
  <si>
    <t>Rijan bu</t>
  </si>
  <si>
    <t>REE-jahn boo</t>
  </si>
  <si>
    <t>/ˈriː.dʒɑːn buː/</t>
  </si>
  <si>
    <t>.rij</t>
  </si>
  <si>
    <t>Maphinde</t>
  </si>
  <si>
    <t>Buan</t>
  </si>
  <si>
    <t>Palina</t>
  </si>
  <si>
    <t>pah-LEE-nah</t>
  </si>
  <si>
    <t>/ˌpɑːˈliː.nɑː/</t>
  </si>
  <si>
    <t>.pal</t>
  </si>
  <si>
    <t>Lahzhao</t>
  </si>
  <si>
    <t>Palinian</t>
  </si>
  <si>
    <t>Nheyes Si</t>
  </si>
  <si>
    <t>NAY-es see</t>
  </si>
  <si>
    <t>/ˈneɪ.ɛs siː/</t>
  </si>
  <si>
    <t>.nhe</t>
  </si>
  <si>
    <t>MavagaT</t>
  </si>
  <si>
    <t>Nheyesian</t>
  </si>
  <si>
    <t>Exilium</t>
  </si>
  <si>
    <t>ek-SIL-ee-um</t>
  </si>
  <si>
    <t>/ˈɛk.sɪl.i.əm/</t>
  </si>
  <si>
    <t>.exi</t>
  </si>
  <si>
    <t>Dulvasra</t>
  </si>
  <si>
    <t>Exilian</t>
  </si>
  <si>
    <t>Feio Lie</t>
  </si>
  <si>
    <t>FAY-oh LYE</t>
  </si>
  <si>
    <t>/ˈfeɪ.oʊ laɪ/</t>
  </si>
  <si>
    <t>.fei</t>
  </si>
  <si>
    <t>Keliaro</t>
  </si>
  <si>
    <t>Feian</t>
  </si>
  <si>
    <t>Iquir</t>
  </si>
  <si>
    <t>EE-kwir</t>
  </si>
  <si>
    <t>/iːˈkwɪr/</t>
  </si>
  <si>
    <t>.iqu</t>
  </si>
  <si>
    <t>Chavillar</t>
  </si>
  <si>
    <t>Iquirian</t>
  </si>
  <si>
    <t>Onphello</t>
  </si>
  <si>
    <t>on-FEL-oh</t>
  </si>
  <si>
    <t>/ˌɒnˈfɛl.oʊ/</t>
  </si>
  <si>
    <t>.onp</t>
  </si>
  <si>
    <t>Khazor</t>
  </si>
  <si>
    <t>Onphellan</t>
  </si>
  <si>
    <t>Jshain</t>
  </si>
  <si>
    <t>JAY-shayn</t>
  </si>
  <si>
    <t>/dʒeɪ.ʃeɪn/</t>
  </si>
  <si>
    <t>.jsh</t>
  </si>
  <si>
    <t>Savyan</t>
  </si>
  <si>
    <t>Jshainian</t>
  </si>
  <si>
    <t>Uularin</t>
  </si>
  <si>
    <t>OO-lah-rin</t>
  </si>
  <si>
    <t>/ˈɜːr.bɪ.kjuː/</t>
  </si>
  <si>
    <t>.uul</t>
  </si>
  <si>
    <t>Zahlim</t>
  </si>
  <si>
    <t>Uularini</t>
  </si>
  <si>
    <t>Eldavpir</t>
  </si>
  <si>
    <t>EL-dav-peer</t>
  </si>
  <si>
    <t>/ˈɛl.dæv.pɪr/</t>
  </si>
  <si>
    <t>.eda</t>
  </si>
  <si>
    <t>Lunfrix</t>
  </si>
  <si>
    <t>Eldavpiri</t>
  </si>
  <si>
    <t>Grazail</t>
  </si>
  <si>
    <t>GRAH-zayl</t>
  </si>
  <si>
    <t>/ˈɡrɑː.zeɪl/</t>
  </si>
  <si>
    <t>.gra</t>
  </si>
  <si>
    <t>Mushira</t>
  </si>
  <si>
    <t>Grazailite</t>
  </si>
  <si>
    <t>Lieri</t>
  </si>
  <si>
    <t>LEE-eh-ree</t>
  </si>
  <si>
    <t>/ˈliː.eɪ.ri/</t>
  </si>
  <si>
    <t>Nabruik</t>
  </si>
  <si>
    <t>Lierin</t>
  </si>
  <si>
    <t>Oscairia</t>
  </si>
  <si>
    <t>oss-KAIR-ee-ah</t>
  </si>
  <si>
    <t>/ˌɒsˈkɛər.i.ə/</t>
  </si>
  <si>
    <t>.osc</t>
  </si>
  <si>
    <t>Morzelka</t>
  </si>
  <si>
    <t>Oscairian</t>
  </si>
  <si>
    <t>Othya</t>
  </si>
  <si>
    <t>OTH-yah</t>
  </si>
  <si>
    <t>/ˈɒθ.jɑː/</t>
  </si>
  <si>
    <t>.oth</t>
  </si>
  <si>
    <t>Harlitak</t>
  </si>
  <si>
    <t>Othyan</t>
  </si>
  <si>
    <t>Kaastini</t>
  </si>
  <si>
    <t>KAH-stin-ee</t>
  </si>
  <si>
    <t>/ˈkɑː.stɪ.ni/</t>
  </si>
  <si>
    <t>.kaa</t>
  </si>
  <si>
    <t>Suharimti</t>
  </si>
  <si>
    <t>Ruylku</t>
  </si>
  <si>
    <t>ROO-eel-koo</t>
  </si>
  <si>
    <t>/ˈruː.iːl.kuː/</t>
  </si>
  <si>
    <t>.ruy</t>
  </si>
  <si>
    <t>Kelvizu</t>
  </si>
  <si>
    <t>Ruylkun</t>
  </si>
  <si>
    <t>Taing</t>
  </si>
  <si>
    <t>TAYNG</t>
  </si>
  <si>
    <t>/teɪŋ/</t>
  </si>
  <si>
    <t>.tai</t>
  </si>
  <si>
    <t>Kanrido</t>
  </si>
  <si>
    <t>Taingesez</t>
  </si>
  <si>
    <t>Zenashan</t>
  </si>
  <si>
    <t>ZEH-nah-shahn</t>
  </si>
  <si>
    <t>/ˈzɛ.nɑː.ʃɑːn/</t>
  </si>
  <si>
    <t>.zen</t>
  </si>
  <si>
    <t>Zirafu</t>
  </si>
  <si>
    <t>Inrea</t>
  </si>
  <si>
    <t>IN-ree-ah</t>
  </si>
  <si>
    <t>/ˈɪn.ri.ɑː/</t>
  </si>
  <si>
    <t>.inr</t>
  </si>
  <si>
    <t>Dalsjiv</t>
  </si>
  <si>
    <t>Inrean</t>
  </si>
  <si>
    <t>Fire Coast</t>
  </si>
  <si>
    <t>FIRE coast</t>
  </si>
  <si>
    <t>/faɪər koʊst/</t>
  </si>
  <si>
    <t>.fir</t>
  </si>
  <si>
    <t>Kamoraya</t>
  </si>
  <si>
    <t>Fyran</t>
  </si>
  <si>
    <t>Galca</t>
  </si>
  <si>
    <t>GAL-kah</t>
  </si>
  <si>
    <t>/ˈɡæl.kɑː/</t>
  </si>
  <si>
    <t>.gal</t>
  </si>
  <si>
    <t>Dherkiv</t>
  </si>
  <si>
    <t>Galcan</t>
  </si>
  <si>
    <t>Viussi</t>
  </si>
  <si>
    <t>vee-OO-see</t>
  </si>
  <si>
    <t>/ˌviːˈuː.si/</t>
  </si>
  <si>
    <t>.viu</t>
  </si>
  <si>
    <t>Zambhori</t>
  </si>
  <si>
    <t>Viussian</t>
  </si>
  <si>
    <t>Ihner</t>
  </si>
  <si>
    <t>IH-ner</t>
  </si>
  <si>
    <t>/ˈɪn.ər/</t>
  </si>
  <si>
    <t>.ihn</t>
  </si>
  <si>
    <t>Talmeera</t>
  </si>
  <si>
    <t>Ihnerian</t>
  </si>
  <si>
    <t>Taoisia</t>
  </si>
  <si>
    <t>tay-OH-see-ah</t>
  </si>
  <si>
    <t>/ˌteɪˈoʊ.si.ə/</t>
  </si>
  <si>
    <t>.tao</t>
  </si>
  <si>
    <t>Kumazi</t>
  </si>
  <si>
    <t>Taoisian</t>
  </si>
  <si>
    <t>Taniduna</t>
  </si>
  <si>
    <t>TAH-nee-DOO-nah</t>
  </si>
  <si>
    <t>/ˌtɑː.niˈduː.nə/</t>
  </si>
  <si>
    <t>.tan</t>
  </si>
  <si>
    <t>Zolittique</t>
  </si>
  <si>
    <t>Tanidunan</t>
  </si>
  <si>
    <t>Tomscilus</t>
  </si>
  <si>
    <t>TOM-sih-lus</t>
  </si>
  <si>
    <t>/ˈtɒm.sɪ.ləs/</t>
  </si>
  <si>
    <t>.tom</t>
  </si>
  <si>
    <t>Ternyu</t>
  </si>
  <si>
    <t>Tomscilian</t>
  </si>
  <si>
    <t>Andsaudare</t>
  </si>
  <si>
    <t>AND-sow-DAH-reh</t>
  </si>
  <si>
    <t>/ˌænd.saʊˈdɑː.reɪ/</t>
  </si>
  <si>
    <t>.and</t>
  </si>
  <si>
    <t>Ravalor</t>
  </si>
  <si>
    <t>Andsaudaran</t>
  </si>
  <si>
    <t>Peka</t>
  </si>
  <si>
    <t>PEH-kah</t>
  </si>
  <si>
    <t>/ˈpɛ.kɑː/</t>
  </si>
  <si>
    <t>.pek</t>
  </si>
  <si>
    <t>Kerefa</t>
  </si>
  <si>
    <t>Pekan</t>
  </si>
  <si>
    <t>Lasri</t>
  </si>
  <si>
    <t>LAHS-ree</t>
  </si>
  <si>
    <t>/ˈlɑːs.ri/</t>
  </si>
  <si>
    <t>.lar</t>
  </si>
  <si>
    <t>Rukara</t>
  </si>
  <si>
    <t>Lasrian</t>
  </si>
  <si>
    <t>Walporein</t>
  </si>
  <si>
    <t>WALL-por-ayn</t>
  </si>
  <si>
    <t>/ˈwɔːl.pɔːr.eɪn/</t>
  </si>
  <si>
    <t>.wal</t>
  </si>
  <si>
    <t>Sokira</t>
  </si>
  <si>
    <t>Walporeinian</t>
  </si>
  <si>
    <t>Shinam</t>
  </si>
  <si>
    <t>SHEE-nahm</t>
  </si>
  <si>
    <t>/ˈʃiː.nɑːm/</t>
  </si>
  <si>
    <t>.shi</t>
  </si>
  <si>
    <t>Mirzulek</t>
  </si>
  <si>
    <t>Shinamese</t>
  </si>
  <si>
    <t>Baluyde</t>
  </si>
  <si>
    <t>BAH-loo-ide</t>
  </si>
  <si>
    <t>/ˈbɑː.luː.aɪd/</t>
  </si>
  <si>
    <t>.bal</t>
  </si>
  <si>
    <t>Kirotu</t>
  </si>
  <si>
    <t>Baluydan</t>
  </si>
  <si>
    <t>Koruch</t>
  </si>
  <si>
    <t>KOH-ruch</t>
  </si>
  <si>
    <t>/ˈkɔː.rʊtʃ/</t>
  </si>
  <si>
    <t>.kor</t>
  </si>
  <si>
    <t>Basturah</t>
  </si>
  <si>
    <t>Koruchi</t>
  </si>
  <si>
    <t>Yihnurda</t>
  </si>
  <si>
    <t>YIH-nur-gah</t>
  </si>
  <si>
    <t>/ˈjɪn.ɜːr.gɑː/</t>
  </si>
  <si>
    <t>.yih</t>
  </si>
  <si>
    <t>Parloth</t>
  </si>
  <si>
    <t>Yihnurdan</t>
  </si>
  <si>
    <t>Guise</t>
  </si>
  <si>
    <t>GIZE</t>
  </si>
  <si>
    <t>/ɡaɪz/</t>
  </si>
  <si>
    <t>.gui</t>
  </si>
  <si>
    <t>Tosakaa</t>
  </si>
  <si>
    <t>Guisese</t>
  </si>
  <si>
    <t>Ozinia</t>
  </si>
  <si>
    <t>oh-ZIN-ee-ah</t>
  </si>
  <si>
    <t>/ˌoʊˈzɪn.i.ə/</t>
  </si>
  <si>
    <t>.ozi</t>
  </si>
  <si>
    <t>Nuswi</t>
  </si>
  <si>
    <t>Ozinian</t>
  </si>
  <si>
    <t>Byllu</t>
  </si>
  <si>
    <t>BILL-oo</t>
  </si>
  <si>
    <t>/ˈbɪl.uː/</t>
  </si>
  <si>
    <t>.byl</t>
  </si>
  <si>
    <t>Dundryan</t>
  </si>
  <si>
    <t>Kiesian</t>
  </si>
  <si>
    <t>Jathua</t>
  </si>
  <si>
    <t>JAH-thoo-ah</t>
  </si>
  <si>
    <t>/ˈdʒɑː.θuː.ɑː/</t>
  </si>
  <si>
    <t>.jat</t>
  </si>
  <si>
    <t>Nyvek</t>
  </si>
  <si>
    <t>Jathuan</t>
  </si>
  <si>
    <t>Crila Republic</t>
  </si>
  <si>
    <t>KREE-lah REH-puh-blik</t>
  </si>
  <si>
    <t>/ˈkriː.lɑː rɪˈpʌb.lɪk/</t>
  </si>
  <si>
    <t>.cri</t>
  </si>
  <si>
    <t>Risavo</t>
  </si>
  <si>
    <t>Crilan</t>
  </si>
  <si>
    <t>Aetintio</t>
  </si>
  <si>
    <t>AY-tin-tee-oh</t>
  </si>
  <si>
    <t>/ˈeɪ.tɪn.ti.oʊ/</t>
  </si>
  <si>
    <t>.aet</t>
  </si>
  <si>
    <t>Elora</t>
  </si>
  <si>
    <t>Jau</t>
  </si>
  <si>
    <t>JOW</t>
  </si>
  <si>
    <t>/dʒaʊ/</t>
  </si>
  <si>
    <t>.jau</t>
  </si>
  <si>
    <t>Muntai</t>
  </si>
  <si>
    <t>Jauan</t>
  </si>
  <si>
    <t>Rtesania</t>
  </si>
  <si>
    <t>RTEH-sah-nee-ah</t>
  </si>
  <si>
    <t>/ˌrtɛˈsɑː.ni.ə/</t>
  </si>
  <si>
    <t>.rte</t>
  </si>
  <si>
    <t>Bardin</t>
  </si>
  <si>
    <t>Rtesanian</t>
  </si>
  <si>
    <t>Slyiaduun</t>
  </si>
  <si>
    <t>SLY-ah-doon</t>
  </si>
  <si>
    <t>/ˈslaɪ.ɑː.duːn/</t>
  </si>
  <si>
    <t>.syl</t>
  </si>
  <si>
    <t>Liaojin</t>
  </si>
  <si>
    <t>Eparia</t>
  </si>
  <si>
    <t>eh-PAH-ree-ah</t>
  </si>
  <si>
    <t>/ˌɛpˈɑːr.i.ə/</t>
  </si>
  <si>
    <t>.epa</t>
  </si>
  <si>
    <t>Tarimav</t>
  </si>
  <si>
    <t>Eparian</t>
  </si>
  <si>
    <t>Stinebar</t>
  </si>
  <si>
    <t>STYNE-bar</t>
  </si>
  <si>
    <t>/ˈstaɪn.bɑːr/</t>
  </si>
  <si>
    <t>.sti</t>
  </si>
  <si>
    <t>Laphaai</t>
  </si>
  <si>
    <t>Stinebarian</t>
  </si>
  <si>
    <t>Yutnitu</t>
  </si>
  <si>
    <t>YOOT-nee-too</t>
  </si>
  <si>
    <t>/ˈjuːt.niː.tuː/</t>
  </si>
  <si>
    <t>.yut</t>
  </si>
  <si>
    <t>Teroc</t>
  </si>
  <si>
    <t>Yutnitun</t>
  </si>
  <si>
    <t>Candenat</t>
  </si>
  <si>
    <t>KAN-deh-nat</t>
  </si>
  <si>
    <t>/ˈkæn.də.næt/</t>
  </si>
  <si>
    <t>.can</t>
  </si>
  <si>
    <t>Pavrette</t>
  </si>
  <si>
    <t>Candenati</t>
  </si>
  <si>
    <t>Umendel</t>
  </si>
  <si>
    <t>oo-MEN-del</t>
  </si>
  <si>
    <t>/ˌuːˈmɛn.dəl/</t>
  </si>
  <si>
    <t>.ume</t>
  </si>
  <si>
    <t>Vireptan</t>
  </si>
  <si>
    <t>Umendelite</t>
  </si>
  <si>
    <t>Aplasia</t>
  </si>
  <si>
    <t>ah-PLAY-zee-ah</t>
  </si>
  <si>
    <t>/ɑːˈpleɪ.zi.ə/</t>
  </si>
  <si>
    <t>.apl</t>
  </si>
  <si>
    <t>Yondhu</t>
  </si>
  <si>
    <t xml:space="preserve">Aplasian </t>
  </si>
  <si>
    <t>Ikzen</t>
  </si>
  <si>
    <t>IK-zen</t>
  </si>
  <si>
    <t>/ˈɪk.zən/</t>
  </si>
  <si>
    <t>.ikz</t>
  </si>
  <si>
    <t>Velotha</t>
  </si>
  <si>
    <t>Ikzener</t>
  </si>
  <si>
    <t>Canldives</t>
  </si>
  <si>
    <t>KANL-dyves</t>
  </si>
  <si>
    <t>/ˈkænld.aɪvz/</t>
  </si>
  <si>
    <t>.cvd</t>
  </si>
  <si>
    <t>Maranthulo</t>
  </si>
  <si>
    <t>Canldivese</t>
  </si>
  <si>
    <t>Sattle</t>
  </si>
  <si>
    <t>SAT-ul</t>
  </si>
  <si>
    <t>/ˈsæt.əl/</t>
  </si>
  <si>
    <t>.sat</t>
  </si>
  <si>
    <t>Espralit</t>
  </si>
  <si>
    <t>Sattlean</t>
  </si>
  <si>
    <t>Pruim Fijan</t>
  </si>
  <si>
    <t>PROO-im FEE-jahn</t>
  </si>
  <si>
    <t>/ˈpruː.ɪm ˈfiː.dʒɑːn/</t>
  </si>
  <si>
    <t>.pru</t>
  </si>
  <si>
    <t>Senkowari</t>
  </si>
  <si>
    <t>Fijani</t>
  </si>
  <si>
    <t>Danocia</t>
  </si>
  <si>
    <t>da-NO-see-ah</t>
  </si>
  <si>
    <t>/ˌdæ.noʊˈsiː.ə/</t>
  </si>
  <si>
    <t>.dan</t>
  </si>
  <si>
    <t>Tazmirak</t>
  </si>
  <si>
    <t>Danocian</t>
  </si>
  <si>
    <t>New Kizura</t>
  </si>
  <si>
    <t>nyoo KIH-zoo-rah</t>
  </si>
  <si>
    <t>/njuː ˈkɪ.zʊr.ɑː/</t>
  </si>
  <si>
    <t>.kiz</t>
  </si>
  <si>
    <t>Kizuran</t>
  </si>
  <si>
    <t>Saa</t>
  </si>
  <si>
    <t>SAH</t>
  </si>
  <si>
    <t>/sɑː/</t>
  </si>
  <si>
    <t>.saa</t>
  </si>
  <si>
    <t>Suvallor</t>
  </si>
  <si>
    <t>Saan</t>
  </si>
  <si>
    <t>Amcha</t>
  </si>
  <si>
    <t>AM-chah</t>
  </si>
  <si>
    <t>/ˈæm.tʃɑː/</t>
  </si>
  <si>
    <t>.amc</t>
  </si>
  <si>
    <t>Harnuk</t>
  </si>
  <si>
    <t>Amchan</t>
  </si>
  <si>
    <t>Hyelen</t>
  </si>
  <si>
    <t>HY-eh-len</t>
  </si>
  <si>
    <t>/ˈhaɪ.ɛ.lən/</t>
  </si>
  <si>
    <t>.hye</t>
  </si>
  <si>
    <t>PrajuleD</t>
  </si>
  <si>
    <t>Hyelenian</t>
  </si>
  <si>
    <t>Welenu Fana</t>
  </si>
  <si>
    <t>WEH-leh-noo FAH-nah</t>
  </si>
  <si>
    <t>/ˌwɛ.lɛˈnuː ˈfɑː.nɑː/</t>
  </si>
  <si>
    <t>.wel</t>
  </si>
  <si>
    <t>Skalvira</t>
  </si>
  <si>
    <t>Fanian</t>
  </si>
  <si>
    <t>Urbiqu</t>
  </si>
  <si>
    <t>UR-bih-kyoo</t>
  </si>
  <si>
    <t>.urb</t>
  </si>
  <si>
    <t>Alshira</t>
  </si>
  <si>
    <t>Urbiquan</t>
  </si>
  <si>
    <t>Metndria</t>
  </si>
  <si>
    <t>METN-dree-ah</t>
  </si>
  <si>
    <t>/ˈmɛtnd.ri.ɑː/</t>
  </si>
  <si>
    <t>.met</t>
  </si>
  <si>
    <t>Hidoro</t>
  </si>
  <si>
    <t>Metndrian</t>
  </si>
  <si>
    <t>Zhanshe</t>
  </si>
  <si>
    <t>ZHAN-sheh</t>
  </si>
  <si>
    <t>/ˈʒɑːn.ʃeɪ/</t>
  </si>
  <si>
    <t>.zha</t>
  </si>
  <si>
    <t>Tumnar</t>
  </si>
  <si>
    <t>Zhanshean</t>
  </si>
  <si>
    <t>Niretui and Anulan</t>
  </si>
  <si>
    <t>NEE-reh-TOO-ee and AH-noo-lahn</t>
  </si>
  <si>
    <t>/ˌniː.rɛˈtuː.i ænd ˈɑː.nuː.lɑːn/</t>
  </si>
  <si>
    <t>.nir</t>
  </si>
  <si>
    <t>Tarneshi</t>
  </si>
  <si>
    <t>Niretuian,Anulan</t>
  </si>
  <si>
    <t>Migoku</t>
  </si>
  <si>
    <t>MEE-go-koo</t>
  </si>
  <si>
    <t>/ˈmiː.goʊ.kuː/</t>
  </si>
  <si>
    <t>.mig</t>
  </si>
  <si>
    <t>Trisande</t>
  </si>
  <si>
    <t>Migokan</t>
  </si>
  <si>
    <t>Rinew</t>
  </si>
  <si>
    <t>RY-new</t>
  </si>
  <si>
    <t>/ˈraɪ.njuː/</t>
  </si>
  <si>
    <t>.rin</t>
  </si>
  <si>
    <t>Hujbei</t>
  </si>
  <si>
    <t>Rinewan</t>
  </si>
  <si>
    <t>Veelmit</t>
  </si>
  <si>
    <t>VEEL-mit</t>
  </si>
  <si>
    <t>/ˈviːl.mɪt/</t>
  </si>
  <si>
    <t>.vee</t>
  </si>
  <si>
    <t>Anohan</t>
  </si>
  <si>
    <t>Veelmitian</t>
  </si>
  <si>
    <t>Shomjind</t>
  </si>
  <si>
    <t>SHOM-jind</t>
  </si>
  <si>
    <t>/ˈʃɒm.dʒɪnd/</t>
  </si>
  <si>
    <t>.sho</t>
  </si>
  <si>
    <t>City 1 (Arimoa)</t>
  </si>
  <si>
    <t>Shomjindian</t>
  </si>
  <si>
    <t>Elja and Munusia</t>
  </si>
  <si>
    <t>EL-yah and moo-NOO-see-ah</t>
  </si>
  <si>
    <t>/ˈɛl.jɑː ænd muːˈnuː.si.ə/</t>
  </si>
  <si>
    <t>.elj</t>
  </si>
  <si>
    <t>Su Hitan / Mishigi</t>
  </si>
  <si>
    <t>Eljan, Munusian</t>
  </si>
  <si>
    <t>Rkmepuia</t>
  </si>
  <si>
    <t>ruk-MEH-poo-ee-ah</t>
  </si>
  <si>
    <t>/ˌrʌkˈmɛ.puː.i.ɑː/</t>
  </si>
  <si>
    <t>.rkm</t>
  </si>
  <si>
    <t>Somari</t>
  </si>
  <si>
    <t>Rkmepuii</t>
  </si>
  <si>
    <t>Yoprioq</t>
  </si>
  <si>
    <t>YO-pri-ok</t>
  </si>
  <si>
    <t>/ˈjoʊ.pri.ɒk/</t>
  </si>
  <si>
    <t>.yop</t>
  </si>
  <si>
    <t>Tufariyan</t>
  </si>
  <si>
    <t>Yoprioqan</t>
  </si>
  <si>
    <t>Niul Spijan</t>
  </si>
  <si>
    <t>NEE-ul SPEE-jahn</t>
  </si>
  <si>
    <t>/ˈniː.ʌl ˈspiː.dʒɑːn/</t>
  </si>
  <si>
    <t>.niu</t>
  </si>
  <si>
    <t>Chludu Ura</t>
  </si>
  <si>
    <t>Spijani</t>
  </si>
  <si>
    <t>Hiwush</t>
  </si>
  <si>
    <t>HI-wush</t>
  </si>
  <si>
    <t>/ˈhɪ.wʊʃ/</t>
  </si>
  <si>
    <t>.hiw</t>
  </si>
  <si>
    <t>Egatsute</t>
  </si>
  <si>
    <t>Hiwushi</t>
  </si>
  <si>
    <t>Cloja</t>
  </si>
  <si>
    <t>KLOH-jah</t>
  </si>
  <si>
    <t>/ˈkloʊ.dʒɑː/</t>
  </si>
  <si>
    <t>.clo</t>
  </si>
  <si>
    <t>Kezapi</t>
  </si>
  <si>
    <t>Clojan</t>
  </si>
  <si>
    <t>Rethern</t>
  </si>
  <si>
    <t>REH-thurn</t>
  </si>
  <si>
    <t>/ˈrɛ.θɜːrn/</t>
  </si>
  <si>
    <t>.ret</t>
  </si>
  <si>
    <t>Xxvii</t>
  </si>
  <si>
    <t>Rethernian</t>
  </si>
  <si>
    <t>Western Migoku</t>
  </si>
  <si>
    <t>WEST-ern MEE-go-koo</t>
  </si>
  <si>
    <t>/ˈwɛs.tərn ˈmiː.goʊ.kuː/</t>
  </si>
  <si>
    <t>.wmi</t>
  </si>
  <si>
    <t>Jemlosta</t>
  </si>
  <si>
    <t>Migokuan</t>
  </si>
  <si>
    <t>Enina</t>
  </si>
  <si>
    <t>eh-NEE-nah</t>
  </si>
  <si>
    <t>/ɛˈniː.nə/</t>
  </si>
  <si>
    <t>.eni</t>
  </si>
  <si>
    <t>Ementav</t>
  </si>
  <si>
    <t xml:space="preserve">Eninan </t>
  </si>
  <si>
    <t>Far Lands</t>
  </si>
  <si>
    <t>FAR lands</t>
  </si>
  <si>
    <t>/fɑːr lændz/</t>
  </si>
  <si>
    <t>.far</t>
  </si>
  <si>
    <t>Ueente</t>
  </si>
  <si>
    <t xml:space="preserve">Farlander </t>
  </si>
  <si>
    <t>Isuibul</t>
  </si>
  <si>
    <t>EE-soo-ih-bul</t>
  </si>
  <si>
    <t>/iːˈsuː.ɪ.bʊl/</t>
  </si>
  <si>
    <t>.isu</t>
  </si>
  <si>
    <t>Karundal</t>
  </si>
  <si>
    <t>Isuibuler</t>
  </si>
  <si>
    <t>Tonder</t>
  </si>
  <si>
    <t>TON-der</t>
  </si>
  <si>
    <t>/ˈtɒn.dər/</t>
  </si>
  <si>
    <t>.ton</t>
  </si>
  <si>
    <t>Tonderian</t>
  </si>
  <si>
    <t>Letan</t>
  </si>
  <si>
    <t>LEH-tahn</t>
  </si>
  <si>
    <t>/ˈlɛ.tɑːn/</t>
  </si>
  <si>
    <t>.let</t>
  </si>
  <si>
    <t>Actilica</t>
  </si>
  <si>
    <t>Tvecoca</t>
  </si>
  <si>
    <t>tveh-KOH-kah</t>
  </si>
  <si>
    <t>/ˌtvɛˈkoʊ.kɑː/</t>
  </si>
  <si>
    <t>.tve</t>
  </si>
  <si>
    <t>Lurvani</t>
  </si>
  <si>
    <t>Tvecocan</t>
  </si>
  <si>
    <t>Trevilla</t>
  </si>
  <si>
    <t>treh-VILL-ah</t>
  </si>
  <si>
    <t>/ˌtrɛˈvɪl.ɑː/</t>
  </si>
  <si>
    <t>.tre</t>
  </si>
  <si>
    <t>City Tirnsch</t>
  </si>
  <si>
    <t>Trevillian</t>
  </si>
  <si>
    <t>Cruthi Anoso</t>
  </si>
  <si>
    <t>KROO-thee AH-noh-soh</t>
  </si>
  <si>
    <t>/ˈkruː.θi ˈɑː.noʊ.soʊ/</t>
  </si>
  <si>
    <t>.cru</t>
  </si>
  <si>
    <t>Lunarev</t>
  </si>
  <si>
    <t>Cruthite</t>
  </si>
  <si>
    <t>Totals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</si>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</sst>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"/>
    <numFmt numFmtId="165" formatCode="0.000"/>
    <numFmt numFmtId="166" formatCode="[$$]#,##0"/>
    <numFmt numFmtId="167" formatCode="&quot;$&quot;#,##0"/>
    <numFmt numFmtId="168" formatCode="+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  <font>
      <color theme="1"/>
      <name val="Arial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D9D4"/>
        <bgColor rgb="FFCCD9D4"/>
      </patternFill>
    </fill>
  </fills>
  <borders count="9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10" xfId="0" applyAlignment="1" applyBorder="1" applyFont="1" applyNumberFormat="1">
      <alignment horizontal="center" readingOrder="0" shrinkToFit="0" vertical="center" wrapText="0"/>
    </xf>
    <xf borderId="2" fillId="2" fontId="2" numFmtId="10" xfId="0" applyAlignment="1" applyBorder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3" fillId="3" fontId="4" numFmtId="164" xfId="0" applyAlignment="1" applyBorder="1" applyFill="1" applyFont="1" applyNumberForma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3" fillId="3" fontId="4" numFmtId="166" xfId="0" applyAlignment="1" applyBorder="1" applyFont="1" applyNumberFormat="1">
      <alignment horizontal="center" shrinkToFit="0" vertical="center" wrapText="0"/>
    </xf>
    <xf borderId="3" fillId="3" fontId="4" numFmtId="10" xfId="0" applyAlignment="1" applyBorder="1" applyFont="1" applyNumberFormat="1">
      <alignment horizontal="center" shrinkToFit="0" vertical="center" wrapText="0"/>
    </xf>
    <xf borderId="4" fillId="4" fontId="4" numFmtId="164" xfId="0" applyAlignment="1" applyBorder="1" applyFill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4" fontId="4" numFmtId="49" xfId="0" applyAlignment="1" applyBorder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4" fillId="4" fontId="4" numFmtId="166" xfId="0" applyAlignment="1" applyBorder="1" applyFont="1" applyNumberFormat="1">
      <alignment horizontal="center" shrinkToFit="0" vertical="center" wrapText="0"/>
    </xf>
    <xf borderId="4" fillId="4" fontId="4" numFmtId="10" xfId="0" applyAlignment="1" applyBorder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3" fillId="4" fontId="4" numFmtId="164" xfId="0" applyAlignment="1" applyBorder="1" applyFont="1" applyNumberFormat="1">
      <alignment horizontal="center"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3" fillId="4" fontId="4" numFmtId="166" xfId="0" applyAlignment="1" applyBorder="1" applyFont="1" applyNumberFormat="1">
      <alignment horizontal="center" shrinkToFit="0" vertical="center" wrapText="0"/>
    </xf>
    <xf borderId="3" fillId="4" fontId="4" numFmtId="10" xfId="0" applyAlignment="1" applyBorder="1" applyFont="1" applyNumberFormat="1">
      <alignment horizontal="center" shrinkToFit="0" vertical="center" wrapText="0"/>
    </xf>
    <xf borderId="4" fillId="3" fontId="4" numFmtId="164" xfId="0" applyAlignment="1" applyBorder="1" applyFont="1" applyNumberFormat="1">
      <alignment horizontal="center" shrinkToFit="0" vertical="center" wrapText="0"/>
    </xf>
    <xf borderId="4" fillId="3" fontId="4" numFmtId="49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4" fillId="3" fontId="4" numFmtId="166" xfId="0" applyAlignment="1" applyBorder="1" applyFont="1" applyNumberFormat="1">
      <alignment horizontal="center" shrinkToFit="0" vertical="center" wrapText="0"/>
    </xf>
    <xf borderId="4" fillId="3" fontId="4" numFmtId="10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5" fillId="4" fontId="4" numFmtId="10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6" fillId="3" fontId="4" numFmtId="10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5" fillId="3" fontId="4" numFmtId="10" xfId="0" applyAlignment="1" applyBorder="1" applyFont="1" applyNumberFormat="1">
      <alignment horizontal="center" shrinkToFit="0" vertical="center" wrapText="0"/>
    </xf>
    <xf borderId="6" fillId="4" fontId="4" numFmtId="10" xfId="0" applyAlignment="1" applyBorder="1" applyFont="1" applyNumberFormat="1">
      <alignment horizontal="center" shrinkToFit="0" vertical="center" wrapText="0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3" fillId="4" fontId="4" numFmtId="49" xfId="0" applyAlignment="1" applyBorder="1" applyFont="1" applyNumberFormat="1">
      <alignment horizontal="center" readingOrder="0" shrinkToFit="0" vertical="center" wrapText="0"/>
    </xf>
    <xf borderId="0" fillId="4" fontId="4" numFmtId="49" xfId="0" applyAlignment="1" applyFont="1" applyNumberFormat="1">
      <alignment horizontal="center" shrinkToFit="0" vertical="center" wrapText="0"/>
    </xf>
    <xf borderId="0" fillId="4" fontId="5" numFmtId="49" xfId="0" applyAlignment="1" applyFont="1" applyNumberFormat="1">
      <alignment horizontal="center" readingOrder="0" shrinkToFit="0" vertical="center" wrapText="0"/>
    </xf>
    <xf borderId="4" fillId="0" fontId="1" numFmtId="49" xfId="0" applyAlignment="1" applyBorder="1" applyFont="1" applyNumberFormat="1">
      <alignment horizontal="center" readingOrder="0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3" fontId="5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3" fillId="0" fontId="1" numFmtId="164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168" xfId="0" applyAlignment="1" applyFont="1" applyNumberFormat="1">
      <alignment horizontal="center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7" fillId="5" fontId="6" numFmtId="0" xfId="0" applyAlignment="1" applyBorder="1" applyFill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7" fillId="5" fontId="4" numFmtId="166" xfId="0" applyAlignment="1" applyBorder="1" applyFont="1" applyNumberFormat="1">
      <alignment horizontal="center" shrinkToFit="0" vertical="center" wrapText="0"/>
    </xf>
    <xf borderId="8" fillId="5" fontId="4" numFmtId="10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readingOrder="0"/>
    </xf>
    <xf borderId="3" fillId="0" fontId="1" numFmtId="164" xfId="0" applyAlignment="1" applyBorder="1" applyFont="1" applyNumberFormat="1">
      <alignment readingOrder="0"/>
    </xf>
    <xf borderId="0" fillId="3" fontId="6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3" fontId="6" numFmtId="0" xfId="0" applyAlignment="1" applyFont="1">
      <alignment vertical="bottom"/>
    </xf>
    <xf borderId="0" fillId="3" fontId="6" numFmtId="10" xfId="0" applyAlignment="1" applyFont="1" applyNumberFormat="1">
      <alignment vertical="bottom"/>
    </xf>
    <xf borderId="0" fillId="3" fontId="7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4" fontId="6" numFmtId="0" xfId="0" applyAlignment="1" applyFont="1">
      <alignment vertical="bottom"/>
    </xf>
    <xf borderId="0" fillId="4" fontId="6" numFmtId="10" xfId="0" applyAlignment="1" applyFont="1" applyNumberFormat="1">
      <alignment vertical="bottom"/>
    </xf>
    <xf borderId="0" fillId="0" fontId="1" numFmtId="166" xfId="0" applyFont="1" applyNumberFormat="1"/>
    <xf borderId="0" fillId="0" fontId="6" numFmtId="10" xfId="0" applyAlignment="1" applyFont="1" applyNumberForma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AL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ALL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W174" displayName="ALL" name="ALL" id="1">
  <tableColumns count="23">
    <tableColumn totalsRowLabel="Totals" name="Name" id="1"/>
    <tableColumn totalsRowFunction="custom" name="Population" id="2"/>
    <tableColumn name="Pronunciation" id="3"/>
    <tableColumn name="IPA Use (https://ipa-reader.com/)" id="4"/>
    <tableColumn totalsRowLabel="N/a" name="Continent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 NOM" id="19"/>
    <tableColumn totalsRowFunction="custom" name="Military NOM USD " id="20"/>
    <tableColumn totalsRowFunction="custom" name="Military PPP" id="21"/>
    <tableColumn totalsRowFunction="custom" name="Military PPP USD" id="22"/>
    <tableColumn totalsRowFunction="custom" name="Per GDP" id="23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headerRowCount="0" ref="A175:W175" displayName="Table_1" name="Table_1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AL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63"/>
    <col customWidth="1" min="2" max="2" width="12.88"/>
    <col customWidth="1" min="3" max="4" width="20.63"/>
    <col customWidth="1" min="5" max="5" width="9.25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7.38"/>
    <col customWidth="1" min="20" max="20" width="15.88"/>
    <col customWidth="1" min="21" max="21" width="17.0"/>
    <col customWidth="1" min="22" max="22" width="16.63"/>
    <col customWidth="1" min="23" max="23" width="11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8" t="s">
        <v>18</v>
      </c>
      <c r="T1" s="9" t="s">
        <v>19</v>
      </c>
      <c r="U1" s="3" t="s">
        <v>20</v>
      </c>
      <c r="V1" s="3" t="s">
        <v>21</v>
      </c>
      <c r="W1" s="10" t="s">
        <v>22</v>
      </c>
    </row>
    <row r="2" ht="22.5" customHeight="1">
      <c r="A2" s="11" t="s">
        <v>23</v>
      </c>
      <c r="B2" s="12">
        <f t="shared" ref="B2:B169" si="1">SUM(J2*K2)</f>
        <v>301115278.2</v>
      </c>
      <c r="C2" s="13" t="s">
        <v>24</v>
      </c>
      <c r="D2" s="13" t="s">
        <v>25</v>
      </c>
      <c r="E2" s="6" t="s">
        <v>26</v>
      </c>
      <c r="F2" s="14">
        <f t="shared" ref="F2:F169" si="2">SUM(G2*B2)</f>
        <v>8579395623719</v>
      </c>
      <c r="G2" s="15">
        <v>28492.0634920635</v>
      </c>
      <c r="H2" s="14">
        <v>8.579395623719494E12</v>
      </c>
      <c r="I2" s="15">
        <f t="shared" ref="I2:I173" si="3">sum(H2/B2)</f>
        <v>28492.06349</v>
      </c>
      <c r="J2" s="16">
        <v>127.8124</v>
      </c>
      <c r="K2" s="17">
        <v>2355916.0</v>
      </c>
      <c r="L2" s="18">
        <f t="shared" ref="L2:L169" si="4">SUM(K2*0.386102)</f>
        <v>909623.8794</v>
      </c>
      <c r="M2" s="19">
        <v>0.942</v>
      </c>
      <c r="N2" s="20">
        <v>8.66</v>
      </c>
      <c r="O2" s="21">
        <v>20.0</v>
      </c>
      <c r="P2" s="22" t="s">
        <v>27</v>
      </c>
      <c r="Q2" s="6" t="s">
        <v>28</v>
      </c>
      <c r="R2" s="1" t="s">
        <v>29</v>
      </c>
      <c r="S2" s="23">
        <f t="shared" ref="S2:S169" si="5">SUM(F2*W2)</f>
        <v>292557390769</v>
      </c>
      <c r="T2" s="23">
        <f t="shared" ref="T2:T173" si="6">SUM(F2*W2*1.5)</f>
        <v>438836086153</v>
      </c>
      <c r="U2" s="23">
        <f t="shared" ref="U2:U173" si="7">SUM(H2*W2)</f>
        <v>292557390769</v>
      </c>
      <c r="V2" s="23">
        <f t="shared" ref="V2:V173" si="8">SUM(H2*W2*1.5)</f>
        <v>438836086153</v>
      </c>
      <c r="W2" s="24">
        <v>0.0341</v>
      </c>
    </row>
    <row r="3" ht="22.5" customHeight="1">
      <c r="A3" s="11" t="s">
        <v>30</v>
      </c>
      <c r="B3" s="25">
        <f t="shared" si="1"/>
        <v>890601322.2</v>
      </c>
      <c r="C3" s="26" t="s">
        <v>31</v>
      </c>
      <c r="D3" s="27" t="s">
        <v>32</v>
      </c>
      <c r="E3" s="6" t="s">
        <v>33</v>
      </c>
      <c r="F3" s="14">
        <f t="shared" si="2"/>
        <v>9578388947394</v>
      </c>
      <c r="G3" s="15">
        <v>10754.9682539683</v>
      </c>
      <c r="H3" s="28">
        <v>1.80266089684552E13</v>
      </c>
      <c r="I3" s="15">
        <f t="shared" si="3"/>
        <v>20240.94117</v>
      </c>
      <c r="J3" s="16">
        <v>201.0773</v>
      </c>
      <c r="K3" s="17">
        <v>4429149.0</v>
      </c>
      <c r="L3" s="18">
        <f t="shared" si="4"/>
        <v>1710103.287</v>
      </c>
      <c r="M3" s="19">
        <v>0.895</v>
      </c>
      <c r="N3" s="20">
        <v>6.21</v>
      </c>
      <c r="O3" s="21">
        <v>51.0</v>
      </c>
      <c r="P3" s="22" t="s">
        <v>34</v>
      </c>
      <c r="Q3" s="6" t="s">
        <v>35</v>
      </c>
      <c r="R3" s="6" t="s">
        <v>36</v>
      </c>
      <c r="S3" s="29">
        <f t="shared" si="5"/>
        <v>289267346211</v>
      </c>
      <c r="T3" s="29">
        <f t="shared" si="6"/>
        <v>433901019317</v>
      </c>
      <c r="U3" s="29">
        <f t="shared" si="7"/>
        <v>544403590847</v>
      </c>
      <c r="V3" s="29">
        <f t="shared" si="8"/>
        <v>816605386271</v>
      </c>
      <c r="W3" s="30">
        <v>0.0302</v>
      </c>
    </row>
    <row r="4" ht="22.5" customHeight="1">
      <c r="A4" s="31" t="s">
        <v>37</v>
      </c>
      <c r="B4" s="12">
        <f t="shared" si="1"/>
        <v>347520586.7</v>
      </c>
      <c r="C4" s="13" t="s">
        <v>38</v>
      </c>
      <c r="D4" s="13" t="s">
        <v>39</v>
      </c>
      <c r="E4" s="6" t="s">
        <v>40</v>
      </c>
      <c r="F4" s="14">
        <f t="shared" si="2"/>
        <v>4121980291974</v>
      </c>
      <c r="G4" s="15">
        <v>11861.111111111111</v>
      </c>
      <c r="H4" s="14">
        <v>7.460784328473694E12</v>
      </c>
      <c r="I4" s="15">
        <f t="shared" si="3"/>
        <v>21468.61111</v>
      </c>
      <c r="J4" s="16">
        <v>134.5993</v>
      </c>
      <c r="K4" s="17">
        <v>2581890.0</v>
      </c>
      <c r="L4" s="18">
        <f t="shared" si="4"/>
        <v>996872.8928</v>
      </c>
      <c r="M4" s="19">
        <v>0.839</v>
      </c>
      <c r="N4" s="20">
        <v>2.33</v>
      </c>
      <c r="O4" s="21">
        <v>901.0</v>
      </c>
      <c r="P4" s="6" t="s">
        <v>41</v>
      </c>
      <c r="Q4" s="6" t="s">
        <v>42</v>
      </c>
      <c r="R4" s="1" t="s">
        <v>43</v>
      </c>
      <c r="S4" s="23">
        <f t="shared" si="5"/>
        <v>176420756497</v>
      </c>
      <c r="T4" s="23">
        <f t="shared" si="6"/>
        <v>264631134745</v>
      </c>
      <c r="U4" s="23">
        <f t="shared" si="7"/>
        <v>319321569259</v>
      </c>
      <c r="V4" s="23">
        <f t="shared" si="8"/>
        <v>478982353888</v>
      </c>
      <c r="W4" s="24">
        <v>0.0428</v>
      </c>
    </row>
    <row r="5" ht="22.5" customHeight="1">
      <c r="A5" s="11" t="s">
        <v>44</v>
      </c>
      <c r="B5" s="25">
        <f t="shared" si="1"/>
        <v>579087437.2</v>
      </c>
      <c r="C5" s="26" t="s">
        <v>45</v>
      </c>
      <c r="D5" s="27" t="s">
        <v>46</v>
      </c>
      <c r="E5" s="6" t="s">
        <v>47</v>
      </c>
      <c r="F5" s="14">
        <f t="shared" si="2"/>
        <v>4595932041317</v>
      </c>
      <c r="G5" s="15">
        <v>7936.507936507936</v>
      </c>
      <c r="H5" s="28">
        <v>1.11736673849464E13</v>
      </c>
      <c r="I5" s="15">
        <f t="shared" si="3"/>
        <v>19295.30269</v>
      </c>
      <c r="J5" s="16">
        <v>98.918</v>
      </c>
      <c r="K5" s="17">
        <v>5854217.0</v>
      </c>
      <c r="L5" s="18">
        <f t="shared" si="4"/>
        <v>2260324.892</v>
      </c>
      <c r="M5" s="19">
        <v>0.712</v>
      </c>
      <c r="N5" s="20">
        <v>5.23</v>
      </c>
      <c r="O5" s="21">
        <v>88.0</v>
      </c>
      <c r="P5" s="6" t="s">
        <v>48</v>
      </c>
      <c r="Q5" s="6" t="s">
        <v>49</v>
      </c>
      <c r="R5" s="1" t="s">
        <v>50</v>
      </c>
      <c r="S5" s="29">
        <f t="shared" si="5"/>
        <v>122711385503</v>
      </c>
      <c r="T5" s="29">
        <f t="shared" si="6"/>
        <v>184067078255</v>
      </c>
      <c r="U5" s="29">
        <f t="shared" si="7"/>
        <v>298336919178</v>
      </c>
      <c r="V5" s="29">
        <f t="shared" si="8"/>
        <v>447505378767</v>
      </c>
      <c r="W5" s="30">
        <v>0.0267</v>
      </c>
    </row>
    <row r="6" ht="22.5" customHeight="1">
      <c r="A6" s="31" t="s">
        <v>51</v>
      </c>
      <c r="B6" s="32">
        <f t="shared" si="1"/>
        <v>260844815.7</v>
      </c>
      <c r="C6" s="33" t="s">
        <v>52</v>
      </c>
      <c r="D6" s="33" t="s">
        <v>53</v>
      </c>
      <c r="E6" s="6" t="s">
        <v>54</v>
      </c>
      <c r="F6" s="14">
        <f t="shared" si="2"/>
        <v>2805116867175</v>
      </c>
      <c r="G6" s="15">
        <v>10753.968253968254</v>
      </c>
      <c r="H6" s="28">
        <v>5.05777321630372E12</v>
      </c>
      <c r="I6" s="15">
        <f t="shared" si="3"/>
        <v>19389.97025</v>
      </c>
      <c r="J6" s="16">
        <v>35.873</v>
      </c>
      <c r="K6" s="17">
        <v>7271341.0</v>
      </c>
      <c r="L6" s="18">
        <f t="shared" si="4"/>
        <v>2807479.303</v>
      </c>
      <c r="M6" s="19">
        <v>0.825</v>
      </c>
      <c r="N6" s="20">
        <v>6.21</v>
      </c>
      <c r="O6" s="21">
        <v>30.0</v>
      </c>
      <c r="P6" s="22" t="s">
        <v>55</v>
      </c>
      <c r="Q6" s="6" t="s">
        <v>56</v>
      </c>
      <c r="R6" s="1" t="s">
        <v>51</v>
      </c>
      <c r="S6" s="34">
        <f t="shared" si="5"/>
        <v>93690903364</v>
      </c>
      <c r="T6" s="34">
        <f t="shared" si="6"/>
        <v>140536355045</v>
      </c>
      <c r="U6" s="34">
        <f t="shared" si="7"/>
        <v>168929625425</v>
      </c>
      <c r="V6" s="34">
        <f t="shared" si="8"/>
        <v>253394438137</v>
      </c>
      <c r="W6" s="35">
        <v>0.0334</v>
      </c>
    </row>
    <row r="7" ht="22.5" customHeight="1">
      <c r="A7" s="11" t="s">
        <v>57</v>
      </c>
      <c r="B7" s="36">
        <f t="shared" si="1"/>
        <v>74667446.56</v>
      </c>
      <c r="C7" s="37" t="s">
        <v>58</v>
      </c>
      <c r="D7" s="37" t="s">
        <v>59</v>
      </c>
      <c r="E7" s="6" t="s">
        <v>26</v>
      </c>
      <c r="F7" s="14">
        <f t="shared" si="2"/>
        <v>2642990568619</v>
      </c>
      <c r="G7" s="15">
        <v>35396.8253968254</v>
      </c>
      <c r="H7" s="14">
        <v>2.1910391813852168E12</v>
      </c>
      <c r="I7" s="15">
        <f t="shared" si="3"/>
        <v>29343.96825</v>
      </c>
      <c r="J7" s="16">
        <v>40.0399</v>
      </c>
      <c r="K7" s="38">
        <v>1864826.0</v>
      </c>
      <c r="L7" s="18">
        <f t="shared" si="4"/>
        <v>720013.0483</v>
      </c>
      <c r="M7" s="19">
        <v>0.969</v>
      </c>
      <c r="N7" s="20">
        <v>9.04</v>
      </c>
      <c r="O7" s="21">
        <v>22.0</v>
      </c>
      <c r="P7" s="22" t="s">
        <v>60</v>
      </c>
      <c r="Q7" s="6" t="s">
        <v>61</v>
      </c>
      <c r="R7" s="1" t="s">
        <v>62</v>
      </c>
      <c r="S7" s="39">
        <f t="shared" si="5"/>
        <v>57617194396</v>
      </c>
      <c r="T7" s="39">
        <f t="shared" si="6"/>
        <v>86425791594</v>
      </c>
      <c r="U7" s="39">
        <f t="shared" si="7"/>
        <v>47764654154</v>
      </c>
      <c r="V7" s="39">
        <f t="shared" si="8"/>
        <v>71646981231</v>
      </c>
      <c r="W7" s="40">
        <v>0.0218</v>
      </c>
    </row>
    <row r="8" ht="22.5" customHeight="1">
      <c r="A8" s="41" t="s">
        <v>63</v>
      </c>
      <c r="B8" s="32">
        <f t="shared" si="1"/>
        <v>69480630.6</v>
      </c>
      <c r="C8" s="33" t="s">
        <v>64</v>
      </c>
      <c r="D8" s="33" t="s">
        <v>65</v>
      </c>
      <c r="E8" s="6" t="s">
        <v>54</v>
      </c>
      <c r="F8" s="14">
        <f t="shared" si="2"/>
        <v>1549528349095</v>
      </c>
      <c r="G8" s="15">
        <v>22301.5873015873</v>
      </c>
      <c r="H8" s="28">
        <v>1.8682335322511E12</v>
      </c>
      <c r="I8" s="15">
        <f t="shared" si="3"/>
        <v>26888.55176</v>
      </c>
      <c r="J8" s="16">
        <v>95.1</v>
      </c>
      <c r="K8" s="17">
        <v>730606.0</v>
      </c>
      <c r="L8" s="18">
        <f t="shared" si="4"/>
        <v>282088.4378</v>
      </c>
      <c r="M8" s="19">
        <v>0.974</v>
      </c>
      <c r="N8" s="20">
        <v>9.59</v>
      </c>
      <c r="O8" s="21">
        <v>12.0</v>
      </c>
      <c r="P8" s="6" t="s">
        <v>66</v>
      </c>
      <c r="Q8" s="6" t="s">
        <v>67</v>
      </c>
      <c r="R8" s="1" t="s">
        <v>68</v>
      </c>
      <c r="S8" s="34">
        <f t="shared" si="5"/>
        <v>54233492218</v>
      </c>
      <c r="T8" s="34">
        <f t="shared" si="6"/>
        <v>81350238328</v>
      </c>
      <c r="U8" s="34">
        <f t="shared" si="7"/>
        <v>65388173629</v>
      </c>
      <c r="V8" s="34">
        <f t="shared" si="8"/>
        <v>98082260443</v>
      </c>
      <c r="W8" s="35">
        <v>0.035</v>
      </c>
    </row>
    <row r="9" ht="22.5" customHeight="1">
      <c r="A9" s="41" t="s">
        <v>69</v>
      </c>
      <c r="B9" s="25">
        <f t="shared" si="1"/>
        <v>90861039.76</v>
      </c>
      <c r="C9" s="27" t="s">
        <v>70</v>
      </c>
      <c r="D9" s="27" t="s">
        <v>71</v>
      </c>
      <c r="E9" s="6" t="s">
        <v>54</v>
      </c>
      <c r="F9" s="14">
        <f t="shared" si="2"/>
        <v>2109274137239</v>
      </c>
      <c r="G9" s="15">
        <v>23214.285714285714</v>
      </c>
      <c r="H9" s="28">
        <v>2.69364510272886E12</v>
      </c>
      <c r="I9" s="15">
        <f t="shared" si="3"/>
        <v>29645.76577</v>
      </c>
      <c r="J9" s="16">
        <v>211.903</v>
      </c>
      <c r="K9" s="17">
        <v>428786.0</v>
      </c>
      <c r="L9" s="18">
        <f t="shared" si="4"/>
        <v>165555.1322</v>
      </c>
      <c r="M9" s="19">
        <v>0.945</v>
      </c>
      <c r="N9" s="20">
        <v>7.64</v>
      </c>
      <c r="O9" s="21">
        <v>1.0</v>
      </c>
      <c r="P9" s="22" t="s">
        <v>72</v>
      </c>
      <c r="Q9" s="6" t="s">
        <v>73</v>
      </c>
      <c r="R9" s="1" t="s">
        <v>74</v>
      </c>
      <c r="S9" s="29">
        <f t="shared" si="5"/>
        <v>53153708258</v>
      </c>
      <c r="T9" s="29">
        <f t="shared" si="6"/>
        <v>79730562388</v>
      </c>
      <c r="U9" s="29">
        <f t="shared" si="7"/>
        <v>67879856589</v>
      </c>
      <c r="V9" s="29">
        <f t="shared" si="8"/>
        <v>101819784883</v>
      </c>
      <c r="W9" s="30">
        <v>0.0252</v>
      </c>
    </row>
    <row r="10" ht="22.5" customHeight="1">
      <c r="A10" s="31" t="s">
        <v>75</v>
      </c>
      <c r="B10" s="32">
        <f t="shared" si="1"/>
        <v>79558877.23</v>
      </c>
      <c r="C10" s="42" t="s">
        <v>76</v>
      </c>
      <c r="D10" s="33" t="s">
        <v>77</v>
      </c>
      <c r="E10" s="6" t="s">
        <v>40</v>
      </c>
      <c r="F10" s="14">
        <f t="shared" si="2"/>
        <v>1000800162006</v>
      </c>
      <c r="G10" s="15">
        <v>12579.36507936508</v>
      </c>
      <c r="H10" s="14">
        <v>1.401120226808E12</v>
      </c>
      <c r="I10" s="15">
        <f t="shared" si="3"/>
        <v>17611.11111</v>
      </c>
      <c r="J10" s="16">
        <v>107.8092</v>
      </c>
      <c r="K10" s="17">
        <v>737960.0</v>
      </c>
      <c r="L10" s="18">
        <f t="shared" si="4"/>
        <v>284927.8319</v>
      </c>
      <c r="M10" s="19">
        <v>0.918</v>
      </c>
      <c r="N10" s="20">
        <v>8.92</v>
      </c>
      <c r="O10" s="21">
        <v>744.0</v>
      </c>
      <c r="P10" s="22" t="s">
        <v>78</v>
      </c>
      <c r="Q10" s="6" t="s">
        <v>79</v>
      </c>
      <c r="R10" s="1" t="s">
        <v>80</v>
      </c>
      <c r="S10" s="34">
        <f t="shared" si="5"/>
        <v>45936727436</v>
      </c>
      <c r="T10" s="34">
        <f t="shared" si="6"/>
        <v>68905091154</v>
      </c>
      <c r="U10" s="34">
        <f t="shared" si="7"/>
        <v>64311418410</v>
      </c>
      <c r="V10" s="34">
        <f t="shared" si="8"/>
        <v>96467127616</v>
      </c>
      <c r="W10" s="35">
        <v>0.0459</v>
      </c>
    </row>
    <row r="11" ht="22.5" customHeight="1">
      <c r="A11" s="43" t="s">
        <v>81</v>
      </c>
      <c r="B11" s="25">
        <f t="shared" si="1"/>
        <v>425141433.6</v>
      </c>
      <c r="C11" s="26" t="s">
        <v>82</v>
      </c>
      <c r="D11" s="27" t="s">
        <v>83</v>
      </c>
      <c r="E11" s="6" t="s">
        <v>84</v>
      </c>
      <c r="F11" s="14">
        <f t="shared" si="2"/>
        <v>1449192426574</v>
      </c>
      <c r="G11" s="15">
        <v>3408.7301587301586</v>
      </c>
      <c r="H11" s="14">
        <v>4.2171499613316333E12</v>
      </c>
      <c r="I11" s="15">
        <f t="shared" si="3"/>
        <v>9919.404762</v>
      </c>
      <c r="J11" s="16">
        <v>252.715</v>
      </c>
      <c r="K11" s="17">
        <v>1682296.0</v>
      </c>
      <c r="L11" s="18">
        <f t="shared" si="4"/>
        <v>649537.8502</v>
      </c>
      <c r="M11" s="19">
        <v>0.66</v>
      </c>
      <c r="N11" s="20">
        <v>6.24</v>
      </c>
      <c r="O11" s="21">
        <v>71.0</v>
      </c>
      <c r="P11" s="22" t="s">
        <v>85</v>
      </c>
      <c r="Q11" s="6" t="s">
        <v>86</v>
      </c>
      <c r="R11" s="1" t="s">
        <v>87</v>
      </c>
      <c r="S11" s="29">
        <f t="shared" si="5"/>
        <v>42606257341</v>
      </c>
      <c r="T11" s="29">
        <f t="shared" si="6"/>
        <v>63909386012</v>
      </c>
      <c r="U11" s="29">
        <f t="shared" si="7"/>
        <v>123984208863</v>
      </c>
      <c r="V11" s="29">
        <f t="shared" si="8"/>
        <v>185976313295</v>
      </c>
      <c r="W11" s="30">
        <v>0.0294</v>
      </c>
    </row>
    <row r="12" ht="22.5" customHeight="1">
      <c r="A12" s="41" t="s">
        <v>88</v>
      </c>
      <c r="B12" s="12">
        <f t="shared" si="1"/>
        <v>81313729.32</v>
      </c>
      <c r="C12" s="13" t="s">
        <v>89</v>
      </c>
      <c r="D12" s="13" t="s">
        <v>90</v>
      </c>
      <c r="E12" s="6" t="s">
        <v>54</v>
      </c>
      <c r="F12" s="14">
        <f t="shared" si="2"/>
        <v>1677902350965</v>
      </c>
      <c r="G12" s="15">
        <v>20634.920634920636</v>
      </c>
      <c r="H12" s="28">
        <v>2.12891356255194E12</v>
      </c>
      <c r="I12" s="15">
        <f t="shared" si="3"/>
        <v>26181.47735</v>
      </c>
      <c r="J12" s="16">
        <v>164.407</v>
      </c>
      <c r="K12" s="17">
        <v>494588.0</v>
      </c>
      <c r="L12" s="18">
        <f t="shared" si="4"/>
        <v>190961.416</v>
      </c>
      <c r="M12" s="19">
        <v>0.939</v>
      </c>
      <c r="N12" s="20">
        <v>8.46</v>
      </c>
      <c r="O12" s="21">
        <v>19.0</v>
      </c>
      <c r="P12" s="22" t="s">
        <v>91</v>
      </c>
      <c r="Q12" s="6" t="s">
        <v>92</v>
      </c>
      <c r="R12" s="1" t="s">
        <v>93</v>
      </c>
      <c r="S12" s="23">
        <f t="shared" si="5"/>
        <v>40773027128</v>
      </c>
      <c r="T12" s="23">
        <f t="shared" si="6"/>
        <v>61159540693</v>
      </c>
      <c r="U12" s="23">
        <f t="shared" si="7"/>
        <v>51732599570</v>
      </c>
      <c r="V12" s="23">
        <f t="shared" si="8"/>
        <v>77598899355</v>
      </c>
      <c r="W12" s="24">
        <v>0.0243</v>
      </c>
    </row>
    <row r="13" ht="22.5" customHeight="1">
      <c r="A13" s="11" t="s">
        <v>94</v>
      </c>
      <c r="B13" s="25">
        <f t="shared" si="1"/>
        <v>71957345.98</v>
      </c>
      <c r="C13" s="26" t="s">
        <v>95</v>
      </c>
      <c r="D13" s="27" t="s">
        <v>96</v>
      </c>
      <c r="E13" s="6" t="s">
        <v>40</v>
      </c>
      <c r="F13" s="14">
        <f t="shared" si="2"/>
        <v>790959715767</v>
      </c>
      <c r="G13" s="15">
        <v>10992.063492063491</v>
      </c>
      <c r="H13" s="14">
        <v>1.47909466848357E12</v>
      </c>
      <c r="I13" s="15">
        <f t="shared" si="3"/>
        <v>20555.15873</v>
      </c>
      <c r="J13" s="16">
        <v>82.0123</v>
      </c>
      <c r="K13" s="17">
        <v>877397.0</v>
      </c>
      <c r="L13" s="18">
        <f t="shared" si="4"/>
        <v>338764.7365</v>
      </c>
      <c r="M13" s="19">
        <v>0.832</v>
      </c>
      <c r="N13" s="20">
        <v>6.08</v>
      </c>
      <c r="O13" s="21">
        <v>921.0</v>
      </c>
      <c r="P13" s="22" t="s">
        <v>97</v>
      </c>
      <c r="Q13" s="6" t="s">
        <v>98</v>
      </c>
      <c r="R13" s="1" t="s">
        <v>99</v>
      </c>
      <c r="S13" s="29">
        <f t="shared" si="5"/>
        <v>37254202613</v>
      </c>
      <c r="T13" s="29">
        <f t="shared" si="6"/>
        <v>55881303919</v>
      </c>
      <c r="U13" s="29">
        <f t="shared" si="7"/>
        <v>69665358886</v>
      </c>
      <c r="V13" s="29">
        <f t="shared" si="8"/>
        <v>104498038328</v>
      </c>
      <c r="W13" s="44">
        <v>0.0471</v>
      </c>
    </row>
    <row r="14" ht="22.5" customHeight="1">
      <c r="A14" s="11" t="s">
        <v>100</v>
      </c>
      <c r="B14" s="12">
        <f t="shared" si="1"/>
        <v>62265520.75</v>
      </c>
      <c r="C14" s="45" t="s">
        <v>101</v>
      </c>
      <c r="D14" s="13" t="s">
        <v>102</v>
      </c>
      <c r="E14" s="6" t="s">
        <v>84</v>
      </c>
      <c r="F14" s="14">
        <f t="shared" si="2"/>
        <v>793144133363</v>
      </c>
      <c r="G14" s="15">
        <v>12738.095238095239</v>
      </c>
      <c r="H14" s="14">
        <v>1.16592187604375E12</v>
      </c>
      <c r="I14" s="15">
        <f t="shared" si="3"/>
        <v>18725</v>
      </c>
      <c r="J14" s="16">
        <v>147.47</v>
      </c>
      <c r="K14" s="46">
        <v>422225.0</v>
      </c>
      <c r="L14" s="18">
        <f t="shared" si="4"/>
        <v>163021.917</v>
      </c>
      <c r="M14" s="19">
        <v>0.903</v>
      </c>
      <c r="N14" s="20">
        <v>7.18</v>
      </c>
      <c r="O14" s="21">
        <v>74.0</v>
      </c>
      <c r="P14" s="22" t="s">
        <v>103</v>
      </c>
      <c r="Q14" s="6" t="s">
        <v>104</v>
      </c>
      <c r="R14" s="6" t="s">
        <v>105</v>
      </c>
      <c r="S14" s="23">
        <f t="shared" si="5"/>
        <v>35136285108</v>
      </c>
      <c r="T14" s="23">
        <f t="shared" si="6"/>
        <v>52704427662</v>
      </c>
      <c r="U14" s="23">
        <f t="shared" si="7"/>
        <v>51650339109</v>
      </c>
      <c r="V14" s="23">
        <f t="shared" si="8"/>
        <v>77475508663</v>
      </c>
      <c r="W14" s="47">
        <v>0.0443</v>
      </c>
    </row>
    <row r="15" ht="22.5" customHeight="1">
      <c r="A15" s="31" t="s">
        <v>106</v>
      </c>
      <c r="B15" s="36">
        <f t="shared" si="1"/>
        <v>53302915.82</v>
      </c>
      <c r="C15" s="48" t="s">
        <v>107</v>
      </c>
      <c r="D15" s="37" t="s">
        <v>108</v>
      </c>
      <c r="E15" s="6" t="s">
        <v>84</v>
      </c>
      <c r="F15" s="14">
        <f t="shared" si="2"/>
        <v>539374743417</v>
      </c>
      <c r="G15" s="15">
        <v>10119.047619047618</v>
      </c>
      <c r="H15" s="28">
        <v>9.96030852295833E11</v>
      </c>
      <c r="I15" s="15">
        <f t="shared" si="3"/>
        <v>18686.23577</v>
      </c>
      <c r="J15" s="16">
        <v>44.66</v>
      </c>
      <c r="K15" s="17">
        <v>1193527.0</v>
      </c>
      <c r="L15" s="18">
        <f t="shared" si="4"/>
        <v>460823.1618</v>
      </c>
      <c r="M15" s="19">
        <v>0.9</v>
      </c>
      <c r="N15" s="20">
        <v>4.93</v>
      </c>
      <c r="O15" s="21">
        <v>70.0</v>
      </c>
      <c r="P15" s="6" t="s">
        <v>109</v>
      </c>
      <c r="Q15" s="6" t="s">
        <v>110</v>
      </c>
      <c r="R15" s="6" t="s">
        <v>111</v>
      </c>
      <c r="S15" s="39">
        <f t="shared" si="5"/>
        <v>28694736350</v>
      </c>
      <c r="T15" s="39">
        <f t="shared" si="6"/>
        <v>43042104525</v>
      </c>
      <c r="U15" s="39">
        <f t="shared" si="7"/>
        <v>52988841342</v>
      </c>
      <c r="V15" s="39">
        <f t="shared" si="8"/>
        <v>79483262013</v>
      </c>
      <c r="W15" s="49">
        <v>0.0532</v>
      </c>
    </row>
    <row r="16" ht="22.5" customHeight="1">
      <c r="A16" s="41" t="s">
        <v>112</v>
      </c>
      <c r="B16" s="32">
        <f t="shared" si="1"/>
        <v>29913650</v>
      </c>
      <c r="C16" s="33" t="s">
        <v>113</v>
      </c>
      <c r="D16" s="33" t="s">
        <v>114</v>
      </c>
      <c r="E16" s="6" t="s">
        <v>54</v>
      </c>
      <c r="F16" s="14">
        <f t="shared" si="2"/>
        <v>747841249925</v>
      </c>
      <c r="G16" s="15">
        <v>25000.0</v>
      </c>
      <c r="H16" s="14">
        <v>9.0488791240925E11</v>
      </c>
      <c r="I16" s="15">
        <f t="shared" si="3"/>
        <v>30250</v>
      </c>
      <c r="J16" s="16">
        <v>273.007</v>
      </c>
      <c r="K16" s="38">
        <v>109571.0</v>
      </c>
      <c r="L16" s="18">
        <f t="shared" si="4"/>
        <v>42305.58224</v>
      </c>
      <c r="M16" s="19">
        <v>0.947</v>
      </c>
      <c r="N16" s="20">
        <v>8.56</v>
      </c>
      <c r="O16" s="21">
        <v>11.0</v>
      </c>
      <c r="P16" s="22" t="s">
        <v>115</v>
      </c>
      <c r="Q16" s="6" t="s">
        <v>116</v>
      </c>
      <c r="R16" s="1" t="s">
        <v>117</v>
      </c>
      <c r="S16" s="34">
        <f t="shared" si="5"/>
        <v>24005704123</v>
      </c>
      <c r="T16" s="34">
        <f t="shared" si="6"/>
        <v>36008556184</v>
      </c>
      <c r="U16" s="34">
        <f t="shared" si="7"/>
        <v>29046901988</v>
      </c>
      <c r="V16" s="34">
        <f t="shared" si="8"/>
        <v>43570352983</v>
      </c>
      <c r="W16" s="50">
        <v>0.0321</v>
      </c>
    </row>
    <row r="17" ht="22.5" customHeight="1">
      <c r="A17" s="11" t="s">
        <v>118</v>
      </c>
      <c r="B17" s="36">
        <f t="shared" si="1"/>
        <v>93832500.27</v>
      </c>
      <c r="C17" s="37" t="s">
        <v>119</v>
      </c>
      <c r="D17" s="37" t="s">
        <v>120</v>
      </c>
      <c r="E17" s="6" t="s">
        <v>121</v>
      </c>
      <c r="F17" s="14">
        <f t="shared" si="2"/>
        <v>956942562277</v>
      </c>
      <c r="G17" s="15">
        <v>10198.412698412698</v>
      </c>
      <c r="H17" s="28">
        <v>2.12153867402104E12</v>
      </c>
      <c r="I17" s="15">
        <f t="shared" si="3"/>
        <v>22609.84912</v>
      </c>
      <c r="J17" s="16">
        <v>74.31</v>
      </c>
      <c r="K17" s="17">
        <v>1262717.0</v>
      </c>
      <c r="L17" s="18">
        <f t="shared" si="4"/>
        <v>487537.5591</v>
      </c>
      <c r="M17" s="19">
        <v>0.892</v>
      </c>
      <c r="N17" s="20">
        <v>8.91</v>
      </c>
      <c r="O17" s="21">
        <v>60.0</v>
      </c>
      <c r="P17" s="6" t="s">
        <v>122</v>
      </c>
      <c r="Q17" s="6" t="s">
        <v>123</v>
      </c>
      <c r="R17" s="1" t="s">
        <v>124</v>
      </c>
      <c r="S17" s="39">
        <f t="shared" si="5"/>
        <v>19138851246</v>
      </c>
      <c r="T17" s="39">
        <f t="shared" si="6"/>
        <v>28708276868</v>
      </c>
      <c r="U17" s="39">
        <f t="shared" si="7"/>
        <v>42430773480</v>
      </c>
      <c r="V17" s="39">
        <f t="shared" si="8"/>
        <v>63646160221</v>
      </c>
      <c r="W17" s="49">
        <v>0.02</v>
      </c>
    </row>
    <row r="18" ht="22.5" customHeight="1">
      <c r="A18" s="31" t="s">
        <v>125</v>
      </c>
      <c r="B18" s="12">
        <f t="shared" si="1"/>
        <v>137992638.5</v>
      </c>
      <c r="C18" s="13" t="s">
        <v>126</v>
      </c>
      <c r="D18" s="13" t="s">
        <v>127</v>
      </c>
      <c r="E18" s="6" t="s">
        <v>54</v>
      </c>
      <c r="F18" s="14">
        <f t="shared" si="2"/>
        <v>679011395990</v>
      </c>
      <c r="G18" s="15">
        <v>4920.6349206349205</v>
      </c>
      <c r="H18" s="14">
        <v>1.5481459828582854E12</v>
      </c>
      <c r="I18" s="15">
        <f t="shared" si="3"/>
        <v>11219.04762</v>
      </c>
      <c r="J18" s="16">
        <v>88.243</v>
      </c>
      <c r="K18" s="17">
        <v>1563780.0</v>
      </c>
      <c r="L18" s="18">
        <f t="shared" si="4"/>
        <v>603778.5856</v>
      </c>
      <c r="M18" s="19">
        <v>0.78</v>
      </c>
      <c r="N18" s="20">
        <v>4.12</v>
      </c>
      <c r="O18" s="21">
        <v>32.0</v>
      </c>
      <c r="P18" s="22" t="s">
        <v>128</v>
      </c>
      <c r="Q18" s="6" t="s">
        <v>129</v>
      </c>
      <c r="R18" s="6" t="s">
        <v>125</v>
      </c>
      <c r="S18" s="23">
        <f t="shared" si="5"/>
        <v>18265406552</v>
      </c>
      <c r="T18" s="23">
        <f t="shared" si="6"/>
        <v>27398109828</v>
      </c>
      <c r="U18" s="23">
        <f t="shared" si="7"/>
        <v>41645126939</v>
      </c>
      <c r="V18" s="23">
        <f t="shared" si="8"/>
        <v>62467690408</v>
      </c>
      <c r="W18" s="47">
        <v>0.0269</v>
      </c>
    </row>
    <row r="19" ht="22.5" customHeight="1">
      <c r="A19" s="31" t="s">
        <v>130</v>
      </c>
      <c r="B19" s="25">
        <f t="shared" si="1"/>
        <v>85678805.77</v>
      </c>
      <c r="C19" s="27" t="s">
        <v>131</v>
      </c>
      <c r="D19" s="27" t="s">
        <v>132</v>
      </c>
      <c r="E19" s="6" t="s">
        <v>54</v>
      </c>
      <c r="F19" s="14">
        <f t="shared" si="2"/>
        <v>962186588641</v>
      </c>
      <c r="G19" s="15">
        <v>11230.15873015873</v>
      </c>
      <c r="H19" s="28">
        <v>1.76870116557864E12</v>
      </c>
      <c r="I19" s="15">
        <f t="shared" si="3"/>
        <v>20643.39191</v>
      </c>
      <c r="J19" s="16">
        <v>109.339</v>
      </c>
      <c r="K19" s="17">
        <v>783607.0</v>
      </c>
      <c r="L19" s="18">
        <f t="shared" si="4"/>
        <v>302552.2299</v>
      </c>
      <c r="M19" s="19">
        <v>0.834</v>
      </c>
      <c r="N19" s="20">
        <v>7.02</v>
      </c>
      <c r="O19" s="21">
        <v>17.0</v>
      </c>
      <c r="P19" s="22" t="s">
        <v>133</v>
      </c>
      <c r="Q19" s="6" t="s">
        <v>134</v>
      </c>
      <c r="R19" s="5" t="s">
        <v>130</v>
      </c>
      <c r="S19" s="29">
        <f t="shared" si="5"/>
        <v>17319358596</v>
      </c>
      <c r="T19" s="29">
        <f t="shared" si="6"/>
        <v>25979037893</v>
      </c>
      <c r="U19" s="29">
        <f t="shared" si="7"/>
        <v>31836620980</v>
      </c>
      <c r="V19" s="29">
        <f t="shared" si="8"/>
        <v>47754931471</v>
      </c>
      <c r="W19" s="44">
        <v>0.018</v>
      </c>
    </row>
    <row r="20" ht="22.5" customHeight="1">
      <c r="A20" s="31" t="s">
        <v>135</v>
      </c>
      <c r="B20" s="32">
        <f t="shared" si="1"/>
        <v>21374692.15</v>
      </c>
      <c r="C20" s="33" t="s">
        <v>136</v>
      </c>
      <c r="D20" s="33" t="s">
        <v>137</v>
      </c>
      <c r="E20" s="6" t="s">
        <v>33</v>
      </c>
      <c r="F20" s="14">
        <f t="shared" si="2"/>
        <v>489412594115</v>
      </c>
      <c r="G20" s="15">
        <v>22896.825396825396</v>
      </c>
      <c r="H20" s="14">
        <v>4.600478384683237E11</v>
      </c>
      <c r="I20" s="15">
        <f t="shared" si="3"/>
        <v>21523.01587</v>
      </c>
      <c r="J20" s="16">
        <v>8.4667</v>
      </c>
      <c r="K20" s="17">
        <v>2524560.0</v>
      </c>
      <c r="L20" s="18">
        <f t="shared" si="4"/>
        <v>974737.6651</v>
      </c>
      <c r="M20" s="19">
        <v>0.731</v>
      </c>
      <c r="N20" s="20">
        <v>5.11</v>
      </c>
      <c r="O20" s="21">
        <v>904.0</v>
      </c>
      <c r="P20" s="22" t="s">
        <v>138</v>
      </c>
      <c r="Q20" s="6" t="s">
        <v>139</v>
      </c>
      <c r="R20" s="1" t="s">
        <v>140</v>
      </c>
      <c r="S20" s="34">
        <f t="shared" si="5"/>
        <v>15710144271</v>
      </c>
      <c r="T20" s="34">
        <f t="shared" si="6"/>
        <v>23565216407</v>
      </c>
      <c r="U20" s="34">
        <f t="shared" si="7"/>
        <v>14767535615</v>
      </c>
      <c r="V20" s="34">
        <f t="shared" si="8"/>
        <v>22151303422</v>
      </c>
      <c r="W20" s="50">
        <v>0.0321</v>
      </c>
    </row>
    <row r="21" ht="22.5" customHeight="1">
      <c r="A21" s="31" t="s">
        <v>141</v>
      </c>
      <c r="B21" s="36">
        <f t="shared" si="1"/>
        <v>29182698.16</v>
      </c>
      <c r="C21" s="37" t="s">
        <v>142</v>
      </c>
      <c r="D21" s="37" t="s">
        <v>143</v>
      </c>
      <c r="E21" s="6" t="s">
        <v>84</v>
      </c>
      <c r="F21" s="14">
        <f t="shared" si="2"/>
        <v>409947426533</v>
      </c>
      <c r="G21" s="15">
        <v>14047.619047619048</v>
      </c>
      <c r="H21" s="14">
        <v>5.452300772893333E11</v>
      </c>
      <c r="I21" s="15">
        <f t="shared" si="3"/>
        <v>18683.33333</v>
      </c>
      <c r="J21" s="16">
        <v>11.935</v>
      </c>
      <c r="K21" s="17">
        <v>2445136.0</v>
      </c>
      <c r="L21" s="18">
        <f t="shared" si="4"/>
        <v>944071.8999</v>
      </c>
      <c r="M21" s="19">
        <v>0.924</v>
      </c>
      <c r="N21" s="20">
        <v>8.64</v>
      </c>
      <c r="O21" s="21">
        <v>771.0</v>
      </c>
      <c r="P21" s="6" t="s">
        <v>144</v>
      </c>
      <c r="Q21" s="6" t="s">
        <v>145</v>
      </c>
      <c r="R21" s="1" t="s">
        <v>146</v>
      </c>
      <c r="S21" s="39">
        <f t="shared" si="5"/>
        <v>15618996951</v>
      </c>
      <c r="T21" s="39">
        <f t="shared" si="6"/>
        <v>23428495426</v>
      </c>
      <c r="U21" s="39">
        <f t="shared" si="7"/>
        <v>20773265945</v>
      </c>
      <c r="V21" s="39">
        <f t="shared" si="8"/>
        <v>31159898917</v>
      </c>
      <c r="W21" s="49">
        <v>0.0381</v>
      </c>
    </row>
    <row r="22" ht="22.5" customHeight="1">
      <c r="A22" s="11" t="s">
        <v>147</v>
      </c>
      <c r="B22" s="12">
        <f t="shared" si="1"/>
        <v>53637197.89</v>
      </c>
      <c r="C22" s="13" t="s">
        <v>148</v>
      </c>
      <c r="D22" s="13" t="s">
        <v>149</v>
      </c>
      <c r="E22" s="6" t="s">
        <v>26</v>
      </c>
      <c r="F22" s="14">
        <f t="shared" si="2"/>
        <v>834356411649</v>
      </c>
      <c r="G22" s="15">
        <v>15555.555555555555</v>
      </c>
      <c r="H22" s="28">
        <v>1.20993956628841E12</v>
      </c>
      <c r="I22" s="15">
        <f t="shared" si="3"/>
        <v>22557.84444</v>
      </c>
      <c r="J22" s="16">
        <v>45.8077</v>
      </c>
      <c r="K22" s="17">
        <v>1170921.0</v>
      </c>
      <c r="L22" s="18">
        <f t="shared" si="4"/>
        <v>452094.9399</v>
      </c>
      <c r="M22" s="19">
        <v>0.868</v>
      </c>
      <c r="N22" s="20">
        <v>6.73</v>
      </c>
      <c r="O22" s="21">
        <v>26.0</v>
      </c>
      <c r="P22" s="6" t="s">
        <v>150</v>
      </c>
      <c r="Q22" s="6" t="s">
        <v>151</v>
      </c>
      <c r="R22" s="1" t="s">
        <v>152</v>
      </c>
      <c r="S22" s="23">
        <f t="shared" si="5"/>
        <v>14350930280</v>
      </c>
      <c r="T22" s="23">
        <f t="shared" si="6"/>
        <v>21526395421</v>
      </c>
      <c r="U22" s="23">
        <f t="shared" si="7"/>
        <v>20810960540</v>
      </c>
      <c r="V22" s="23">
        <f t="shared" si="8"/>
        <v>31216440810</v>
      </c>
      <c r="W22" s="47">
        <v>0.0172</v>
      </c>
    </row>
    <row r="23" ht="22.5" customHeight="1">
      <c r="A23" s="11" t="s">
        <v>153</v>
      </c>
      <c r="B23" s="36">
        <f t="shared" si="1"/>
        <v>236475569.2</v>
      </c>
      <c r="C23" s="37" t="s">
        <v>154</v>
      </c>
      <c r="D23" s="37" t="s">
        <v>155</v>
      </c>
      <c r="E23" s="6" t="s">
        <v>40</v>
      </c>
      <c r="F23" s="14">
        <f t="shared" si="2"/>
        <v>741332141580</v>
      </c>
      <c r="G23" s="15">
        <v>3134.9206349206347</v>
      </c>
      <c r="H23" s="14">
        <v>2.1350365677498516E12</v>
      </c>
      <c r="I23" s="15">
        <f t="shared" si="3"/>
        <v>9028.571429</v>
      </c>
      <c r="J23" s="16">
        <v>79.7716</v>
      </c>
      <c r="K23" s="17">
        <v>2964408.0</v>
      </c>
      <c r="L23" s="18">
        <f t="shared" si="4"/>
        <v>1144563.858</v>
      </c>
      <c r="M23" s="19">
        <v>0.769</v>
      </c>
      <c r="N23" s="20">
        <v>6.43</v>
      </c>
      <c r="O23" s="21">
        <v>902.0</v>
      </c>
      <c r="P23" s="22" t="s">
        <v>156</v>
      </c>
      <c r="Q23" s="6" t="s">
        <v>157</v>
      </c>
      <c r="R23" s="6" t="s">
        <v>158</v>
      </c>
      <c r="S23" s="39">
        <f t="shared" si="5"/>
        <v>12750912835</v>
      </c>
      <c r="T23" s="39">
        <f t="shared" si="6"/>
        <v>19126369253</v>
      </c>
      <c r="U23" s="39">
        <f t="shared" si="7"/>
        <v>36722628965</v>
      </c>
      <c r="V23" s="39">
        <f t="shared" si="8"/>
        <v>55083943448</v>
      </c>
      <c r="W23" s="49">
        <v>0.0172</v>
      </c>
    </row>
    <row r="24" ht="22.5" customHeight="1">
      <c r="A24" s="31" t="s">
        <v>159</v>
      </c>
      <c r="B24" s="12">
        <f t="shared" si="1"/>
        <v>74436760.97</v>
      </c>
      <c r="C24" s="45" t="s">
        <v>160</v>
      </c>
      <c r="D24" s="13" t="s">
        <v>161</v>
      </c>
      <c r="E24" s="6" t="s">
        <v>40</v>
      </c>
      <c r="F24" s="14">
        <f t="shared" si="2"/>
        <v>652798578359</v>
      </c>
      <c r="G24" s="15">
        <v>8769.84126984127</v>
      </c>
      <c r="H24" s="14">
        <v>1.0771176542915906E12</v>
      </c>
      <c r="I24" s="15">
        <f t="shared" si="3"/>
        <v>14470.2381</v>
      </c>
      <c r="J24" s="16">
        <v>128.9788</v>
      </c>
      <c r="K24" s="17">
        <v>577124.0</v>
      </c>
      <c r="L24" s="18">
        <f t="shared" si="4"/>
        <v>222828.7306</v>
      </c>
      <c r="M24" s="19">
        <v>0.887</v>
      </c>
      <c r="N24" s="20">
        <v>7.84</v>
      </c>
      <c r="O24" s="21">
        <v>908.0</v>
      </c>
      <c r="P24" s="22" t="s">
        <v>162</v>
      </c>
      <c r="Q24" s="6" t="s">
        <v>163</v>
      </c>
      <c r="R24" s="6" t="s">
        <v>164</v>
      </c>
      <c r="S24" s="23">
        <f t="shared" si="5"/>
        <v>10705896685</v>
      </c>
      <c r="T24" s="23">
        <f t="shared" si="6"/>
        <v>16058845028</v>
      </c>
      <c r="U24" s="23">
        <f t="shared" si="7"/>
        <v>17664729530</v>
      </c>
      <c r="V24" s="23">
        <f t="shared" si="8"/>
        <v>26497094296</v>
      </c>
      <c r="W24" s="47">
        <v>0.0164</v>
      </c>
    </row>
    <row r="25" ht="22.5" customHeight="1">
      <c r="A25" s="31" t="s">
        <v>165</v>
      </c>
      <c r="B25" s="36">
        <f t="shared" si="1"/>
        <v>121753072.2</v>
      </c>
      <c r="C25" s="37" t="s">
        <v>166</v>
      </c>
      <c r="D25" s="37" t="s">
        <v>167</v>
      </c>
      <c r="E25" s="6" t="s">
        <v>33</v>
      </c>
      <c r="F25" s="14">
        <f t="shared" si="2"/>
        <v>377337894377</v>
      </c>
      <c r="G25" s="15">
        <v>3099.2063492063494</v>
      </c>
      <c r="H25" s="14">
        <v>1.0603194831980898E12</v>
      </c>
      <c r="I25" s="15">
        <f t="shared" si="3"/>
        <v>8708.769841</v>
      </c>
      <c r="J25" s="16">
        <v>48.1153</v>
      </c>
      <c r="K25" s="17">
        <v>2530444.0</v>
      </c>
      <c r="L25" s="18">
        <f t="shared" si="4"/>
        <v>977009.4893</v>
      </c>
      <c r="M25" s="19">
        <v>0.682</v>
      </c>
      <c r="N25" s="20">
        <v>4.18</v>
      </c>
      <c r="O25" s="21">
        <v>55.0</v>
      </c>
      <c r="P25" s="6" t="s">
        <v>168</v>
      </c>
      <c r="Q25" s="6" t="s">
        <v>169</v>
      </c>
      <c r="R25" s="1" t="s">
        <v>170</v>
      </c>
      <c r="S25" s="39">
        <f t="shared" si="5"/>
        <v>10225856938</v>
      </c>
      <c r="T25" s="39">
        <f t="shared" si="6"/>
        <v>15338785406</v>
      </c>
      <c r="U25" s="39">
        <f t="shared" si="7"/>
        <v>28734657995</v>
      </c>
      <c r="V25" s="39">
        <f t="shared" si="8"/>
        <v>43101986992</v>
      </c>
      <c r="W25" s="49">
        <v>0.0271</v>
      </c>
    </row>
    <row r="26" ht="22.5" customHeight="1">
      <c r="A26" s="11" t="s">
        <v>171</v>
      </c>
      <c r="B26" s="32">
        <f t="shared" si="1"/>
        <v>143972722.7</v>
      </c>
      <c r="C26" s="33" t="s">
        <v>172</v>
      </c>
      <c r="D26" s="33" t="s">
        <v>173</v>
      </c>
      <c r="E26" s="6" t="s">
        <v>84</v>
      </c>
      <c r="F26" s="14">
        <f t="shared" si="2"/>
        <v>719863613700</v>
      </c>
      <c r="G26" s="15">
        <v>5000.0</v>
      </c>
      <c r="H26" s="14">
        <v>1.9508303931269998E12</v>
      </c>
      <c r="I26" s="15">
        <f t="shared" si="3"/>
        <v>13550</v>
      </c>
      <c r="J26" s="16">
        <v>217.14</v>
      </c>
      <c r="K26" s="17">
        <v>663041.0</v>
      </c>
      <c r="L26" s="18">
        <f t="shared" si="4"/>
        <v>256001.4562</v>
      </c>
      <c r="M26" s="19">
        <v>0.734</v>
      </c>
      <c r="N26" s="20">
        <v>2.88</v>
      </c>
      <c r="O26" s="21">
        <v>72.0</v>
      </c>
      <c r="P26" s="22" t="s">
        <v>174</v>
      </c>
      <c r="Q26" s="6" t="s">
        <v>175</v>
      </c>
      <c r="R26" s="1" t="s">
        <v>176</v>
      </c>
      <c r="S26" s="34">
        <f t="shared" si="5"/>
        <v>9502199701</v>
      </c>
      <c r="T26" s="34">
        <f t="shared" si="6"/>
        <v>14253299551</v>
      </c>
      <c r="U26" s="34">
        <f t="shared" si="7"/>
        <v>25750961189</v>
      </c>
      <c r="V26" s="34">
        <f t="shared" si="8"/>
        <v>38626441784</v>
      </c>
      <c r="W26" s="50">
        <v>0.0132</v>
      </c>
    </row>
    <row r="27" ht="22.5" customHeight="1">
      <c r="A27" s="11" t="s">
        <v>177</v>
      </c>
      <c r="B27" s="36">
        <f t="shared" si="1"/>
        <v>27844193.43</v>
      </c>
      <c r="C27" s="48" t="s">
        <v>178</v>
      </c>
      <c r="D27" s="37" t="s">
        <v>179</v>
      </c>
      <c r="E27" s="6" t="s">
        <v>40</v>
      </c>
      <c r="F27" s="14">
        <f t="shared" si="2"/>
        <v>432026969545</v>
      </c>
      <c r="G27" s="15">
        <v>15515.873015873016</v>
      </c>
      <c r="H27" s="28">
        <v>6.7701474817664E11</v>
      </c>
      <c r="I27" s="15">
        <f t="shared" si="3"/>
        <v>24314.3961</v>
      </c>
      <c r="J27" s="16">
        <v>72.7656</v>
      </c>
      <c r="K27" s="17">
        <v>382656.0</v>
      </c>
      <c r="L27" s="18">
        <f t="shared" si="4"/>
        <v>147744.2469</v>
      </c>
      <c r="M27" s="19">
        <v>0.847</v>
      </c>
      <c r="N27" s="20">
        <v>7.03</v>
      </c>
      <c r="O27" s="21">
        <v>903.0</v>
      </c>
      <c r="P27" s="22" t="s">
        <v>180</v>
      </c>
      <c r="Q27" s="6" t="s">
        <v>181</v>
      </c>
      <c r="R27" s="1" t="s">
        <v>177</v>
      </c>
      <c r="S27" s="39">
        <f t="shared" si="5"/>
        <v>9202174451</v>
      </c>
      <c r="T27" s="39">
        <f t="shared" si="6"/>
        <v>13803261677</v>
      </c>
      <c r="U27" s="39">
        <f t="shared" si="7"/>
        <v>14420414136</v>
      </c>
      <c r="V27" s="39">
        <f t="shared" si="8"/>
        <v>21630621204</v>
      </c>
      <c r="W27" s="49">
        <v>0.0213</v>
      </c>
    </row>
    <row r="28" ht="22.5" customHeight="1">
      <c r="A28" s="11" t="s">
        <v>182</v>
      </c>
      <c r="B28" s="32">
        <f t="shared" si="1"/>
        <v>44529546.3</v>
      </c>
      <c r="C28" s="42" t="s">
        <v>183</v>
      </c>
      <c r="D28" s="33" t="s">
        <v>184</v>
      </c>
      <c r="E28" s="6" t="s">
        <v>33</v>
      </c>
      <c r="F28" s="14">
        <f t="shared" si="2"/>
        <v>473568190828</v>
      </c>
      <c r="G28" s="15">
        <v>10634.920634920634</v>
      </c>
      <c r="H28" s="28">
        <v>1.01299979317866E12</v>
      </c>
      <c r="I28" s="15">
        <f t="shared" si="3"/>
        <v>22748.93587</v>
      </c>
      <c r="J28" s="16">
        <v>128.9437</v>
      </c>
      <c r="K28" s="38">
        <v>345341.0</v>
      </c>
      <c r="L28" s="18">
        <f t="shared" si="4"/>
        <v>133336.8508</v>
      </c>
      <c r="M28" s="19">
        <v>0.852</v>
      </c>
      <c r="N28" s="20">
        <v>7.29</v>
      </c>
      <c r="O28" s="21">
        <v>16.0</v>
      </c>
      <c r="P28" s="22" t="s">
        <v>185</v>
      </c>
      <c r="Q28" s="6" t="s">
        <v>186</v>
      </c>
      <c r="R28" s="1" t="s">
        <v>187</v>
      </c>
      <c r="S28" s="34">
        <f t="shared" si="5"/>
        <v>8950438807</v>
      </c>
      <c r="T28" s="34">
        <f t="shared" si="6"/>
        <v>13425658210</v>
      </c>
      <c r="U28" s="34">
        <f t="shared" si="7"/>
        <v>19145696091</v>
      </c>
      <c r="V28" s="34">
        <f t="shared" si="8"/>
        <v>28718544137</v>
      </c>
      <c r="W28" s="50">
        <v>0.0189</v>
      </c>
    </row>
    <row r="29" ht="22.5" customHeight="1">
      <c r="A29" s="31" t="s">
        <v>188</v>
      </c>
      <c r="B29" s="36">
        <f t="shared" si="1"/>
        <v>38792291.37</v>
      </c>
      <c r="C29" s="48" t="s">
        <v>189</v>
      </c>
      <c r="D29" s="37" t="s">
        <v>190</v>
      </c>
      <c r="E29" s="6" t="s">
        <v>33</v>
      </c>
      <c r="F29" s="14">
        <f t="shared" si="2"/>
        <v>592660006978</v>
      </c>
      <c r="G29" s="15">
        <v>15277.777777777777</v>
      </c>
      <c r="H29" s="14">
        <v>9.77889011512875E11</v>
      </c>
      <c r="I29" s="15">
        <f t="shared" si="3"/>
        <v>25208.33333</v>
      </c>
      <c r="J29" s="16">
        <v>341.4033</v>
      </c>
      <c r="K29" s="17">
        <v>113626.0</v>
      </c>
      <c r="L29" s="18">
        <f t="shared" si="4"/>
        <v>43871.22585</v>
      </c>
      <c r="M29" s="19">
        <v>0.913</v>
      </c>
      <c r="N29" s="20">
        <v>9.51</v>
      </c>
      <c r="O29" s="21">
        <v>53.0</v>
      </c>
      <c r="P29" s="22" t="s">
        <v>191</v>
      </c>
      <c r="Q29" s="6" t="s">
        <v>192</v>
      </c>
      <c r="R29" s="1" t="s">
        <v>193</v>
      </c>
      <c r="S29" s="39">
        <f t="shared" si="5"/>
        <v>8889900105</v>
      </c>
      <c r="T29" s="39">
        <f t="shared" si="6"/>
        <v>13334850157</v>
      </c>
      <c r="U29" s="39">
        <f t="shared" si="7"/>
        <v>14668335173</v>
      </c>
      <c r="V29" s="39">
        <f t="shared" si="8"/>
        <v>22002502759</v>
      </c>
      <c r="W29" s="49">
        <v>0.015</v>
      </c>
    </row>
    <row r="30" ht="22.5" customHeight="1">
      <c r="A30" s="41" t="s">
        <v>194</v>
      </c>
      <c r="B30" s="32">
        <f t="shared" si="1"/>
        <v>39227749.73</v>
      </c>
      <c r="C30" s="51" t="s">
        <v>195</v>
      </c>
      <c r="D30" s="51" t="s">
        <v>196</v>
      </c>
      <c r="E30" s="6" t="s">
        <v>54</v>
      </c>
      <c r="F30" s="14">
        <f t="shared" si="2"/>
        <v>555726454508</v>
      </c>
      <c r="G30" s="15">
        <v>14166.666666666666</v>
      </c>
      <c r="H30" s="28">
        <v>7.92459771766583E11</v>
      </c>
      <c r="I30" s="15">
        <f t="shared" si="3"/>
        <v>20201.50983</v>
      </c>
      <c r="J30" s="16">
        <v>77.41</v>
      </c>
      <c r="K30" s="17">
        <v>506753.0</v>
      </c>
      <c r="L30" s="18">
        <f t="shared" si="4"/>
        <v>195658.3468</v>
      </c>
      <c r="M30" s="19">
        <v>0.911</v>
      </c>
      <c r="N30" s="20">
        <v>7.11</v>
      </c>
      <c r="O30" s="21">
        <v>14.0</v>
      </c>
      <c r="P30" s="22" t="s">
        <v>197</v>
      </c>
      <c r="Q30" s="6" t="s">
        <v>198</v>
      </c>
      <c r="R30" s="1" t="s">
        <v>199</v>
      </c>
      <c r="S30" s="34">
        <f t="shared" si="5"/>
        <v>8558187399</v>
      </c>
      <c r="T30" s="34">
        <f t="shared" si="6"/>
        <v>12837281099</v>
      </c>
      <c r="U30" s="34">
        <f t="shared" si="7"/>
        <v>12203880485</v>
      </c>
      <c r="V30" s="34">
        <f t="shared" si="8"/>
        <v>18305820728</v>
      </c>
      <c r="W30" s="50">
        <v>0.0154</v>
      </c>
    </row>
    <row r="31" ht="22.5" customHeight="1">
      <c r="A31" s="41" t="s">
        <v>200</v>
      </c>
      <c r="B31" s="36">
        <f t="shared" si="1"/>
        <v>39335004.74</v>
      </c>
      <c r="C31" s="37" t="s">
        <v>201</v>
      </c>
      <c r="D31" s="37" t="s">
        <v>202</v>
      </c>
      <c r="E31" s="6" t="s">
        <v>54</v>
      </c>
      <c r="F31" s="14">
        <f t="shared" si="2"/>
        <v>750799098487</v>
      </c>
      <c r="G31" s="15">
        <v>19087.301587301587</v>
      </c>
      <c r="H31" s="28">
        <v>8.658150804564E11</v>
      </c>
      <c r="I31" s="15">
        <f t="shared" si="3"/>
        <v>22011.31247</v>
      </c>
      <c r="J31" s="16">
        <v>129.738</v>
      </c>
      <c r="K31" s="17">
        <v>303188.0</v>
      </c>
      <c r="L31" s="18">
        <f t="shared" si="4"/>
        <v>117061.4932</v>
      </c>
      <c r="M31" s="19">
        <v>0.96</v>
      </c>
      <c r="N31" s="20">
        <v>9.67</v>
      </c>
      <c r="O31" s="21">
        <v>13.0</v>
      </c>
      <c r="P31" s="22" t="s">
        <v>203</v>
      </c>
      <c r="Q31" s="6" t="s">
        <v>204</v>
      </c>
      <c r="R31" s="1" t="s">
        <v>205</v>
      </c>
      <c r="S31" s="39">
        <f t="shared" si="5"/>
        <v>8258790083</v>
      </c>
      <c r="T31" s="39">
        <f t="shared" si="6"/>
        <v>12388185125</v>
      </c>
      <c r="U31" s="39">
        <f t="shared" si="7"/>
        <v>9523965885</v>
      </c>
      <c r="V31" s="39">
        <f t="shared" si="8"/>
        <v>14285948828</v>
      </c>
      <c r="W31" s="49">
        <v>0.011</v>
      </c>
    </row>
    <row r="32" ht="22.5" customHeight="1">
      <c r="A32" s="11" t="s">
        <v>206</v>
      </c>
      <c r="B32" s="32">
        <f t="shared" si="1"/>
        <v>95001456.77</v>
      </c>
      <c r="C32" s="33" t="s">
        <v>207</v>
      </c>
      <c r="D32" s="33" t="s">
        <v>208</v>
      </c>
      <c r="E32" s="6" t="s">
        <v>40</v>
      </c>
      <c r="F32" s="14">
        <f t="shared" si="2"/>
        <v>313278613382</v>
      </c>
      <c r="G32" s="15">
        <v>3297.6190476190477</v>
      </c>
      <c r="H32" s="14">
        <v>1.005624348955578E12</v>
      </c>
      <c r="I32" s="15">
        <f t="shared" si="3"/>
        <v>10585.35714</v>
      </c>
      <c r="J32" s="16">
        <v>92.3976</v>
      </c>
      <c r="K32" s="17">
        <v>1028181.0</v>
      </c>
      <c r="L32" s="18">
        <f t="shared" si="4"/>
        <v>396982.7405</v>
      </c>
      <c r="M32" s="19">
        <v>0.738</v>
      </c>
      <c r="N32" s="20">
        <v>4.29</v>
      </c>
      <c r="O32" s="21">
        <v>923.0</v>
      </c>
      <c r="P32" s="6" t="s">
        <v>209</v>
      </c>
      <c r="Q32" s="6" t="s">
        <v>210</v>
      </c>
      <c r="R32" s="1" t="s">
        <v>211</v>
      </c>
      <c r="S32" s="34">
        <f t="shared" si="5"/>
        <v>7863293196</v>
      </c>
      <c r="T32" s="34">
        <f t="shared" si="6"/>
        <v>11794939794</v>
      </c>
      <c r="U32" s="34">
        <f t="shared" si="7"/>
        <v>25241171159</v>
      </c>
      <c r="V32" s="34">
        <f t="shared" si="8"/>
        <v>37861756738</v>
      </c>
      <c r="W32" s="50">
        <v>0.0251</v>
      </c>
    </row>
    <row r="33" ht="22.5" customHeight="1">
      <c r="A33" s="11" t="s">
        <v>212</v>
      </c>
      <c r="B33" s="36">
        <f t="shared" si="1"/>
        <v>31745420.39</v>
      </c>
      <c r="C33" s="37" t="s">
        <v>213</v>
      </c>
      <c r="D33" s="37" t="s">
        <v>214</v>
      </c>
      <c r="E33" s="6" t="s">
        <v>84</v>
      </c>
      <c r="F33" s="14">
        <f t="shared" si="2"/>
        <v>342648981987</v>
      </c>
      <c r="G33" s="15">
        <v>10793.650793650793</v>
      </c>
      <c r="H33" s="28">
        <v>6.26063516049016E11</v>
      </c>
      <c r="I33" s="15">
        <f t="shared" si="3"/>
        <v>19721.38054</v>
      </c>
      <c r="J33" s="16">
        <v>72.005</v>
      </c>
      <c r="K33" s="17">
        <v>440878.0</v>
      </c>
      <c r="L33" s="18">
        <f t="shared" si="4"/>
        <v>170223.8776</v>
      </c>
      <c r="M33" s="19">
        <v>0.829</v>
      </c>
      <c r="N33" s="20">
        <v>3.91</v>
      </c>
      <c r="O33" s="21">
        <v>730.0</v>
      </c>
      <c r="P33" s="22" t="s">
        <v>215</v>
      </c>
      <c r="Q33" s="6" t="s">
        <v>216</v>
      </c>
      <c r="R33" s="6" t="s">
        <v>217</v>
      </c>
      <c r="S33" s="39">
        <f t="shared" si="5"/>
        <v>7264158418</v>
      </c>
      <c r="T33" s="39">
        <f t="shared" si="6"/>
        <v>10896237627</v>
      </c>
      <c r="U33" s="39">
        <f t="shared" si="7"/>
        <v>13272546540</v>
      </c>
      <c r="V33" s="39">
        <f t="shared" si="8"/>
        <v>19908819810</v>
      </c>
      <c r="W33" s="49">
        <v>0.0212</v>
      </c>
    </row>
    <row r="34" ht="22.5" customHeight="1">
      <c r="A34" s="11" t="s">
        <v>218</v>
      </c>
      <c r="B34" s="12">
        <f t="shared" si="1"/>
        <v>74091042.08</v>
      </c>
      <c r="C34" s="13" t="s">
        <v>219</v>
      </c>
      <c r="D34" s="13" t="s">
        <v>220</v>
      </c>
      <c r="E34" s="6" t="s">
        <v>47</v>
      </c>
      <c r="F34" s="14">
        <f t="shared" si="2"/>
        <v>361634848267</v>
      </c>
      <c r="G34" s="15">
        <v>4880.952380952381</v>
      </c>
      <c r="H34" s="14">
        <v>7.59433181361E11</v>
      </c>
      <c r="I34" s="15">
        <f t="shared" si="3"/>
        <v>10250</v>
      </c>
      <c r="J34" s="16">
        <v>66.603</v>
      </c>
      <c r="K34" s="17">
        <v>1112428.0</v>
      </c>
      <c r="L34" s="18">
        <f t="shared" si="4"/>
        <v>429510.6757</v>
      </c>
      <c r="M34" s="19">
        <v>0.655</v>
      </c>
      <c r="N34" s="20">
        <v>7.61</v>
      </c>
      <c r="O34" s="21">
        <v>81.0</v>
      </c>
      <c r="P34" s="22" t="s">
        <v>221</v>
      </c>
      <c r="Q34" s="6" t="s">
        <v>222</v>
      </c>
      <c r="R34" s="1" t="s">
        <v>218</v>
      </c>
      <c r="S34" s="23">
        <f t="shared" si="5"/>
        <v>7232696965</v>
      </c>
      <c r="T34" s="23">
        <f t="shared" si="6"/>
        <v>10849045448</v>
      </c>
      <c r="U34" s="23">
        <f t="shared" si="7"/>
        <v>15188663627</v>
      </c>
      <c r="V34" s="23">
        <f t="shared" si="8"/>
        <v>22782995441</v>
      </c>
      <c r="W34" s="47">
        <v>0.02</v>
      </c>
    </row>
    <row r="35" ht="22.5" customHeight="1">
      <c r="A35" s="11" t="s">
        <v>223</v>
      </c>
      <c r="B35" s="25">
        <f t="shared" si="1"/>
        <v>15795087.26</v>
      </c>
      <c r="C35" s="27" t="s">
        <v>224</v>
      </c>
      <c r="D35" s="27" t="s">
        <v>225</v>
      </c>
      <c r="E35" s="6" t="s">
        <v>26</v>
      </c>
      <c r="F35" s="14">
        <f t="shared" si="2"/>
        <v>294590913242</v>
      </c>
      <c r="G35" s="15">
        <v>18650.79365079365</v>
      </c>
      <c r="H35" s="14">
        <v>4.301027333336445E11</v>
      </c>
      <c r="I35" s="15">
        <f t="shared" si="3"/>
        <v>27230.15873</v>
      </c>
      <c r="J35" s="16">
        <v>8.8549</v>
      </c>
      <c r="K35" s="17">
        <v>1783768.0</v>
      </c>
      <c r="L35" s="18">
        <f t="shared" si="4"/>
        <v>688716.3923</v>
      </c>
      <c r="M35" s="19">
        <v>0.874</v>
      </c>
      <c r="N35" s="20">
        <v>9.25</v>
      </c>
      <c r="O35" s="21">
        <v>27.0</v>
      </c>
      <c r="P35" s="22" t="s">
        <v>226</v>
      </c>
      <c r="Q35" s="6" t="s">
        <v>227</v>
      </c>
      <c r="R35" s="6" t="s">
        <v>228</v>
      </c>
      <c r="S35" s="29">
        <f t="shared" si="5"/>
        <v>5891818265</v>
      </c>
      <c r="T35" s="29">
        <f t="shared" si="6"/>
        <v>8837727397</v>
      </c>
      <c r="U35" s="29">
        <f t="shared" si="7"/>
        <v>8602054667</v>
      </c>
      <c r="V35" s="29">
        <f t="shared" si="8"/>
        <v>12903082000</v>
      </c>
      <c r="W35" s="44">
        <v>0.02</v>
      </c>
    </row>
    <row r="36" ht="22.5" customHeight="1">
      <c r="A36" s="11" t="s">
        <v>229</v>
      </c>
      <c r="B36" s="32">
        <f t="shared" si="1"/>
        <v>33245173.5</v>
      </c>
      <c r="C36" s="33" t="s">
        <v>230</v>
      </c>
      <c r="D36" s="33" t="s">
        <v>231</v>
      </c>
      <c r="E36" s="6" t="s">
        <v>121</v>
      </c>
      <c r="F36" s="14">
        <f t="shared" si="2"/>
        <v>291554894583</v>
      </c>
      <c r="G36" s="15">
        <v>8769.84126984127</v>
      </c>
      <c r="H36" s="14">
        <v>5.772786912750001E11</v>
      </c>
      <c r="I36" s="15">
        <f t="shared" si="3"/>
        <v>17364.28571</v>
      </c>
      <c r="J36" s="16">
        <v>50.82</v>
      </c>
      <c r="K36" s="38">
        <v>654175.0</v>
      </c>
      <c r="L36" s="18">
        <f t="shared" si="4"/>
        <v>252578.2759</v>
      </c>
      <c r="M36" s="19">
        <v>0.82</v>
      </c>
      <c r="N36" s="20">
        <v>7.66</v>
      </c>
      <c r="O36" s="21">
        <v>61.0</v>
      </c>
      <c r="P36" s="22" t="s">
        <v>232</v>
      </c>
      <c r="Q36" s="6" t="s">
        <v>233</v>
      </c>
      <c r="R36" s="6" t="s">
        <v>234</v>
      </c>
      <c r="S36" s="34">
        <f t="shared" si="5"/>
        <v>5831097892</v>
      </c>
      <c r="T36" s="34">
        <f t="shared" si="6"/>
        <v>8746646838</v>
      </c>
      <c r="U36" s="34">
        <f t="shared" si="7"/>
        <v>11545573826</v>
      </c>
      <c r="V36" s="34">
        <f t="shared" si="8"/>
        <v>17318360738</v>
      </c>
      <c r="W36" s="50">
        <v>0.02</v>
      </c>
    </row>
    <row r="37" ht="22.5" customHeight="1">
      <c r="A37" s="41" t="s">
        <v>235</v>
      </c>
      <c r="B37" s="25">
        <f t="shared" si="1"/>
        <v>18401158.08</v>
      </c>
      <c r="C37" s="27" t="s">
        <v>236</v>
      </c>
      <c r="D37" s="27" t="s">
        <v>237</v>
      </c>
      <c r="E37" s="6" t="s">
        <v>54</v>
      </c>
      <c r="F37" s="14">
        <f t="shared" si="2"/>
        <v>340275383450</v>
      </c>
      <c r="G37" s="15">
        <v>18492.06349206349</v>
      </c>
      <c r="H37" s="28">
        <v>4.32566259989028E11</v>
      </c>
      <c r="I37" s="15">
        <f t="shared" si="3"/>
        <v>23507.55633</v>
      </c>
      <c r="J37" s="16">
        <v>103.175</v>
      </c>
      <c r="K37" s="17">
        <v>178349.0</v>
      </c>
      <c r="L37" s="18">
        <f t="shared" si="4"/>
        <v>68860.9056</v>
      </c>
      <c r="M37" s="19">
        <v>0.902</v>
      </c>
      <c r="N37" s="20">
        <v>8.85</v>
      </c>
      <c r="O37" s="21">
        <v>15.0</v>
      </c>
      <c r="P37" s="22" t="s">
        <v>238</v>
      </c>
      <c r="Q37" s="6" t="s">
        <v>239</v>
      </c>
      <c r="R37" s="1" t="s">
        <v>240</v>
      </c>
      <c r="S37" s="29">
        <f t="shared" si="5"/>
        <v>5682598904</v>
      </c>
      <c r="T37" s="29">
        <f t="shared" si="6"/>
        <v>8523898355</v>
      </c>
      <c r="U37" s="29">
        <f t="shared" si="7"/>
        <v>7223856542</v>
      </c>
      <c r="V37" s="29">
        <f t="shared" si="8"/>
        <v>10835784813</v>
      </c>
      <c r="W37" s="44">
        <v>0.0167</v>
      </c>
    </row>
    <row r="38" ht="22.5" customHeight="1">
      <c r="A38" s="11" t="s">
        <v>241</v>
      </c>
      <c r="B38" s="32">
        <f t="shared" si="1"/>
        <v>20712945.73</v>
      </c>
      <c r="C38" s="42" t="s">
        <v>242</v>
      </c>
      <c r="D38" s="33" t="s">
        <v>243</v>
      </c>
      <c r="E38" s="6" t="s">
        <v>84</v>
      </c>
      <c r="F38" s="14">
        <f t="shared" si="2"/>
        <v>480014297870</v>
      </c>
      <c r="G38" s="15">
        <v>23174.603174603173</v>
      </c>
      <c r="H38" s="14">
        <v>6.336188731881904E11</v>
      </c>
      <c r="I38" s="15">
        <f t="shared" si="3"/>
        <v>30590.47619</v>
      </c>
      <c r="J38" s="16">
        <v>122.83</v>
      </c>
      <c r="K38" s="17">
        <v>168631.0</v>
      </c>
      <c r="L38" s="18">
        <f t="shared" si="4"/>
        <v>65108.76636</v>
      </c>
      <c r="M38" s="19">
        <v>0.88</v>
      </c>
      <c r="N38" s="20">
        <v>8.72</v>
      </c>
      <c r="O38" s="21">
        <v>748.0</v>
      </c>
      <c r="P38" s="22" t="s">
        <v>244</v>
      </c>
      <c r="Q38" s="6" t="s">
        <v>245</v>
      </c>
      <c r="R38" s="1" t="s">
        <v>241</v>
      </c>
      <c r="S38" s="34">
        <f t="shared" si="5"/>
        <v>5616167285</v>
      </c>
      <c r="T38" s="34">
        <f t="shared" si="6"/>
        <v>8424250928</v>
      </c>
      <c r="U38" s="34">
        <f t="shared" si="7"/>
        <v>7413340816</v>
      </c>
      <c r="V38" s="34">
        <f t="shared" si="8"/>
        <v>11120011224</v>
      </c>
      <c r="W38" s="50">
        <v>0.0117</v>
      </c>
    </row>
    <row r="39" ht="22.5" customHeight="1">
      <c r="A39" s="31" t="s">
        <v>246</v>
      </c>
      <c r="B39" s="36">
        <f t="shared" si="1"/>
        <v>88913943.05</v>
      </c>
      <c r="C39" s="48" t="s">
        <v>247</v>
      </c>
      <c r="D39" s="37" t="s">
        <v>248</v>
      </c>
      <c r="E39" s="6" t="s">
        <v>40</v>
      </c>
      <c r="F39" s="14">
        <f t="shared" si="2"/>
        <v>43398472202</v>
      </c>
      <c r="G39" s="15">
        <v>488.0952380952381</v>
      </c>
      <c r="H39" s="14">
        <v>2.7384435959338803E11</v>
      </c>
      <c r="I39" s="15">
        <f t="shared" si="3"/>
        <v>3079.880952</v>
      </c>
      <c r="J39" s="16">
        <v>63.5228</v>
      </c>
      <c r="K39" s="17">
        <v>1399717.0</v>
      </c>
      <c r="L39" s="18">
        <f t="shared" si="4"/>
        <v>540433.5331</v>
      </c>
      <c r="M39" s="7">
        <v>0.396</v>
      </c>
      <c r="N39" s="20">
        <v>0.61</v>
      </c>
      <c r="O39" s="21">
        <v>999.0</v>
      </c>
      <c r="P39" s="22" t="s">
        <v>249</v>
      </c>
      <c r="Q39" s="6" t="s">
        <v>250</v>
      </c>
      <c r="R39" s="6" t="s">
        <v>251</v>
      </c>
      <c r="S39" s="39">
        <f t="shared" si="5"/>
        <v>5294613609</v>
      </c>
      <c r="T39" s="39">
        <f t="shared" si="6"/>
        <v>7941920413</v>
      </c>
      <c r="U39" s="39">
        <f t="shared" si="7"/>
        <v>33409011870</v>
      </c>
      <c r="V39" s="39">
        <f t="shared" si="8"/>
        <v>50113517806</v>
      </c>
      <c r="W39" s="49">
        <v>0.122</v>
      </c>
    </row>
    <row r="40" ht="22.5" customHeight="1">
      <c r="A40" s="31" t="s">
        <v>252</v>
      </c>
      <c r="B40" s="12">
        <f t="shared" si="1"/>
        <v>31491757.31</v>
      </c>
      <c r="C40" s="45" t="s">
        <v>253</v>
      </c>
      <c r="D40" s="13" t="s">
        <v>254</v>
      </c>
      <c r="E40" s="6" t="s">
        <v>33</v>
      </c>
      <c r="F40" s="14">
        <f t="shared" si="2"/>
        <v>253683600563</v>
      </c>
      <c r="G40" s="15">
        <v>8055.555555555556</v>
      </c>
      <c r="H40" s="14">
        <v>5.758617732785775E11</v>
      </c>
      <c r="I40" s="15">
        <f t="shared" si="3"/>
        <v>18286.11111</v>
      </c>
      <c r="J40" s="16">
        <v>150.1173</v>
      </c>
      <c r="K40" s="17">
        <v>209781.0</v>
      </c>
      <c r="L40" s="18">
        <f t="shared" si="4"/>
        <v>80996.86366</v>
      </c>
      <c r="M40" s="19">
        <v>0.765</v>
      </c>
      <c r="N40" s="20">
        <v>7.47</v>
      </c>
      <c r="O40" s="21">
        <v>52.0</v>
      </c>
      <c r="P40" s="22" t="s">
        <v>255</v>
      </c>
      <c r="Q40" s="6" t="s">
        <v>256</v>
      </c>
      <c r="R40" s="1" t="s">
        <v>257</v>
      </c>
      <c r="S40" s="23">
        <f t="shared" si="5"/>
        <v>5073672011</v>
      </c>
      <c r="T40" s="23">
        <f t="shared" si="6"/>
        <v>7610508017</v>
      </c>
      <c r="U40" s="23">
        <f t="shared" si="7"/>
        <v>11517235466</v>
      </c>
      <c r="V40" s="23">
        <f t="shared" si="8"/>
        <v>17275853198</v>
      </c>
      <c r="W40" s="47">
        <v>0.02</v>
      </c>
    </row>
    <row r="41" ht="22.5" customHeight="1">
      <c r="A41" s="11" t="s">
        <v>258</v>
      </c>
      <c r="B41" s="36">
        <f t="shared" si="1"/>
        <v>140080975.6</v>
      </c>
      <c r="C41" s="37" t="s">
        <v>259</v>
      </c>
      <c r="D41" s="37" t="s">
        <v>260</v>
      </c>
      <c r="E41" s="6" t="s">
        <v>84</v>
      </c>
      <c r="F41" s="14">
        <f t="shared" si="2"/>
        <v>311846933732</v>
      </c>
      <c r="G41" s="15">
        <v>2226.190476190476</v>
      </c>
      <c r="H41" s="14">
        <v>1.1132935534220498E12</v>
      </c>
      <c r="I41" s="15">
        <f t="shared" si="3"/>
        <v>7947.5</v>
      </c>
      <c r="J41" s="16">
        <v>274.82</v>
      </c>
      <c r="K41" s="17">
        <v>509719.0</v>
      </c>
      <c r="L41" s="18">
        <f t="shared" si="4"/>
        <v>196803.5253</v>
      </c>
      <c r="M41" s="19">
        <v>0.534</v>
      </c>
      <c r="N41" s="20">
        <v>4.76</v>
      </c>
      <c r="O41" s="21">
        <v>75.0</v>
      </c>
      <c r="P41" s="22" t="s">
        <v>261</v>
      </c>
      <c r="Q41" s="6" t="s">
        <v>262</v>
      </c>
      <c r="R41" s="1" t="s">
        <v>263</v>
      </c>
      <c r="S41" s="39">
        <f t="shared" si="5"/>
        <v>5020735633</v>
      </c>
      <c r="T41" s="39">
        <f t="shared" si="6"/>
        <v>7531103450</v>
      </c>
      <c r="U41" s="39">
        <f t="shared" si="7"/>
        <v>17924026210</v>
      </c>
      <c r="V41" s="39">
        <f t="shared" si="8"/>
        <v>26886039315</v>
      </c>
      <c r="W41" s="49">
        <v>0.0161</v>
      </c>
    </row>
    <row r="42" ht="22.5" customHeight="1">
      <c r="A42" s="31" t="s">
        <v>264</v>
      </c>
      <c r="B42" s="32">
        <f t="shared" si="1"/>
        <v>88057484.85</v>
      </c>
      <c r="C42" s="33" t="s">
        <v>265</v>
      </c>
      <c r="D42" s="33" t="s">
        <v>266</v>
      </c>
      <c r="E42" s="6" t="s">
        <v>47</v>
      </c>
      <c r="F42" s="14">
        <f t="shared" si="2"/>
        <v>225385229080</v>
      </c>
      <c r="G42" s="15">
        <v>2559.5238095238096</v>
      </c>
      <c r="H42" s="14">
        <v>7.325019945111609E11</v>
      </c>
      <c r="I42" s="15">
        <f t="shared" si="3"/>
        <v>8318.452381</v>
      </c>
      <c r="J42" s="16">
        <v>118.194</v>
      </c>
      <c r="K42" s="17">
        <v>745025.0</v>
      </c>
      <c r="L42" s="18">
        <f t="shared" si="4"/>
        <v>287655.6426</v>
      </c>
      <c r="M42" s="19">
        <v>0.637</v>
      </c>
      <c r="N42" s="20">
        <v>5.31</v>
      </c>
      <c r="O42" s="21">
        <v>940.0</v>
      </c>
      <c r="P42" s="6" t="s">
        <v>267</v>
      </c>
      <c r="Q42" s="6" t="s">
        <v>268</v>
      </c>
      <c r="R42" s="1" t="s">
        <v>269</v>
      </c>
      <c r="S42" s="34">
        <f t="shared" si="5"/>
        <v>4733089811</v>
      </c>
      <c r="T42" s="34">
        <f t="shared" si="6"/>
        <v>7099634716</v>
      </c>
      <c r="U42" s="34">
        <f t="shared" si="7"/>
        <v>15382541885</v>
      </c>
      <c r="V42" s="34">
        <f t="shared" si="8"/>
        <v>23073812827</v>
      </c>
      <c r="W42" s="50">
        <v>0.021</v>
      </c>
    </row>
    <row r="43" ht="22.5" customHeight="1">
      <c r="A43" s="11" t="s">
        <v>270</v>
      </c>
      <c r="B43" s="36">
        <f t="shared" si="1"/>
        <v>21768596.85</v>
      </c>
      <c r="C43" s="48" t="s">
        <v>271</v>
      </c>
      <c r="D43" s="37" t="s">
        <v>272</v>
      </c>
      <c r="E43" s="6" t="s">
        <v>84</v>
      </c>
      <c r="F43" s="14">
        <f t="shared" si="2"/>
        <v>234098799458</v>
      </c>
      <c r="G43" s="15">
        <v>10753.968253968254</v>
      </c>
      <c r="H43" s="28">
        <v>4.45794662494167E11</v>
      </c>
      <c r="I43" s="15">
        <f t="shared" si="3"/>
        <v>20478.79639</v>
      </c>
      <c r="J43" s="16">
        <v>43.505</v>
      </c>
      <c r="K43" s="17">
        <v>500370.0</v>
      </c>
      <c r="L43" s="18">
        <f t="shared" si="4"/>
        <v>193193.8577</v>
      </c>
      <c r="M43" s="19">
        <v>0.79</v>
      </c>
      <c r="N43" s="20">
        <v>6.43</v>
      </c>
      <c r="O43" s="21">
        <v>78.0</v>
      </c>
      <c r="P43" s="22" t="s">
        <v>273</v>
      </c>
      <c r="Q43" s="6" t="s">
        <v>274</v>
      </c>
      <c r="R43" s="6" t="s">
        <v>275</v>
      </c>
      <c r="S43" s="39">
        <f t="shared" si="5"/>
        <v>4681975989</v>
      </c>
      <c r="T43" s="39">
        <f t="shared" si="6"/>
        <v>7022963984</v>
      </c>
      <c r="U43" s="39">
        <f t="shared" si="7"/>
        <v>8915893250</v>
      </c>
      <c r="V43" s="39">
        <f t="shared" si="8"/>
        <v>13373839875</v>
      </c>
      <c r="W43" s="49">
        <v>0.02</v>
      </c>
    </row>
    <row r="44" ht="22.5" customHeight="1">
      <c r="A44" s="31" t="s">
        <v>276</v>
      </c>
      <c r="B44" s="12">
        <f t="shared" si="1"/>
        <v>54705621.88</v>
      </c>
      <c r="C44" s="45" t="s">
        <v>277</v>
      </c>
      <c r="D44" s="13" t="s">
        <v>278</v>
      </c>
      <c r="E44" s="6" t="s">
        <v>33</v>
      </c>
      <c r="F44" s="14">
        <f t="shared" si="2"/>
        <v>351678997784</v>
      </c>
      <c r="G44" s="15">
        <v>6428.571428571428</v>
      </c>
      <c r="H44" s="14">
        <v>8.088616949030355E11</v>
      </c>
      <c r="I44" s="15">
        <f t="shared" si="3"/>
        <v>14785.71429</v>
      </c>
      <c r="J44" s="16">
        <v>189.3485</v>
      </c>
      <c r="K44" s="17">
        <v>288915.0</v>
      </c>
      <c r="L44" s="18">
        <f t="shared" si="4"/>
        <v>111550.6593</v>
      </c>
      <c r="M44" s="19">
        <v>0.768</v>
      </c>
      <c r="N44" s="20">
        <v>7.84</v>
      </c>
      <c r="O44" s="21">
        <v>52.0</v>
      </c>
      <c r="P44" s="22" t="s">
        <v>279</v>
      </c>
      <c r="Q44" s="6" t="s">
        <v>280</v>
      </c>
      <c r="R44" s="6" t="s">
        <v>276</v>
      </c>
      <c r="S44" s="23">
        <f t="shared" si="5"/>
        <v>4642162771</v>
      </c>
      <c r="T44" s="23">
        <f t="shared" si="6"/>
        <v>6963244156</v>
      </c>
      <c r="U44" s="23">
        <f t="shared" si="7"/>
        <v>10676974373</v>
      </c>
      <c r="V44" s="23">
        <f t="shared" si="8"/>
        <v>16015461559</v>
      </c>
      <c r="W44" s="47">
        <v>0.0132</v>
      </c>
    </row>
    <row r="45" ht="22.5" customHeight="1">
      <c r="A45" s="11" t="s">
        <v>281</v>
      </c>
      <c r="B45" s="36">
        <f t="shared" si="1"/>
        <v>13815052.98</v>
      </c>
      <c r="C45" s="37" t="s">
        <v>282</v>
      </c>
      <c r="D45" s="37" t="s">
        <v>283</v>
      </c>
      <c r="E45" s="6" t="s">
        <v>40</v>
      </c>
      <c r="F45" s="14">
        <f t="shared" si="2"/>
        <v>224768719171</v>
      </c>
      <c r="G45" s="15">
        <v>16269.84126984127</v>
      </c>
      <c r="H45" s="14">
        <v>2.899516477307333E11</v>
      </c>
      <c r="I45" s="15">
        <f t="shared" si="3"/>
        <v>20988.09524</v>
      </c>
      <c r="J45" s="16">
        <v>163.5382</v>
      </c>
      <c r="K45" s="17">
        <v>84476.0</v>
      </c>
      <c r="L45" s="18">
        <f t="shared" si="4"/>
        <v>32616.35255</v>
      </c>
      <c r="M45" s="19">
        <v>0.921</v>
      </c>
      <c r="N45" s="20">
        <v>9.07</v>
      </c>
      <c r="O45" s="21">
        <v>920.0</v>
      </c>
      <c r="P45" s="22" t="s">
        <v>284</v>
      </c>
      <c r="Q45" s="6" t="s">
        <v>285</v>
      </c>
      <c r="R45" s="1" t="s">
        <v>286</v>
      </c>
      <c r="S45" s="39">
        <f t="shared" si="5"/>
        <v>4495374383</v>
      </c>
      <c r="T45" s="39">
        <f t="shared" si="6"/>
        <v>6743061575</v>
      </c>
      <c r="U45" s="39">
        <f t="shared" si="7"/>
        <v>5799032955</v>
      </c>
      <c r="V45" s="39">
        <f t="shared" si="8"/>
        <v>8698549432</v>
      </c>
      <c r="W45" s="49">
        <v>0.02</v>
      </c>
    </row>
    <row r="46" ht="22.5" customHeight="1">
      <c r="A46" s="41" t="s">
        <v>287</v>
      </c>
      <c r="B46" s="32">
        <f t="shared" si="1"/>
        <v>19678479.77</v>
      </c>
      <c r="C46" s="33" t="s">
        <v>288</v>
      </c>
      <c r="D46" s="33" t="s">
        <v>289</v>
      </c>
      <c r="E46" s="6" t="s">
        <v>54</v>
      </c>
      <c r="F46" s="14">
        <f t="shared" si="2"/>
        <v>220992451374</v>
      </c>
      <c r="G46" s="15">
        <v>11230.15873015873</v>
      </c>
      <c r="H46" s="14">
        <v>4.066261105283207E11</v>
      </c>
      <c r="I46" s="15">
        <f t="shared" si="3"/>
        <v>20663.49206</v>
      </c>
      <c r="J46" s="16">
        <v>28.873</v>
      </c>
      <c r="K46" s="17">
        <v>681553.0</v>
      </c>
      <c r="L46" s="18">
        <f t="shared" si="4"/>
        <v>263148.9764</v>
      </c>
      <c r="M46" s="19">
        <v>0.836</v>
      </c>
      <c r="N46" s="20">
        <v>7.88</v>
      </c>
      <c r="O46" s="21">
        <v>35.0</v>
      </c>
      <c r="P46" s="22" t="s">
        <v>290</v>
      </c>
      <c r="Q46" s="6" t="s">
        <v>291</v>
      </c>
      <c r="R46" s="6" t="s">
        <v>292</v>
      </c>
      <c r="S46" s="34">
        <f t="shared" si="5"/>
        <v>4419849027</v>
      </c>
      <c r="T46" s="34">
        <f t="shared" si="6"/>
        <v>6629773541</v>
      </c>
      <c r="U46" s="34">
        <f t="shared" si="7"/>
        <v>8132522211</v>
      </c>
      <c r="V46" s="34">
        <f t="shared" si="8"/>
        <v>12198783316</v>
      </c>
      <c r="W46" s="50">
        <v>0.02</v>
      </c>
    </row>
    <row r="47" ht="22.5" customHeight="1">
      <c r="A47" s="41" t="s">
        <v>293</v>
      </c>
      <c r="B47" s="36">
        <f t="shared" si="1"/>
        <v>23361656.73</v>
      </c>
      <c r="C47" s="37" t="s">
        <v>294</v>
      </c>
      <c r="D47" s="37" t="s">
        <v>295</v>
      </c>
      <c r="E47" s="6" t="s">
        <v>54</v>
      </c>
      <c r="F47" s="14">
        <f t="shared" si="2"/>
        <v>331883853602</v>
      </c>
      <c r="G47" s="15">
        <v>14206.349206349207</v>
      </c>
      <c r="H47" s="28">
        <v>4.81449009682683E11</v>
      </c>
      <c r="I47" s="15">
        <f t="shared" si="3"/>
        <v>20608.51314</v>
      </c>
      <c r="J47" s="16">
        <v>137.449</v>
      </c>
      <c r="K47" s="17">
        <v>169966.0</v>
      </c>
      <c r="L47" s="18">
        <f t="shared" si="4"/>
        <v>65624.21253</v>
      </c>
      <c r="M47" s="19">
        <v>0.929</v>
      </c>
      <c r="N47" s="20">
        <v>8.73</v>
      </c>
      <c r="O47" s="21">
        <v>12.0</v>
      </c>
      <c r="P47" s="22" t="s">
        <v>296</v>
      </c>
      <c r="Q47" s="6" t="s">
        <v>297</v>
      </c>
      <c r="R47" s="1" t="s">
        <v>298</v>
      </c>
      <c r="S47" s="39">
        <f t="shared" si="5"/>
        <v>4380866868</v>
      </c>
      <c r="T47" s="39">
        <f t="shared" si="6"/>
        <v>6571300301</v>
      </c>
      <c r="U47" s="39">
        <f t="shared" si="7"/>
        <v>6355126928</v>
      </c>
      <c r="V47" s="39">
        <f t="shared" si="8"/>
        <v>9532690392</v>
      </c>
      <c r="W47" s="49">
        <v>0.0132</v>
      </c>
    </row>
    <row r="48" ht="22.5" customHeight="1">
      <c r="A48" s="31" t="s">
        <v>299</v>
      </c>
      <c r="B48" s="12">
        <f t="shared" si="1"/>
        <v>31644351.65</v>
      </c>
      <c r="C48" s="13" t="s">
        <v>300</v>
      </c>
      <c r="D48" s="13" t="s">
        <v>301</v>
      </c>
      <c r="E48" s="6" t="s">
        <v>40</v>
      </c>
      <c r="F48" s="14">
        <f t="shared" si="2"/>
        <v>202172246640</v>
      </c>
      <c r="G48" s="15">
        <v>6388.888888888889</v>
      </c>
      <c r="H48" s="14">
        <v>4.265834404103999E11</v>
      </c>
      <c r="I48" s="15">
        <f t="shared" si="3"/>
        <v>13480.55556</v>
      </c>
      <c r="J48" s="16">
        <v>112.0392</v>
      </c>
      <c r="K48" s="17">
        <v>282440.0</v>
      </c>
      <c r="L48" s="18">
        <f t="shared" si="4"/>
        <v>109050.6489</v>
      </c>
      <c r="M48" s="19">
        <v>0.807</v>
      </c>
      <c r="N48" s="20">
        <v>8.57</v>
      </c>
      <c r="O48" s="21">
        <v>907.0</v>
      </c>
      <c r="P48" s="22" t="s">
        <v>302</v>
      </c>
      <c r="Q48" s="6" t="s">
        <v>303</v>
      </c>
      <c r="R48" s="6" t="s">
        <v>304</v>
      </c>
      <c r="S48" s="23">
        <f t="shared" si="5"/>
        <v>4043444933</v>
      </c>
      <c r="T48" s="23">
        <f t="shared" si="6"/>
        <v>6065167399</v>
      </c>
      <c r="U48" s="23">
        <f t="shared" si="7"/>
        <v>8531668808</v>
      </c>
      <c r="V48" s="23">
        <f t="shared" si="8"/>
        <v>12797503212</v>
      </c>
      <c r="W48" s="47">
        <v>0.02</v>
      </c>
    </row>
    <row r="49" ht="22.5" customHeight="1">
      <c r="A49" s="11" t="s">
        <v>305</v>
      </c>
      <c r="B49" s="36">
        <f t="shared" si="1"/>
        <v>90945636.32</v>
      </c>
      <c r="C49" s="37" t="s">
        <v>306</v>
      </c>
      <c r="D49" s="37" t="s">
        <v>307</v>
      </c>
      <c r="E49" s="6" t="s">
        <v>84</v>
      </c>
      <c r="F49" s="14">
        <f t="shared" si="2"/>
        <v>165290085058</v>
      </c>
      <c r="G49" s="15">
        <v>1817.4603174603174</v>
      </c>
      <c r="H49" s="14">
        <v>5.867798019551111E11</v>
      </c>
      <c r="I49" s="15">
        <f t="shared" si="3"/>
        <v>6451.984127</v>
      </c>
      <c r="J49" s="16">
        <v>174.02</v>
      </c>
      <c r="K49" s="17">
        <v>522616.0</v>
      </c>
      <c r="L49" s="18">
        <f t="shared" si="4"/>
        <v>201783.0828</v>
      </c>
      <c r="M49" s="19">
        <v>0.601</v>
      </c>
      <c r="N49" s="20">
        <v>5.22</v>
      </c>
      <c r="O49" s="21">
        <v>73.0</v>
      </c>
      <c r="P49" s="22" t="s">
        <v>308</v>
      </c>
      <c r="Q49" s="6" t="s">
        <v>309</v>
      </c>
      <c r="R49" s="1" t="s">
        <v>310</v>
      </c>
      <c r="S49" s="39">
        <f t="shared" si="5"/>
        <v>4016549067</v>
      </c>
      <c r="T49" s="39">
        <f t="shared" si="6"/>
        <v>6024823600</v>
      </c>
      <c r="U49" s="39">
        <f t="shared" si="7"/>
        <v>14258749188</v>
      </c>
      <c r="V49" s="39">
        <f t="shared" si="8"/>
        <v>21388123781</v>
      </c>
      <c r="W49" s="49">
        <v>0.0243</v>
      </c>
    </row>
    <row r="50" ht="22.5" customHeight="1">
      <c r="A50" s="11" t="s">
        <v>311</v>
      </c>
      <c r="B50" s="12">
        <f t="shared" si="1"/>
        <v>42672208.04</v>
      </c>
      <c r="C50" s="45" t="s">
        <v>312</v>
      </c>
      <c r="D50" s="13" t="s">
        <v>313</v>
      </c>
      <c r="E50" s="6" t="s">
        <v>84</v>
      </c>
      <c r="F50" s="14">
        <f t="shared" si="2"/>
        <v>313268193944</v>
      </c>
      <c r="G50" s="15">
        <v>7341.269841269841</v>
      </c>
      <c r="H50" s="28">
        <v>7.24141172136111E11</v>
      </c>
      <c r="I50" s="15">
        <f t="shared" si="3"/>
        <v>16969.85475</v>
      </c>
      <c r="J50" s="16">
        <v>98.945</v>
      </c>
      <c r="K50" s="17">
        <v>431272.0</v>
      </c>
      <c r="L50" s="18">
        <f t="shared" si="4"/>
        <v>166514.9817</v>
      </c>
      <c r="M50" s="19">
        <v>0.753</v>
      </c>
      <c r="N50" s="20">
        <v>4.79</v>
      </c>
      <c r="O50" s="21">
        <v>76.0</v>
      </c>
      <c r="P50" s="22" t="s">
        <v>314</v>
      </c>
      <c r="Q50" s="6" t="s">
        <v>315</v>
      </c>
      <c r="R50" s="1" t="s">
        <v>316</v>
      </c>
      <c r="S50" s="23">
        <f t="shared" si="5"/>
        <v>3790545147</v>
      </c>
      <c r="T50" s="23">
        <f t="shared" si="6"/>
        <v>5685817720</v>
      </c>
      <c r="U50" s="23">
        <f t="shared" si="7"/>
        <v>8762108183</v>
      </c>
      <c r="V50" s="23">
        <f t="shared" si="8"/>
        <v>13143162274</v>
      </c>
      <c r="W50" s="47">
        <v>0.0121</v>
      </c>
    </row>
    <row r="51" ht="22.5" customHeight="1">
      <c r="A51" s="41" t="s">
        <v>317</v>
      </c>
      <c r="B51" s="36">
        <f t="shared" si="1"/>
        <v>9533899.723</v>
      </c>
      <c r="C51" s="37" t="s">
        <v>318</v>
      </c>
      <c r="D51" s="37" t="s">
        <v>319</v>
      </c>
      <c r="E51" s="6" t="s">
        <v>26</v>
      </c>
      <c r="F51" s="14">
        <f t="shared" si="2"/>
        <v>187273030265</v>
      </c>
      <c r="G51" s="15">
        <v>19642.85714285714</v>
      </c>
      <c r="H51" s="14">
        <v>2.022548726865857E11</v>
      </c>
      <c r="I51" s="15">
        <f t="shared" si="3"/>
        <v>21214.28571</v>
      </c>
      <c r="J51" s="16">
        <v>2.7099</v>
      </c>
      <c r="K51" s="17">
        <v>3518174.0</v>
      </c>
      <c r="L51" s="18">
        <f t="shared" si="4"/>
        <v>1358374.018</v>
      </c>
      <c r="M51" s="19">
        <v>0.945</v>
      </c>
      <c r="N51" s="20">
        <v>8.44</v>
      </c>
      <c r="O51" s="21">
        <v>24.0</v>
      </c>
      <c r="P51" s="6" t="s">
        <v>320</v>
      </c>
      <c r="Q51" s="6" t="s">
        <v>321</v>
      </c>
      <c r="R51" s="6" t="s">
        <v>322</v>
      </c>
      <c r="S51" s="39">
        <f t="shared" si="5"/>
        <v>3745460605</v>
      </c>
      <c r="T51" s="39">
        <f t="shared" si="6"/>
        <v>5618190908</v>
      </c>
      <c r="U51" s="39">
        <f t="shared" si="7"/>
        <v>4045097454</v>
      </c>
      <c r="V51" s="39">
        <f t="shared" si="8"/>
        <v>6067646181</v>
      </c>
      <c r="W51" s="49">
        <v>0.02</v>
      </c>
    </row>
    <row r="52" ht="22.5" customHeight="1">
      <c r="A52" s="31" t="s">
        <v>323</v>
      </c>
      <c r="B52" s="32">
        <f t="shared" si="1"/>
        <v>33524352.79</v>
      </c>
      <c r="C52" s="33" t="s">
        <v>324</v>
      </c>
      <c r="D52" s="33" t="s">
        <v>325</v>
      </c>
      <c r="E52" s="6" t="s">
        <v>84</v>
      </c>
      <c r="F52" s="14">
        <f t="shared" si="2"/>
        <v>55474821870</v>
      </c>
      <c r="G52" s="15">
        <v>1654.7619047619048</v>
      </c>
      <c r="H52" s="14">
        <v>2.3299425185575003E11</v>
      </c>
      <c r="I52" s="15">
        <f t="shared" si="3"/>
        <v>6950</v>
      </c>
      <c r="J52" s="16">
        <v>11.935</v>
      </c>
      <c r="K52" s="17">
        <v>2808911.0</v>
      </c>
      <c r="L52" s="18">
        <f t="shared" si="4"/>
        <v>1084526.155</v>
      </c>
      <c r="M52" s="19">
        <v>0.646</v>
      </c>
      <c r="N52" s="20">
        <v>2.11</v>
      </c>
      <c r="O52" s="21">
        <v>77.0</v>
      </c>
      <c r="P52" s="6" t="s">
        <v>326</v>
      </c>
      <c r="Q52" s="6" t="s">
        <v>327</v>
      </c>
      <c r="R52" s="1" t="s">
        <v>328</v>
      </c>
      <c r="S52" s="34">
        <f t="shared" si="5"/>
        <v>3716813065</v>
      </c>
      <c r="T52" s="34">
        <f t="shared" si="6"/>
        <v>5575219598</v>
      </c>
      <c r="U52" s="34">
        <f t="shared" si="7"/>
        <v>15610614874</v>
      </c>
      <c r="V52" s="34">
        <f t="shared" si="8"/>
        <v>23415922312</v>
      </c>
      <c r="W52" s="50">
        <v>0.067</v>
      </c>
    </row>
    <row r="53" ht="22.5" customHeight="1">
      <c r="A53" s="31" t="s">
        <v>329</v>
      </c>
      <c r="B53" s="36">
        <f t="shared" si="1"/>
        <v>8002151.85</v>
      </c>
      <c r="C53" s="37" t="s">
        <v>330</v>
      </c>
      <c r="D53" s="37" t="s">
        <v>331</v>
      </c>
      <c r="E53" s="6" t="s">
        <v>84</v>
      </c>
      <c r="F53" s="14">
        <f t="shared" si="2"/>
        <v>165123768333</v>
      </c>
      <c r="G53" s="15">
        <v>20634.920634920636</v>
      </c>
      <c r="H53" s="14">
        <v>2.3117327566666666E11</v>
      </c>
      <c r="I53" s="15">
        <f t="shared" si="3"/>
        <v>28888.88889</v>
      </c>
      <c r="J53" s="16">
        <v>1.925</v>
      </c>
      <c r="K53" s="17">
        <v>4156962.0</v>
      </c>
      <c r="L53" s="18">
        <f t="shared" si="4"/>
        <v>1605011.342</v>
      </c>
      <c r="M53" s="19">
        <v>0.876</v>
      </c>
      <c r="N53" s="20">
        <v>7.1</v>
      </c>
      <c r="O53" s="21">
        <v>773.0</v>
      </c>
      <c r="P53" s="22" t="s">
        <v>332</v>
      </c>
      <c r="Q53" s="6" t="s">
        <v>333</v>
      </c>
      <c r="R53" s="6" t="s">
        <v>334</v>
      </c>
      <c r="S53" s="39">
        <f t="shared" si="5"/>
        <v>3302475367</v>
      </c>
      <c r="T53" s="39">
        <f t="shared" si="6"/>
        <v>4953713050</v>
      </c>
      <c r="U53" s="39">
        <f t="shared" si="7"/>
        <v>4623465513</v>
      </c>
      <c r="V53" s="39">
        <f t="shared" si="8"/>
        <v>6935198270</v>
      </c>
      <c r="W53" s="49">
        <v>0.02</v>
      </c>
    </row>
    <row r="54" ht="22.5" customHeight="1">
      <c r="A54" s="11" t="s">
        <v>335</v>
      </c>
      <c r="B54" s="32">
        <f t="shared" si="1"/>
        <v>44277194.07</v>
      </c>
      <c r="C54" s="33" t="s">
        <v>336</v>
      </c>
      <c r="D54" s="33" t="s">
        <v>337</v>
      </c>
      <c r="E54" s="6" t="s">
        <v>121</v>
      </c>
      <c r="F54" s="14">
        <f t="shared" si="2"/>
        <v>163579633646</v>
      </c>
      <c r="G54" s="15">
        <v>3694.4444444444443</v>
      </c>
      <c r="H54" s="14">
        <v>4.0077010243275446E11</v>
      </c>
      <c r="I54" s="15">
        <f t="shared" si="3"/>
        <v>9051.388889</v>
      </c>
      <c r="J54" s="16">
        <v>83.5496</v>
      </c>
      <c r="K54" s="17">
        <v>529951.0</v>
      </c>
      <c r="L54" s="18">
        <f t="shared" si="4"/>
        <v>204615.141</v>
      </c>
      <c r="M54" s="19">
        <v>0.751</v>
      </c>
      <c r="N54" s="20">
        <v>5.91</v>
      </c>
      <c r="O54" s="21">
        <v>62.0</v>
      </c>
      <c r="P54" s="22" t="s">
        <v>338</v>
      </c>
      <c r="Q54" s="6" t="s">
        <v>339</v>
      </c>
      <c r="R54" s="6" t="s">
        <v>340</v>
      </c>
      <c r="S54" s="34">
        <f t="shared" si="5"/>
        <v>3271592673</v>
      </c>
      <c r="T54" s="34">
        <f t="shared" si="6"/>
        <v>4907389009</v>
      </c>
      <c r="U54" s="34">
        <f t="shared" si="7"/>
        <v>8015402049</v>
      </c>
      <c r="V54" s="34">
        <f t="shared" si="8"/>
        <v>12023103073</v>
      </c>
      <c r="W54" s="50">
        <v>0.02</v>
      </c>
    </row>
    <row r="55" ht="22.5" customHeight="1">
      <c r="A55" s="31" t="s">
        <v>341</v>
      </c>
      <c r="B55" s="36">
        <f t="shared" si="1"/>
        <v>6524522.109</v>
      </c>
      <c r="C55" s="37" t="s">
        <v>342</v>
      </c>
      <c r="D55" s="37" t="s">
        <v>343</v>
      </c>
      <c r="E55" s="6" t="s">
        <v>26</v>
      </c>
      <c r="F55" s="14">
        <f t="shared" si="2"/>
        <v>161300685473</v>
      </c>
      <c r="G55" s="15">
        <v>24722.222222222223</v>
      </c>
      <c r="H55" s="14">
        <v>1.8388278143865E11</v>
      </c>
      <c r="I55" s="15">
        <f t="shared" si="3"/>
        <v>28183.33333</v>
      </c>
      <c r="J55" s="16">
        <v>4.0803</v>
      </c>
      <c r="K55" s="17">
        <v>1599030.0</v>
      </c>
      <c r="L55" s="18">
        <f t="shared" si="4"/>
        <v>617388.6811</v>
      </c>
      <c r="M55" s="19">
        <v>0.908</v>
      </c>
      <c r="N55" s="20">
        <v>7.39</v>
      </c>
      <c r="O55" s="21">
        <v>28.0</v>
      </c>
      <c r="P55" s="22" t="s">
        <v>344</v>
      </c>
      <c r="Q55" s="6" t="s">
        <v>345</v>
      </c>
      <c r="R55" s="6" t="s">
        <v>346</v>
      </c>
      <c r="S55" s="39">
        <f t="shared" si="5"/>
        <v>3226013709</v>
      </c>
      <c r="T55" s="39">
        <f t="shared" si="6"/>
        <v>4839020564</v>
      </c>
      <c r="U55" s="39">
        <f t="shared" si="7"/>
        <v>3677655629</v>
      </c>
      <c r="V55" s="39">
        <f t="shared" si="8"/>
        <v>5516483443</v>
      </c>
      <c r="W55" s="49">
        <v>0.02</v>
      </c>
    </row>
    <row r="56" ht="22.5" customHeight="1">
      <c r="A56" s="11" t="s">
        <v>347</v>
      </c>
      <c r="B56" s="12">
        <f t="shared" si="1"/>
        <v>17079115.95</v>
      </c>
      <c r="C56" s="13" t="s">
        <v>348</v>
      </c>
      <c r="D56" s="13" t="s">
        <v>349</v>
      </c>
      <c r="E56" s="6" t="s">
        <v>33</v>
      </c>
      <c r="F56" s="14">
        <f t="shared" si="2"/>
        <v>159269533638</v>
      </c>
      <c r="G56" s="15">
        <v>9325.396825396825</v>
      </c>
      <c r="H56" s="28">
        <v>2.69505318040933E11</v>
      </c>
      <c r="I56" s="15">
        <f t="shared" si="3"/>
        <v>15779.81664</v>
      </c>
      <c r="J56" s="16">
        <v>23.0924</v>
      </c>
      <c r="K56" s="17">
        <v>739599.0</v>
      </c>
      <c r="L56" s="18">
        <f t="shared" si="4"/>
        <v>285560.6531</v>
      </c>
      <c r="M56" s="19">
        <v>0.749</v>
      </c>
      <c r="N56" s="20">
        <v>6.89</v>
      </c>
      <c r="O56" s="21">
        <v>917.0</v>
      </c>
      <c r="P56" s="22" t="s">
        <v>350</v>
      </c>
      <c r="Q56" s="6" t="s">
        <v>351</v>
      </c>
      <c r="R56" s="6" t="s">
        <v>352</v>
      </c>
      <c r="S56" s="23">
        <f t="shared" si="5"/>
        <v>3185390673</v>
      </c>
      <c r="T56" s="23">
        <f t="shared" si="6"/>
        <v>4778086009</v>
      </c>
      <c r="U56" s="23">
        <f t="shared" si="7"/>
        <v>5390106361</v>
      </c>
      <c r="V56" s="23">
        <f t="shared" si="8"/>
        <v>8085159541</v>
      </c>
      <c r="W56" s="47">
        <v>0.02</v>
      </c>
    </row>
    <row r="57" ht="22.5" customHeight="1">
      <c r="A57" s="31" t="s">
        <v>353</v>
      </c>
      <c r="B57" s="25">
        <f t="shared" si="1"/>
        <v>18288843.58</v>
      </c>
      <c r="C57" s="26" t="s">
        <v>354</v>
      </c>
      <c r="D57" s="27" t="s">
        <v>355</v>
      </c>
      <c r="E57" s="6" t="s">
        <v>40</v>
      </c>
      <c r="F57" s="14">
        <f t="shared" si="2"/>
        <v>137166326876</v>
      </c>
      <c r="G57" s="15">
        <v>7500.0</v>
      </c>
      <c r="H57" s="14">
        <v>2.89420949707305E11</v>
      </c>
      <c r="I57" s="15">
        <f t="shared" si="3"/>
        <v>15825</v>
      </c>
      <c r="J57" s="16">
        <v>164.4074</v>
      </c>
      <c r="K57" s="17">
        <v>111241.0</v>
      </c>
      <c r="L57" s="18">
        <f t="shared" si="4"/>
        <v>42950.37258</v>
      </c>
      <c r="M57" s="19">
        <v>0.88</v>
      </c>
      <c r="N57" s="20">
        <v>6.21</v>
      </c>
      <c r="O57" s="21">
        <v>909.0</v>
      </c>
      <c r="P57" s="22" t="s">
        <v>356</v>
      </c>
      <c r="Q57" s="6" t="s">
        <v>357</v>
      </c>
      <c r="R57" s="1" t="s">
        <v>358</v>
      </c>
      <c r="S57" s="29">
        <f t="shared" si="5"/>
        <v>2743326538</v>
      </c>
      <c r="T57" s="29">
        <f t="shared" si="6"/>
        <v>4114989806</v>
      </c>
      <c r="U57" s="29">
        <f t="shared" si="7"/>
        <v>5788418994</v>
      </c>
      <c r="V57" s="29">
        <f t="shared" si="8"/>
        <v>8682628491</v>
      </c>
      <c r="W57" s="44">
        <v>0.02</v>
      </c>
    </row>
    <row r="58" ht="22.5" customHeight="1">
      <c r="A58" s="11" t="s">
        <v>359</v>
      </c>
      <c r="B58" s="12">
        <f t="shared" si="1"/>
        <v>7438559.464</v>
      </c>
      <c r="C58" s="45" t="s">
        <v>360</v>
      </c>
      <c r="D58" s="13" t="s">
        <v>361</v>
      </c>
      <c r="E58" s="6" t="s">
        <v>26</v>
      </c>
      <c r="F58" s="14">
        <f t="shared" si="2"/>
        <v>135192866449</v>
      </c>
      <c r="G58" s="15">
        <v>18174.603174603173</v>
      </c>
      <c r="H58" s="14">
        <v>1.446563671003111E11</v>
      </c>
      <c r="I58" s="15">
        <f t="shared" si="3"/>
        <v>19446.8254</v>
      </c>
      <c r="J58" s="16">
        <v>44.2666</v>
      </c>
      <c r="K58" s="17">
        <v>168040.0</v>
      </c>
      <c r="L58" s="18">
        <f t="shared" si="4"/>
        <v>64880.58008</v>
      </c>
      <c r="M58" s="19">
        <v>0.955</v>
      </c>
      <c r="N58" s="20">
        <v>8.77</v>
      </c>
      <c r="O58" s="21">
        <v>213.0</v>
      </c>
      <c r="P58" s="22" t="s">
        <v>362</v>
      </c>
      <c r="Q58" s="6" t="s">
        <v>363</v>
      </c>
      <c r="R58" s="6" t="s">
        <v>364</v>
      </c>
      <c r="S58" s="23">
        <f t="shared" si="5"/>
        <v>2703857329</v>
      </c>
      <c r="T58" s="23">
        <f t="shared" si="6"/>
        <v>4055785993</v>
      </c>
      <c r="U58" s="23">
        <f t="shared" si="7"/>
        <v>2893127342</v>
      </c>
      <c r="V58" s="23">
        <f t="shared" si="8"/>
        <v>4339691013</v>
      </c>
      <c r="W58" s="47">
        <v>0.02</v>
      </c>
    </row>
    <row r="59" ht="22.5" customHeight="1">
      <c r="A59" s="41" t="s">
        <v>365</v>
      </c>
      <c r="B59" s="25">
        <f t="shared" si="1"/>
        <v>14469041.13</v>
      </c>
      <c r="C59" s="27" t="s">
        <v>366</v>
      </c>
      <c r="D59" s="27" t="s">
        <v>367</v>
      </c>
      <c r="E59" s="6" t="s">
        <v>54</v>
      </c>
      <c r="F59" s="14">
        <f t="shared" si="2"/>
        <v>128039530617</v>
      </c>
      <c r="G59" s="15">
        <v>8849.20634920635</v>
      </c>
      <c r="H59" s="14">
        <v>2.087044349054254E11</v>
      </c>
      <c r="I59" s="15">
        <f t="shared" si="3"/>
        <v>14424.20635</v>
      </c>
      <c r="J59" s="16">
        <v>109.727</v>
      </c>
      <c r="K59" s="17">
        <v>131864.0</v>
      </c>
      <c r="L59" s="18">
        <f t="shared" si="4"/>
        <v>50912.95413</v>
      </c>
      <c r="M59" s="19">
        <v>0.89</v>
      </c>
      <c r="N59" s="20">
        <v>6.43</v>
      </c>
      <c r="O59" s="21">
        <v>17.0</v>
      </c>
      <c r="P59" s="22" t="s">
        <v>368</v>
      </c>
      <c r="Q59" s="6" t="s">
        <v>369</v>
      </c>
      <c r="R59" s="1" t="s">
        <v>370</v>
      </c>
      <c r="S59" s="29">
        <f t="shared" si="5"/>
        <v>2560790612</v>
      </c>
      <c r="T59" s="29">
        <f t="shared" si="6"/>
        <v>3841185919</v>
      </c>
      <c r="U59" s="29">
        <f t="shared" si="7"/>
        <v>4174088698</v>
      </c>
      <c r="V59" s="29">
        <f t="shared" si="8"/>
        <v>6261133047</v>
      </c>
      <c r="W59" s="44">
        <v>0.02</v>
      </c>
    </row>
    <row r="60" ht="22.5" customHeight="1">
      <c r="A60" s="11" t="s">
        <v>371</v>
      </c>
      <c r="B60" s="12">
        <f t="shared" si="1"/>
        <v>17219176.59</v>
      </c>
      <c r="C60" s="45" t="s">
        <v>372</v>
      </c>
      <c r="D60" s="13" t="s">
        <v>373</v>
      </c>
      <c r="E60" s="6" t="s">
        <v>84</v>
      </c>
      <c r="F60" s="14">
        <f t="shared" si="2"/>
        <v>127093922450</v>
      </c>
      <c r="G60" s="15">
        <v>7380.952380952381</v>
      </c>
      <c r="H60" s="28">
        <v>2.266313806965E11</v>
      </c>
      <c r="I60" s="15">
        <f t="shared" si="3"/>
        <v>13161.56899</v>
      </c>
      <c r="J60" s="16">
        <v>11.165</v>
      </c>
      <c r="K60" s="17">
        <v>1542246.0</v>
      </c>
      <c r="L60" s="18">
        <f t="shared" si="4"/>
        <v>595464.2651</v>
      </c>
      <c r="M60" s="19">
        <v>0.787</v>
      </c>
      <c r="N60" s="20">
        <v>5.01</v>
      </c>
      <c r="O60" s="21">
        <v>731.0</v>
      </c>
      <c r="P60" s="22" t="s">
        <v>374</v>
      </c>
      <c r="Q60" s="6" t="s">
        <v>375</v>
      </c>
      <c r="R60" s="1" t="s">
        <v>376</v>
      </c>
      <c r="S60" s="23">
        <f t="shared" si="5"/>
        <v>2541878449</v>
      </c>
      <c r="T60" s="23">
        <f t="shared" si="6"/>
        <v>3812817674</v>
      </c>
      <c r="U60" s="23">
        <f t="shared" si="7"/>
        <v>4532627614</v>
      </c>
      <c r="V60" s="23">
        <f t="shared" si="8"/>
        <v>6798941421</v>
      </c>
      <c r="W60" s="47">
        <v>0.02</v>
      </c>
    </row>
    <row r="61" ht="22.5" customHeight="1">
      <c r="A61" s="31" t="s">
        <v>377</v>
      </c>
      <c r="B61" s="25">
        <f t="shared" si="1"/>
        <v>18995781.44</v>
      </c>
      <c r="C61" s="27" t="s">
        <v>378</v>
      </c>
      <c r="D61" s="27" t="s">
        <v>379</v>
      </c>
      <c r="E61" s="6" t="s">
        <v>54</v>
      </c>
      <c r="F61" s="14">
        <f t="shared" si="2"/>
        <v>122869538686</v>
      </c>
      <c r="G61" s="15">
        <v>6468.253968253968</v>
      </c>
      <c r="H61" s="14">
        <v>2.8997211129856665E11</v>
      </c>
      <c r="I61" s="15">
        <f t="shared" si="3"/>
        <v>15265.07937</v>
      </c>
      <c r="J61" s="16">
        <v>70.833</v>
      </c>
      <c r="K61" s="17">
        <v>268177.0</v>
      </c>
      <c r="L61" s="18">
        <f t="shared" si="4"/>
        <v>103543.6761</v>
      </c>
      <c r="M61" s="19">
        <v>0.756</v>
      </c>
      <c r="N61" s="20">
        <v>6.84</v>
      </c>
      <c r="O61" s="21">
        <v>36.0</v>
      </c>
      <c r="P61" s="22" t="s">
        <v>380</v>
      </c>
      <c r="Q61" s="6" t="s">
        <v>381</v>
      </c>
      <c r="R61" s="6" t="s">
        <v>382</v>
      </c>
      <c r="S61" s="29">
        <f t="shared" si="5"/>
        <v>2457390774</v>
      </c>
      <c r="T61" s="29">
        <f t="shared" si="6"/>
        <v>3686086161</v>
      </c>
      <c r="U61" s="29">
        <f t="shared" si="7"/>
        <v>5799442226</v>
      </c>
      <c r="V61" s="29">
        <f t="shared" si="8"/>
        <v>8699163339</v>
      </c>
      <c r="W61" s="44">
        <v>0.02</v>
      </c>
    </row>
    <row r="62" ht="22.5" customHeight="1">
      <c r="A62" s="11" t="s">
        <v>383</v>
      </c>
      <c r="B62" s="32">
        <f t="shared" si="1"/>
        <v>10967499.63</v>
      </c>
      <c r="C62" s="52" t="s">
        <v>384</v>
      </c>
      <c r="D62" s="52" t="s">
        <v>385</v>
      </c>
      <c r="E62" s="6" t="s">
        <v>33</v>
      </c>
      <c r="F62" s="14">
        <f t="shared" si="2"/>
        <v>115332833411</v>
      </c>
      <c r="G62" s="15">
        <v>10515.873015873016</v>
      </c>
      <c r="H62" s="28">
        <v>2.09498875174107E11</v>
      </c>
      <c r="I62" s="15">
        <f t="shared" si="3"/>
        <v>19101.79004</v>
      </c>
      <c r="J62" s="16">
        <v>192.0753</v>
      </c>
      <c r="K62" s="17">
        <v>57100.0</v>
      </c>
      <c r="L62" s="18">
        <f t="shared" si="4"/>
        <v>22046.4242</v>
      </c>
      <c r="M62" s="19">
        <v>0.758</v>
      </c>
      <c r="N62" s="20">
        <v>5.33</v>
      </c>
      <c r="O62" s="21">
        <v>58.0</v>
      </c>
      <c r="P62" s="6" t="s">
        <v>386</v>
      </c>
      <c r="Q62" s="6" t="s">
        <v>387</v>
      </c>
      <c r="R62" s="6" t="s">
        <v>388</v>
      </c>
      <c r="S62" s="34">
        <f t="shared" si="5"/>
        <v>2306656668</v>
      </c>
      <c r="T62" s="34">
        <f t="shared" si="6"/>
        <v>3459985002</v>
      </c>
      <c r="U62" s="34">
        <f t="shared" si="7"/>
        <v>4189977503</v>
      </c>
      <c r="V62" s="34">
        <f t="shared" si="8"/>
        <v>6284966255</v>
      </c>
      <c r="W62" s="50">
        <v>0.02</v>
      </c>
    </row>
    <row r="63" ht="22.5" customHeight="1">
      <c r="A63" s="41" t="s">
        <v>389</v>
      </c>
      <c r="B63" s="25">
        <f t="shared" si="1"/>
        <v>12299327.77</v>
      </c>
      <c r="C63" s="53" t="s">
        <v>390</v>
      </c>
      <c r="D63" s="27" t="s">
        <v>391</v>
      </c>
      <c r="E63" s="6" t="s">
        <v>54</v>
      </c>
      <c r="F63" s="14">
        <f t="shared" si="2"/>
        <v>113231906417</v>
      </c>
      <c r="G63" s="15">
        <v>9206.349206349207</v>
      </c>
      <c r="H63" s="14">
        <v>1.8003873120325717E11</v>
      </c>
      <c r="I63" s="15">
        <f t="shared" si="3"/>
        <v>14638.09524</v>
      </c>
      <c r="J63" s="16">
        <v>57.366</v>
      </c>
      <c r="K63" s="17">
        <v>214401.0</v>
      </c>
      <c r="L63" s="18">
        <f t="shared" si="4"/>
        <v>82780.6549</v>
      </c>
      <c r="M63" s="19">
        <v>0.895</v>
      </c>
      <c r="N63" s="20">
        <v>9.77</v>
      </c>
      <c r="O63" s="21">
        <v>178.0</v>
      </c>
      <c r="P63" s="22" t="s">
        <v>392</v>
      </c>
      <c r="Q63" s="6" t="s">
        <v>393</v>
      </c>
      <c r="R63" s="6" t="s">
        <v>394</v>
      </c>
      <c r="S63" s="29">
        <f t="shared" si="5"/>
        <v>2264638128</v>
      </c>
      <c r="T63" s="29">
        <f t="shared" si="6"/>
        <v>3396957193</v>
      </c>
      <c r="U63" s="29">
        <f t="shared" si="7"/>
        <v>3600774624</v>
      </c>
      <c r="V63" s="29">
        <f t="shared" si="8"/>
        <v>5401161936</v>
      </c>
      <c r="W63" s="44">
        <v>0.02</v>
      </c>
    </row>
    <row r="64" ht="22.5" customHeight="1">
      <c r="A64" s="31" t="s">
        <v>395</v>
      </c>
      <c r="B64" s="32">
        <f t="shared" si="1"/>
        <v>2646839.919</v>
      </c>
      <c r="C64" s="42" t="s">
        <v>396</v>
      </c>
      <c r="D64" s="33" t="s">
        <v>397</v>
      </c>
      <c r="E64" s="6" t="s">
        <v>33</v>
      </c>
      <c r="F64" s="14">
        <f t="shared" si="2"/>
        <v>107133996713</v>
      </c>
      <c r="G64" s="15">
        <v>40476.19047619047</v>
      </c>
      <c r="H64" s="14">
        <v>8.302884745283333E10</v>
      </c>
      <c r="I64" s="15">
        <f t="shared" si="3"/>
        <v>31369.04762</v>
      </c>
      <c r="J64" s="16">
        <v>4310.8142</v>
      </c>
      <c r="K64" s="17">
        <v>614.0</v>
      </c>
      <c r="L64" s="18">
        <f t="shared" si="4"/>
        <v>237.066628</v>
      </c>
      <c r="M64" s="19">
        <v>0.963</v>
      </c>
      <c r="N64" s="20">
        <v>8.15</v>
      </c>
      <c r="O64" s="21">
        <v>501.0</v>
      </c>
      <c r="P64" s="22" t="s">
        <v>398</v>
      </c>
      <c r="Q64" s="6" t="s">
        <v>395</v>
      </c>
      <c r="R64" s="6" t="s">
        <v>399</v>
      </c>
      <c r="S64" s="34">
        <f t="shared" si="5"/>
        <v>2142679934</v>
      </c>
      <c r="T64" s="34">
        <f t="shared" si="6"/>
        <v>3214019901</v>
      </c>
      <c r="U64" s="34">
        <f t="shared" si="7"/>
        <v>1660576949</v>
      </c>
      <c r="V64" s="34">
        <f t="shared" si="8"/>
        <v>2490865424</v>
      </c>
      <c r="W64" s="50">
        <v>0.02</v>
      </c>
    </row>
    <row r="65" ht="22.5" customHeight="1">
      <c r="A65" s="54" t="s">
        <v>400</v>
      </c>
      <c r="B65" s="25">
        <f t="shared" si="1"/>
        <v>20605956.26</v>
      </c>
      <c r="C65" s="27" t="s">
        <v>401</v>
      </c>
      <c r="D65" s="27" t="s">
        <v>402</v>
      </c>
      <c r="E65" s="6" t="s">
        <v>403</v>
      </c>
      <c r="F65" s="14">
        <f t="shared" si="2"/>
        <v>97305904580</v>
      </c>
      <c r="G65" s="15">
        <v>4722.222222222223</v>
      </c>
      <c r="H65" s="14">
        <v>2.568875880912E11</v>
      </c>
      <c r="I65" s="15">
        <f t="shared" si="3"/>
        <v>12466.66667</v>
      </c>
      <c r="J65" s="16">
        <v>61.596</v>
      </c>
      <c r="K65" s="17">
        <v>334534.0</v>
      </c>
      <c r="L65" s="18">
        <f t="shared" si="4"/>
        <v>129164.2465</v>
      </c>
      <c r="M65" s="19">
        <v>0.709</v>
      </c>
      <c r="N65" s="20">
        <v>3.09</v>
      </c>
      <c r="O65" s="21">
        <v>388.0</v>
      </c>
      <c r="P65" s="22" t="s">
        <v>404</v>
      </c>
      <c r="Q65" s="6" t="s">
        <v>405</v>
      </c>
      <c r="R65" s="6" t="s">
        <v>406</v>
      </c>
      <c r="S65" s="29">
        <f t="shared" si="5"/>
        <v>1946118092</v>
      </c>
      <c r="T65" s="29">
        <f t="shared" si="6"/>
        <v>2919177137</v>
      </c>
      <c r="U65" s="29">
        <f t="shared" si="7"/>
        <v>5137751762</v>
      </c>
      <c r="V65" s="29">
        <f t="shared" si="8"/>
        <v>7706627643</v>
      </c>
      <c r="W65" s="44">
        <v>0.02</v>
      </c>
    </row>
    <row r="66" ht="22.5" customHeight="1">
      <c r="A66" s="11" t="s">
        <v>407</v>
      </c>
      <c r="B66" s="12">
        <f t="shared" si="1"/>
        <v>6585929.991</v>
      </c>
      <c r="C66" s="13" t="s">
        <v>408</v>
      </c>
      <c r="D66" s="13" t="s">
        <v>409</v>
      </c>
      <c r="E66" s="6" t="s">
        <v>26</v>
      </c>
      <c r="F66" s="14">
        <f t="shared" si="2"/>
        <v>96175485583</v>
      </c>
      <c r="G66" s="15">
        <v>14603.174603174602</v>
      </c>
      <c r="H66" s="14">
        <v>1.5580428664422858E11</v>
      </c>
      <c r="I66" s="15">
        <f t="shared" si="3"/>
        <v>23657.14286</v>
      </c>
      <c r="J66" s="16">
        <v>11.9346</v>
      </c>
      <c r="K66" s="17">
        <v>551835.0</v>
      </c>
      <c r="L66" s="18">
        <f t="shared" si="4"/>
        <v>213064.5972</v>
      </c>
      <c r="M66" s="19">
        <v>0.862</v>
      </c>
      <c r="N66" s="20">
        <v>6.91</v>
      </c>
      <c r="O66" s="21">
        <v>29.0</v>
      </c>
      <c r="P66" s="22" t="s">
        <v>410</v>
      </c>
      <c r="Q66" s="6" t="s">
        <v>411</v>
      </c>
      <c r="R66" s="6" t="s">
        <v>412</v>
      </c>
      <c r="S66" s="23">
        <f t="shared" si="5"/>
        <v>1923509712</v>
      </c>
      <c r="T66" s="23">
        <f t="shared" si="6"/>
        <v>2885264567</v>
      </c>
      <c r="U66" s="23">
        <f t="shared" si="7"/>
        <v>3116085733</v>
      </c>
      <c r="V66" s="23">
        <f t="shared" si="8"/>
        <v>4674128599</v>
      </c>
      <c r="W66" s="47">
        <v>0.02</v>
      </c>
    </row>
    <row r="67" ht="22.5" customHeight="1">
      <c r="A67" s="41" t="s">
        <v>413</v>
      </c>
      <c r="B67" s="25">
        <f t="shared" si="1"/>
        <v>3254988.167</v>
      </c>
      <c r="C67" s="55" t="s">
        <v>414</v>
      </c>
      <c r="D67" s="27" t="s">
        <v>415</v>
      </c>
      <c r="E67" s="6" t="s">
        <v>54</v>
      </c>
      <c r="F67" s="14">
        <f t="shared" si="2"/>
        <v>95970484448</v>
      </c>
      <c r="G67" s="15">
        <v>29484.126984126982</v>
      </c>
      <c r="H67" s="14">
        <v>8.215073468719586E10</v>
      </c>
      <c r="I67" s="15">
        <f t="shared" si="3"/>
        <v>25238.4127</v>
      </c>
      <c r="J67" s="16">
        <v>118.187</v>
      </c>
      <c r="K67" s="17">
        <v>27541.0</v>
      </c>
      <c r="L67" s="18">
        <f t="shared" si="4"/>
        <v>10633.63518</v>
      </c>
      <c r="M67" s="19">
        <v>0.958</v>
      </c>
      <c r="N67" s="20">
        <v>8.14</v>
      </c>
      <c r="O67" s="21">
        <v>111.0</v>
      </c>
      <c r="P67" s="22" t="s">
        <v>416</v>
      </c>
      <c r="Q67" s="6" t="s">
        <v>417</v>
      </c>
      <c r="R67" s="6" t="s">
        <v>418</v>
      </c>
      <c r="S67" s="29">
        <f t="shared" si="5"/>
        <v>1919409689</v>
      </c>
      <c r="T67" s="29">
        <f t="shared" si="6"/>
        <v>2879114533</v>
      </c>
      <c r="U67" s="29">
        <f t="shared" si="7"/>
        <v>1643014694</v>
      </c>
      <c r="V67" s="29">
        <f t="shared" si="8"/>
        <v>2464522041</v>
      </c>
      <c r="W67" s="44">
        <v>0.02</v>
      </c>
    </row>
    <row r="68" ht="22.5" customHeight="1">
      <c r="A68" s="11" t="s">
        <v>419</v>
      </c>
      <c r="B68" s="12">
        <f t="shared" si="1"/>
        <v>11203256.37</v>
      </c>
      <c r="C68" s="45" t="s">
        <v>420</v>
      </c>
      <c r="D68" s="13" t="s">
        <v>421</v>
      </c>
      <c r="E68" s="6" t="s">
        <v>47</v>
      </c>
      <c r="F68" s="14">
        <f t="shared" si="2"/>
        <v>93360469750</v>
      </c>
      <c r="G68" s="15">
        <v>8333.333333333334</v>
      </c>
      <c r="H68" s="28">
        <v>1.7539303345E11</v>
      </c>
      <c r="I68" s="15">
        <f t="shared" si="3"/>
        <v>15655.54047</v>
      </c>
      <c r="J68" s="16">
        <v>28.874</v>
      </c>
      <c r="K68" s="17">
        <v>388005.0</v>
      </c>
      <c r="L68" s="18">
        <f t="shared" si="4"/>
        <v>149809.5065</v>
      </c>
      <c r="M68" s="19">
        <v>0.779</v>
      </c>
      <c r="N68" s="20">
        <v>8.74</v>
      </c>
      <c r="O68" s="21">
        <v>82.0</v>
      </c>
      <c r="P68" s="22" t="s">
        <v>422</v>
      </c>
      <c r="Q68" s="6" t="s">
        <v>423</v>
      </c>
      <c r="R68" s="1" t="s">
        <v>424</v>
      </c>
      <c r="S68" s="23">
        <f t="shared" si="5"/>
        <v>1867209395</v>
      </c>
      <c r="T68" s="23">
        <f t="shared" si="6"/>
        <v>2800814093</v>
      </c>
      <c r="U68" s="23">
        <f t="shared" si="7"/>
        <v>3507860669</v>
      </c>
      <c r="V68" s="23">
        <f t="shared" si="8"/>
        <v>5261791004</v>
      </c>
      <c r="W68" s="47">
        <v>0.02</v>
      </c>
    </row>
    <row r="69" ht="22.5" customHeight="1">
      <c r="A69" s="11" t="s">
        <v>425</v>
      </c>
      <c r="B69" s="25">
        <f t="shared" si="1"/>
        <v>12783095.33</v>
      </c>
      <c r="C69" s="26" t="s">
        <v>426</v>
      </c>
      <c r="D69" s="27" t="s">
        <v>427</v>
      </c>
      <c r="E69" s="6" t="s">
        <v>121</v>
      </c>
      <c r="F69" s="14">
        <f t="shared" si="2"/>
        <v>92322355125</v>
      </c>
      <c r="G69" s="15">
        <v>7222.222222222222</v>
      </c>
      <c r="H69" s="14">
        <v>1.9018405155749997E11</v>
      </c>
      <c r="I69" s="15">
        <f t="shared" si="3"/>
        <v>14877.77778</v>
      </c>
      <c r="J69" s="16">
        <v>66.2165</v>
      </c>
      <c r="K69" s="17">
        <v>193050.0</v>
      </c>
      <c r="L69" s="18">
        <f t="shared" si="4"/>
        <v>74536.9911</v>
      </c>
      <c r="M69" s="19">
        <v>0.812</v>
      </c>
      <c r="N69" s="20">
        <v>6.75</v>
      </c>
      <c r="O69" s="21">
        <v>65.0</v>
      </c>
      <c r="P69" s="22" t="s">
        <v>428</v>
      </c>
      <c r="Q69" s="6" t="s">
        <v>429</v>
      </c>
      <c r="R69" s="6" t="s">
        <v>430</v>
      </c>
      <c r="S69" s="29">
        <f t="shared" si="5"/>
        <v>1846447103</v>
      </c>
      <c r="T69" s="29">
        <f t="shared" si="6"/>
        <v>2769670654</v>
      </c>
      <c r="U69" s="29">
        <f t="shared" si="7"/>
        <v>3803681031</v>
      </c>
      <c r="V69" s="29">
        <f t="shared" si="8"/>
        <v>5705521547</v>
      </c>
      <c r="W69" s="44">
        <v>0.02</v>
      </c>
    </row>
    <row r="70" ht="22.5" customHeight="1">
      <c r="A70" s="11" t="s">
        <v>431</v>
      </c>
      <c r="B70" s="32">
        <f t="shared" si="1"/>
        <v>21995119.44</v>
      </c>
      <c r="C70" s="42" t="s">
        <v>432</v>
      </c>
      <c r="D70" s="33" t="s">
        <v>433</v>
      </c>
      <c r="E70" s="6" t="s">
        <v>40</v>
      </c>
      <c r="F70" s="14">
        <f t="shared" si="2"/>
        <v>81434311263</v>
      </c>
      <c r="G70" s="15">
        <v>3702.3809523809523</v>
      </c>
      <c r="H70" s="14">
        <v>2.019570919321455E11</v>
      </c>
      <c r="I70" s="15">
        <f t="shared" si="3"/>
        <v>9181.904762</v>
      </c>
      <c r="J70" s="16">
        <v>16.5544</v>
      </c>
      <c r="K70" s="17">
        <v>1328657.0</v>
      </c>
      <c r="L70" s="18">
        <f t="shared" si="4"/>
        <v>512997.125</v>
      </c>
      <c r="M70" s="19">
        <v>0.745</v>
      </c>
      <c r="N70" s="20">
        <v>5.49</v>
      </c>
      <c r="O70" s="21">
        <v>905.0</v>
      </c>
      <c r="P70" s="22" t="s">
        <v>434</v>
      </c>
      <c r="Q70" s="6" t="s">
        <v>435</v>
      </c>
      <c r="R70" s="1" t="s">
        <v>436</v>
      </c>
      <c r="S70" s="34">
        <f t="shared" si="5"/>
        <v>1628686225</v>
      </c>
      <c r="T70" s="34">
        <f t="shared" si="6"/>
        <v>2443029338</v>
      </c>
      <c r="U70" s="34">
        <f t="shared" si="7"/>
        <v>4039141839</v>
      </c>
      <c r="V70" s="34">
        <f t="shared" si="8"/>
        <v>6058712758</v>
      </c>
      <c r="W70" s="50">
        <v>0.02</v>
      </c>
    </row>
    <row r="71" ht="22.5" customHeight="1">
      <c r="A71" s="11" t="s">
        <v>437</v>
      </c>
      <c r="B71" s="25">
        <f t="shared" si="1"/>
        <v>21611863.47</v>
      </c>
      <c r="C71" s="27" t="s">
        <v>438</v>
      </c>
      <c r="D71" s="27" t="s">
        <v>439</v>
      </c>
      <c r="E71" s="6" t="s">
        <v>40</v>
      </c>
      <c r="F71" s="14">
        <f t="shared" si="2"/>
        <v>78900453934</v>
      </c>
      <c r="G71" s="15">
        <v>3650.7936507936506</v>
      </c>
      <c r="H71" s="14">
        <v>3.021887385661257E11</v>
      </c>
      <c r="I71" s="15">
        <f t="shared" si="3"/>
        <v>13982.53968</v>
      </c>
      <c r="J71" s="16">
        <v>107.8092</v>
      </c>
      <c r="K71" s="17">
        <v>200464.0</v>
      </c>
      <c r="L71" s="18">
        <f t="shared" si="4"/>
        <v>77399.55133</v>
      </c>
      <c r="M71" s="19">
        <v>0.675</v>
      </c>
      <c r="N71" s="20">
        <v>4.17</v>
      </c>
      <c r="O71" s="21">
        <v>915.0</v>
      </c>
      <c r="P71" s="22" t="s">
        <v>440</v>
      </c>
      <c r="Q71" s="6" t="s">
        <v>441</v>
      </c>
      <c r="R71" s="6" t="s">
        <v>442</v>
      </c>
      <c r="S71" s="29">
        <f t="shared" si="5"/>
        <v>1578009079</v>
      </c>
      <c r="T71" s="29">
        <f t="shared" si="6"/>
        <v>2367013618</v>
      </c>
      <c r="U71" s="29">
        <f t="shared" si="7"/>
        <v>6043774771</v>
      </c>
      <c r="V71" s="29">
        <f t="shared" si="8"/>
        <v>9065662157</v>
      </c>
      <c r="W71" s="44">
        <v>0.02</v>
      </c>
    </row>
    <row r="72" ht="22.5" customHeight="1">
      <c r="A72" s="41" t="s">
        <v>443</v>
      </c>
      <c r="B72" s="32">
        <f t="shared" si="1"/>
        <v>5393380.32</v>
      </c>
      <c r="C72" s="33" t="s">
        <v>444</v>
      </c>
      <c r="D72" s="33" t="s">
        <v>445</v>
      </c>
      <c r="E72" s="6" t="s">
        <v>54</v>
      </c>
      <c r="F72" s="14">
        <f t="shared" si="2"/>
        <v>74265990914</v>
      </c>
      <c r="G72" s="15">
        <v>13769.84126984127</v>
      </c>
      <c r="H72" s="14">
        <v>1.2328154491771426E11</v>
      </c>
      <c r="I72" s="15">
        <f t="shared" si="3"/>
        <v>22857.93651</v>
      </c>
      <c r="J72" s="16">
        <v>41.196</v>
      </c>
      <c r="K72" s="17">
        <v>130920.0</v>
      </c>
      <c r="L72" s="18">
        <f t="shared" si="4"/>
        <v>50548.47384</v>
      </c>
      <c r="M72" s="19">
        <v>0.86</v>
      </c>
      <c r="N72" s="20">
        <v>8.03</v>
      </c>
      <c r="O72" s="21">
        <v>18.0</v>
      </c>
      <c r="P72" s="22" t="s">
        <v>446</v>
      </c>
      <c r="Q72" s="6" t="s">
        <v>447</v>
      </c>
      <c r="R72" s="1" t="s">
        <v>448</v>
      </c>
      <c r="S72" s="34">
        <f t="shared" si="5"/>
        <v>1485319818</v>
      </c>
      <c r="T72" s="34">
        <f t="shared" si="6"/>
        <v>2227979727</v>
      </c>
      <c r="U72" s="34">
        <f t="shared" si="7"/>
        <v>2465630898</v>
      </c>
      <c r="V72" s="34">
        <f t="shared" si="8"/>
        <v>3698446348</v>
      </c>
      <c r="W72" s="50">
        <v>0.02</v>
      </c>
    </row>
    <row r="73" ht="22.5" customHeight="1">
      <c r="A73" s="11" t="s">
        <v>449</v>
      </c>
      <c r="B73" s="36">
        <f t="shared" si="1"/>
        <v>12307246.88</v>
      </c>
      <c r="C73" s="37" t="s">
        <v>450</v>
      </c>
      <c r="D73" s="37" t="s">
        <v>451</v>
      </c>
      <c r="E73" s="6" t="s">
        <v>121</v>
      </c>
      <c r="F73" s="14">
        <f t="shared" si="2"/>
        <v>74234187500</v>
      </c>
      <c r="G73" s="15">
        <v>6031.746031746032</v>
      </c>
      <c r="H73" s="14">
        <v>1.5886116125E11</v>
      </c>
      <c r="I73" s="15">
        <f t="shared" si="3"/>
        <v>12907.93651</v>
      </c>
      <c r="J73" s="16">
        <v>28.875</v>
      </c>
      <c r="K73" s="17">
        <v>426225.0</v>
      </c>
      <c r="L73" s="18">
        <f t="shared" si="4"/>
        <v>164566.325</v>
      </c>
      <c r="M73" s="19">
        <v>0.801</v>
      </c>
      <c r="N73" s="20">
        <v>6.04</v>
      </c>
      <c r="O73" s="21">
        <v>63.0</v>
      </c>
      <c r="P73" s="22" t="s">
        <v>452</v>
      </c>
      <c r="Q73" s="6" t="s">
        <v>453</v>
      </c>
      <c r="R73" s="1" t="s">
        <v>454</v>
      </c>
      <c r="S73" s="39">
        <f t="shared" si="5"/>
        <v>1484683750</v>
      </c>
      <c r="T73" s="39">
        <f t="shared" si="6"/>
        <v>2227025625</v>
      </c>
      <c r="U73" s="39">
        <f t="shared" si="7"/>
        <v>3177223225</v>
      </c>
      <c r="V73" s="39">
        <f t="shared" si="8"/>
        <v>4765834838</v>
      </c>
      <c r="W73" s="49">
        <v>0.02</v>
      </c>
    </row>
    <row r="74" ht="22.5" customHeight="1">
      <c r="A74" s="11" t="s">
        <v>455</v>
      </c>
      <c r="B74" s="12">
        <f t="shared" si="1"/>
        <v>22501432.8</v>
      </c>
      <c r="C74" s="13" t="s">
        <v>456</v>
      </c>
      <c r="D74" s="13" t="s">
        <v>457</v>
      </c>
      <c r="E74" s="6" t="s">
        <v>121</v>
      </c>
      <c r="F74" s="14">
        <f t="shared" si="2"/>
        <v>73218948000</v>
      </c>
      <c r="G74" s="15">
        <v>3253.968253968254</v>
      </c>
      <c r="H74" s="14">
        <v>1.976911596E11</v>
      </c>
      <c r="I74" s="15">
        <f t="shared" si="3"/>
        <v>8785.714286</v>
      </c>
      <c r="J74" s="16">
        <v>15.4</v>
      </c>
      <c r="K74" s="17">
        <v>1461132.0</v>
      </c>
      <c r="L74" s="18">
        <f t="shared" si="4"/>
        <v>564145.9875</v>
      </c>
      <c r="M74" s="19">
        <v>0.704</v>
      </c>
      <c r="N74" s="20">
        <v>4.13</v>
      </c>
      <c r="O74" s="21">
        <v>66.0</v>
      </c>
      <c r="P74" s="22" t="s">
        <v>458</v>
      </c>
      <c r="Q74" s="6" t="s">
        <v>459</v>
      </c>
      <c r="R74" s="6" t="s">
        <v>460</v>
      </c>
      <c r="S74" s="23">
        <f t="shared" si="5"/>
        <v>1464378960</v>
      </c>
      <c r="T74" s="23">
        <f t="shared" si="6"/>
        <v>2196568440</v>
      </c>
      <c r="U74" s="23">
        <f t="shared" si="7"/>
        <v>3953823192</v>
      </c>
      <c r="V74" s="23">
        <f t="shared" si="8"/>
        <v>5930734788</v>
      </c>
      <c r="W74" s="47">
        <v>0.02</v>
      </c>
    </row>
    <row r="75" ht="22.5" customHeight="1">
      <c r="A75" s="11" t="s">
        <v>461</v>
      </c>
      <c r="B75" s="25">
        <f t="shared" si="1"/>
        <v>11019226.88</v>
      </c>
      <c r="C75" s="27" t="s">
        <v>462</v>
      </c>
      <c r="D75" s="27" t="s">
        <v>463</v>
      </c>
      <c r="E75" s="6" t="s">
        <v>121</v>
      </c>
      <c r="F75" s="14">
        <f t="shared" si="2"/>
        <v>69526074381</v>
      </c>
      <c r="G75" s="15">
        <v>6309.523809523809</v>
      </c>
      <c r="H75" s="14">
        <v>1.4739527768736667E11</v>
      </c>
      <c r="I75" s="15">
        <f t="shared" si="3"/>
        <v>13376.19048</v>
      </c>
      <c r="J75" s="16">
        <v>31.9585</v>
      </c>
      <c r="K75" s="17">
        <v>344798.0</v>
      </c>
      <c r="L75" s="18">
        <f t="shared" si="4"/>
        <v>133127.1974</v>
      </c>
      <c r="M75" s="19">
        <v>0.805</v>
      </c>
      <c r="N75" s="20">
        <v>6.97</v>
      </c>
      <c r="O75" s="21">
        <v>610.0</v>
      </c>
      <c r="P75" s="22" t="s">
        <v>464</v>
      </c>
      <c r="Q75" s="6" t="s">
        <v>465</v>
      </c>
      <c r="R75" s="6" t="s">
        <v>466</v>
      </c>
      <c r="S75" s="29">
        <f t="shared" si="5"/>
        <v>1390521488</v>
      </c>
      <c r="T75" s="29">
        <f t="shared" si="6"/>
        <v>2085782231</v>
      </c>
      <c r="U75" s="29">
        <f t="shared" si="7"/>
        <v>2947905554</v>
      </c>
      <c r="V75" s="29">
        <f t="shared" si="8"/>
        <v>4421858331</v>
      </c>
      <c r="W75" s="44">
        <v>0.02</v>
      </c>
    </row>
    <row r="76" ht="22.5" customHeight="1">
      <c r="A76" s="31" t="s">
        <v>467</v>
      </c>
      <c r="B76" s="12">
        <f t="shared" si="1"/>
        <v>13705583.66</v>
      </c>
      <c r="C76" s="13" t="s">
        <v>468</v>
      </c>
      <c r="D76" s="13" t="s">
        <v>469</v>
      </c>
      <c r="E76" s="6" t="s">
        <v>26</v>
      </c>
      <c r="F76" s="14">
        <f t="shared" si="2"/>
        <v>69071790646</v>
      </c>
      <c r="G76" s="15">
        <v>5039.68253968254</v>
      </c>
      <c r="H76" s="28">
        <v>1.04030093141235E11</v>
      </c>
      <c r="I76" s="15">
        <f t="shared" si="3"/>
        <v>7590.343889</v>
      </c>
      <c r="J76" s="16">
        <v>171.2299</v>
      </c>
      <c r="K76" s="17">
        <v>80042.0</v>
      </c>
      <c r="L76" s="18">
        <f t="shared" si="4"/>
        <v>30904.37628</v>
      </c>
      <c r="M76" s="19">
        <v>0.668</v>
      </c>
      <c r="N76" s="20">
        <v>5.24</v>
      </c>
      <c r="O76" s="21">
        <v>210.0</v>
      </c>
      <c r="P76" s="6" t="s">
        <v>470</v>
      </c>
      <c r="Q76" s="6" t="s">
        <v>471</v>
      </c>
      <c r="R76" s="6" t="s">
        <v>472</v>
      </c>
      <c r="S76" s="23">
        <f t="shared" si="5"/>
        <v>1381435813</v>
      </c>
      <c r="T76" s="23">
        <f t="shared" si="6"/>
        <v>2072153719</v>
      </c>
      <c r="U76" s="23">
        <f t="shared" si="7"/>
        <v>2080601863</v>
      </c>
      <c r="V76" s="23">
        <f t="shared" si="8"/>
        <v>3120902794</v>
      </c>
      <c r="W76" s="47">
        <v>0.02</v>
      </c>
    </row>
    <row r="77" ht="22.5" customHeight="1">
      <c r="A77" s="11" t="s">
        <v>473</v>
      </c>
      <c r="B77" s="25">
        <f t="shared" si="1"/>
        <v>8871251.235</v>
      </c>
      <c r="C77" s="27" t="s">
        <v>474</v>
      </c>
      <c r="D77" s="27" t="s">
        <v>475</v>
      </c>
      <c r="E77" s="6" t="s">
        <v>47</v>
      </c>
      <c r="F77" s="14">
        <f t="shared" si="2"/>
        <v>67590485600</v>
      </c>
      <c r="G77" s="15">
        <v>7619.047619047619</v>
      </c>
      <c r="H77" s="28">
        <v>1.06948499432E11</v>
      </c>
      <c r="I77" s="15">
        <f t="shared" si="3"/>
        <v>12055.6274</v>
      </c>
      <c r="J77" s="16">
        <v>33.495</v>
      </c>
      <c r="K77" s="17">
        <v>264853.0</v>
      </c>
      <c r="L77" s="18">
        <f t="shared" si="4"/>
        <v>102260.273</v>
      </c>
      <c r="M77" s="19">
        <v>0.728</v>
      </c>
      <c r="N77" s="20">
        <v>6.92</v>
      </c>
      <c r="O77" s="21">
        <v>945.0</v>
      </c>
      <c r="P77" s="22" t="s">
        <v>476</v>
      </c>
      <c r="Q77" s="6" t="s">
        <v>477</v>
      </c>
      <c r="R77" s="6" t="s">
        <v>478</v>
      </c>
      <c r="S77" s="29">
        <f t="shared" si="5"/>
        <v>1351809712</v>
      </c>
      <c r="T77" s="29">
        <f t="shared" si="6"/>
        <v>2027714568</v>
      </c>
      <c r="U77" s="29">
        <f t="shared" si="7"/>
        <v>2138969989</v>
      </c>
      <c r="V77" s="29">
        <f t="shared" si="8"/>
        <v>3208454983</v>
      </c>
      <c r="W77" s="44">
        <v>0.02</v>
      </c>
    </row>
    <row r="78" ht="22.5" customHeight="1">
      <c r="A78" s="31" t="s">
        <v>479</v>
      </c>
      <c r="B78" s="32">
        <f t="shared" si="1"/>
        <v>22833760.39</v>
      </c>
      <c r="C78" s="33" t="s">
        <v>480</v>
      </c>
      <c r="D78" s="33" t="s">
        <v>481</v>
      </c>
      <c r="E78" s="6" t="s">
        <v>54</v>
      </c>
      <c r="F78" s="14">
        <f t="shared" si="2"/>
        <v>67051518611</v>
      </c>
      <c r="G78" s="15">
        <v>2936.5079365079364</v>
      </c>
      <c r="H78" s="14">
        <v>2.4473804293171423E11</v>
      </c>
      <c r="I78" s="15">
        <f t="shared" si="3"/>
        <v>10718.25397</v>
      </c>
      <c r="J78" s="16">
        <v>61.596</v>
      </c>
      <c r="K78" s="17">
        <v>370702.0</v>
      </c>
      <c r="L78" s="18">
        <f t="shared" si="4"/>
        <v>143128.7836</v>
      </c>
      <c r="M78" s="19">
        <v>0.715</v>
      </c>
      <c r="N78" s="20">
        <v>5.38</v>
      </c>
      <c r="O78" s="21">
        <v>120.0</v>
      </c>
      <c r="P78" s="22" t="s">
        <v>482</v>
      </c>
      <c r="Q78" s="6" t="s">
        <v>483</v>
      </c>
      <c r="R78" s="6" t="s">
        <v>484</v>
      </c>
      <c r="S78" s="34">
        <f t="shared" si="5"/>
        <v>1341030372</v>
      </c>
      <c r="T78" s="34">
        <f t="shared" si="6"/>
        <v>2011545558</v>
      </c>
      <c r="U78" s="34">
        <f t="shared" si="7"/>
        <v>4894760859</v>
      </c>
      <c r="V78" s="34">
        <f t="shared" si="8"/>
        <v>7342141288</v>
      </c>
      <c r="W78" s="50">
        <v>0.02</v>
      </c>
    </row>
    <row r="79" ht="22.5" customHeight="1">
      <c r="A79" s="11" t="s">
        <v>485</v>
      </c>
      <c r="B79" s="25">
        <f t="shared" si="1"/>
        <v>4620319.75</v>
      </c>
      <c r="C79" s="26" t="s">
        <v>486</v>
      </c>
      <c r="D79" s="27" t="s">
        <v>487</v>
      </c>
      <c r="E79" s="6" t="s">
        <v>26</v>
      </c>
      <c r="F79" s="14">
        <f t="shared" si="2"/>
        <v>59404111071</v>
      </c>
      <c r="G79" s="15">
        <v>12857.142857142857</v>
      </c>
      <c r="H79" s="14">
        <v>7.603726217142857E10</v>
      </c>
      <c r="I79" s="15">
        <f t="shared" si="3"/>
        <v>16457.14286</v>
      </c>
      <c r="J79" s="16">
        <v>35.0356</v>
      </c>
      <c r="K79" s="17">
        <v>131875.0</v>
      </c>
      <c r="L79" s="18">
        <f t="shared" si="4"/>
        <v>50917.20125</v>
      </c>
      <c r="M79" s="19">
        <v>0.939</v>
      </c>
      <c r="N79" s="20">
        <v>7.68</v>
      </c>
      <c r="O79" s="21">
        <v>246.0</v>
      </c>
      <c r="P79" s="6" t="s">
        <v>488</v>
      </c>
      <c r="Q79" s="6" t="s">
        <v>489</v>
      </c>
      <c r="R79" s="6" t="s">
        <v>490</v>
      </c>
      <c r="S79" s="29">
        <f t="shared" si="5"/>
        <v>1188082221</v>
      </c>
      <c r="T79" s="29">
        <f t="shared" si="6"/>
        <v>1782123332</v>
      </c>
      <c r="U79" s="29">
        <f t="shared" si="7"/>
        <v>1520745243</v>
      </c>
      <c r="V79" s="29">
        <f t="shared" si="8"/>
        <v>2281117865</v>
      </c>
      <c r="W79" s="44">
        <v>0.02</v>
      </c>
    </row>
    <row r="80" ht="22.5" customHeight="1">
      <c r="A80" s="31" t="s">
        <v>491</v>
      </c>
      <c r="B80" s="32">
        <f t="shared" si="1"/>
        <v>9164020.859</v>
      </c>
      <c r="C80" s="42" t="s">
        <v>492</v>
      </c>
      <c r="D80" s="33" t="s">
        <v>493</v>
      </c>
      <c r="E80" s="6" t="s">
        <v>33</v>
      </c>
      <c r="F80" s="14">
        <f t="shared" si="2"/>
        <v>58911562665</v>
      </c>
      <c r="G80" s="15">
        <v>6428.571428571428</v>
      </c>
      <c r="H80" s="14">
        <v>1.5729387231555002E11</v>
      </c>
      <c r="I80" s="15">
        <f t="shared" si="3"/>
        <v>17164.28571</v>
      </c>
      <c r="J80" s="16">
        <v>9.2369</v>
      </c>
      <c r="K80" s="17">
        <v>992110.0</v>
      </c>
      <c r="L80" s="18">
        <f t="shared" si="4"/>
        <v>383055.6552</v>
      </c>
      <c r="M80" s="19">
        <v>0.693</v>
      </c>
      <c r="N80" s="20">
        <v>5.62</v>
      </c>
      <c r="O80" s="21">
        <v>555.0</v>
      </c>
      <c r="P80" s="22" t="s">
        <v>494</v>
      </c>
      <c r="Q80" s="6" t="s">
        <v>495</v>
      </c>
      <c r="R80" s="6" t="s">
        <v>496</v>
      </c>
      <c r="S80" s="34">
        <f t="shared" si="5"/>
        <v>1178231253</v>
      </c>
      <c r="T80" s="34">
        <f t="shared" si="6"/>
        <v>1767346880</v>
      </c>
      <c r="U80" s="34">
        <f t="shared" si="7"/>
        <v>3145877446</v>
      </c>
      <c r="V80" s="34">
        <f t="shared" si="8"/>
        <v>4718816169</v>
      </c>
      <c r="W80" s="50">
        <v>0.02</v>
      </c>
    </row>
    <row r="81" ht="22.5" customHeight="1">
      <c r="A81" s="31" t="s">
        <v>497</v>
      </c>
      <c r="B81" s="25">
        <f t="shared" si="1"/>
        <v>30642963.19</v>
      </c>
      <c r="C81" s="27" t="s">
        <v>498</v>
      </c>
      <c r="D81" s="27" t="s">
        <v>499</v>
      </c>
      <c r="E81" s="6" t="s">
        <v>47</v>
      </c>
      <c r="F81" s="14">
        <f t="shared" si="2"/>
        <v>55813968660</v>
      </c>
      <c r="G81" s="15">
        <v>1821.4285714285713</v>
      </c>
      <c r="H81" s="14">
        <v>1.9479075062414786E11</v>
      </c>
      <c r="I81" s="15">
        <f t="shared" si="3"/>
        <v>6356.785714</v>
      </c>
      <c r="J81" s="16">
        <v>40.038</v>
      </c>
      <c r="K81" s="17">
        <v>765347.0</v>
      </c>
      <c r="L81" s="18">
        <f t="shared" si="4"/>
        <v>295502.0074</v>
      </c>
      <c r="M81" s="19">
        <v>0.553</v>
      </c>
      <c r="N81" s="20">
        <v>4.51</v>
      </c>
      <c r="O81" s="21">
        <v>942.0</v>
      </c>
      <c r="P81" s="6" t="s">
        <v>500</v>
      </c>
      <c r="Q81" s="6" t="s">
        <v>501</v>
      </c>
      <c r="R81" s="6" t="s">
        <v>502</v>
      </c>
      <c r="S81" s="29">
        <f t="shared" si="5"/>
        <v>1116279373</v>
      </c>
      <c r="T81" s="29">
        <f t="shared" si="6"/>
        <v>1674419060</v>
      </c>
      <c r="U81" s="29">
        <f t="shared" si="7"/>
        <v>3895815012</v>
      </c>
      <c r="V81" s="29">
        <f t="shared" si="8"/>
        <v>5843722519</v>
      </c>
      <c r="W81" s="44">
        <v>0.02</v>
      </c>
    </row>
    <row r="82" ht="22.5" customHeight="1">
      <c r="A82" s="11" t="s">
        <v>503</v>
      </c>
      <c r="B82" s="32">
        <f t="shared" si="1"/>
        <v>15105090</v>
      </c>
      <c r="C82" s="33" t="s">
        <v>504</v>
      </c>
      <c r="D82" s="33" t="s">
        <v>505</v>
      </c>
      <c r="E82" s="6" t="s">
        <v>121</v>
      </c>
      <c r="F82" s="14">
        <f t="shared" si="2"/>
        <v>55025685000</v>
      </c>
      <c r="G82" s="15">
        <v>3642.8571428571427</v>
      </c>
      <c r="H82" s="14">
        <v>1.529714043E11</v>
      </c>
      <c r="I82" s="15">
        <f t="shared" si="3"/>
        <v>10127.14286</v>
      </c>
      <c r="J82" s="16">
        <v>46.2</v>
      </c>
      <c r="K82" s="17">
        <v>326950.0</v>
      </c>
      <c r="L82" s="18">
        <f t="shared" si="4"/>
        <v>126236.0489</v>
      </c>
      <c r="M82" s="19">
        <v>0.785</v>
      </c>
      <c r="N82" s="20">
        <v>6.18</v>
      </c>
      <c r="O82" s="21">
        <v>64.0</v>
      </c>
      <c r="P82" s="22" t="s">
        <v>506</v>
      </c>
      <c r="Q82" s="6" t="s">
        <v>507</v>
      </c>
      <c r="R82" s="6" t="s">
        <v>508</v>
      </c>
      <c r="S82" s="34">
        <f t="shared" si="5"/>
        <v>1100513700</v>
      </c>
      <c r="T82" s="34">
        <f t="shared" si="6"/>
        <v>1650770550</v>
      </c>
      <c r="U82" s="34">
        <f t="shared" si="7"/>
        <v>3059428086</v>
      </c>
      <c r="V82" s="34">
        <f t="shared" si="8"/>
        <v>4589142129</v>
      </c>
      <c r="W82" s="50">
        <v>0.02</v>
      </c>
    </row>
    <row r="83" ht="22.5" customHeight="1">
      <c r="A83" s="11" t="s">
        <v>509</v>
      </c>
      <c r="B83" s="36">
        <f t="shared" si="1"/>
        <v>16302959.75</v>
      </c>
      <c r="C83" s="37" t="s">
        <v>510</v>
      </c>
      <c r="D83" s="37" t="s">
        <v>511</v>
      </c>
      <c r="E83" s="6" t="s">
        <v>121</v>
      </c>
      <c r="F83" s="14">
        <f t="shared" si="2"/>
        <v>54990142014</v>
      </c>
      <c r="G83" s="15">
        <v>3373.015873015873</v>
      </c>
      <c r="H83" s="14">
        <v>1.468236791770833E11</v>
      </c>
      <c r="I83" s="15">
        <f t="shared" si="3"/>
        <v>9005.952381</v>
      </c>
      <c r="J83" s="16">
        <v>9.625</v>
      </c>
      <c r="K83" s="17">
        <v>1693814.0</v>
      </c>
      <c r="L83" s="18">
        <f t="shared" si="4"/>
        <v>653984.973</v>
      </c>
      <c r="M83" s="19">
        <v>0.71</v>
      </c>
      <c r="N83" s="20">
        <v>4.52</v>
      </c>
      <c r="O83" s="21">
        <v>67.0</v>
      </c>
      <c r="P83" s="22" t="s">
        <v>512</v>
      </c>
      <c r="Q83" s="6" t="s">
        <v>513</v>
      </c>
      <c r="R83" s="6" t="s">
        <v>514</v>
      </c>
      <c r="S83" s="39">
        <f t="shared" si="5"/>
        <v>1099802840</v>
      </c>
      <c r="T83" s="39">
        <f t="shared" si="6"/>
        <v>1649704260</v>
      </c>
      <c r="U83" s="39">
        <f t="shared" si="7"/>
        <v>2936473584</v>
      </c>
      <c r="V83" s="39">
        <f t="shared" si="8"/>
        <v>4404710375</v>
      </c>
      <c r="W83" s="49">
        <v>0.02</v>
      </c>
    </row>
    <row r="84" ht="22.5" customHeight="1">
      <c r="A84" s="31" t="s">
        <v>515</v>
      </c>
      <c r="B84" s="12">
        <f t="shared" si="1"/>
        <v>35956798.09</v>
      </c>
      <c r="C84" s="13" t="s">
        <v>516</v>
      </c>
      <c r="D84" s="13" t="s">
        <v>517</v>
      </c>
      <c r="E84" s="6" t="s">
        <v>40</v>
      </c>
      <c r="F84" s="14">
        <f t="shared" si="2"/>
        <v>53649825721</v>
      </c>
      <c r="G84" s="15">
        <v>1492.063492063492</v>
      </c>
      <c r="H84" s="28">
        <v>2.93781532932654E11</v>
      </c>
      <c r="I84" s="15">
        <f t="shared" si="3"/>
        <v>8170.403054</v>
      </c>
      <c r="J84" s="16">
        <v>143.6221</v>
      </c>
      <c r="K84" s="17">
        <v>250357.0</v>
      </c>
      <c r="L84" s="18">
        <f t="shared" si="4"/>
        <v>96663.33841</v>
      </c>
      <c r="M84" s="19">
        <v>0.717</v>
      </c>
      <c r="N84" s="20">
        <v>5.88</v>
      </c>
      <c r="O84" s="21">
        <v>926.0</v>
      </c>
      <c r="P84" s="22" t="s">
        <v>518</v>
      </c>
      <c r="Q84" s="6" t="s">
        <v>519</v>
      </c>
      <c r="R84" s="6" t="s">
        <v>515</v>
      </c>
      <c r="S84" s="23">
        <f t="shared" si="5"/>
        <v>1072996514</v>
      </c>
      <c r="T84" s="23">
        <f t="shared" si="6"/>
        <v>1609494772</v>
      </c>
      <c r="U84" s="23">
        <f t="shared" si="7"/>
        <v>5875630659</v>
      </c>
      <c r="V84" s="23">
        <f t="shared" si="8"/>
        <v>8813445988</v>
      </c>
      <c r="W84" s="47">
        <v>0.02</v>
      </c>
    </row>
    <row r="85" ht="22.5" customHeight="1">
      <c r="A85" s="11" t="s">
        <v>520</v>
      </c>
      <c r="B85" s="36">
        <f t="shared" si="1"/>
        <v>30764253.14</v>
      </c>
      <c r="C85" s="48" t="s">
        <v>521</v>
      </c>
      <c r="D85" s="37" t="s">
        <v>522</v>
      </c>
      <c r="E85" s="6" t="s">
        <v>33</v>
      </c>
      <c r="F85" s="14">
        <f t="shared" si="2"/>
        <v>51029594486</v>
      </c>
      <c r="G85" s="15">
        <v>1658.7301587301588</v>
      </c>
      <c r="H85" s="14">
        <v>1.63804998299525E11</v>
      </c>
      <c r="I85" s="15">
        <f t="shared" si="3"/>
        <v>5324.52381</v>
      </c>
      <c r="J85" s="16">
        <v>49.6538</v>
      </c>
      <c r="K85" s="17">
        <v>619575.0</v>
      </c>
      <c r="L85" s="18">
        <f t="shared" si="4"/>
        <v>239219.1467</v>
      </c>
      <c r="M85" s="19">
        <v>0.61</v>
      </c>
      <c r="N85" s="20">
        <v>2.66</v>
      </c>
      <c r="O85" s="21">
        <v>166.0</v>
      </c>
      <c r="P85" s="22" t="s">
        <v>523</v>
      </c>
      <c r="Q85" s="6" t="s">
        <v>524</v>
      </c>
      <c r="R85" s="6" t="s">
        <v>525</v>
      </c>
      <c r="S85" s="39">
        <f t="shared" si="5"/>
        <v>1020591890</v>
      </c>
      <c r="T85" s="39">
        <f t="shared" si="6"/>
        <v>1530887835</v>
      </c>
      <c r="U85" s="39">
        <f t="shared" si="7"/>
        <v>3276099966</v>
      </c>
      <c r="V85" s="39">
        <f t="shared" si="8"/>
        <v>4914149949</v>
      </c>
      <c r="W85" s="49">
        <v>0.02</v>
      </c>
    </row>
    <row r="86" ht="22.5" customHeight="1">
      <c r="A86" s="31" t="s">
        <v>526</v>
      </c>
      <c r="B86" s="12">
        <f t="shared" si="1"/>
        <v>1640803.67</v>
      </c>
      <c r="C86" s="13" t="s">
        <v>527</v>
      </c>
      <c r="D86" s="13" t="s">
        <v>528</v>
      </c>
      <c r="E86" s="6" t="s">
        <v>33</v>
      </c>
      <c r="F86" s="14">
        <f t="shared" si="2"/>
        <v>50851891522</v>
      </c>
      <c r="G86" s="15">
        <v>30992.06349206349</v>
      </c>
      <c r="H86" s="14">
        <v>4.881781586088E10</v>
      </c>
      <c r="I86" s="15">
        <f t="shared" si="3"/>
        <v>29752.38095</v>
      </c>
      <c r="J86" s="16">
        <v>2694.2589</v>
      </c>
      <c r="K86" s="17">
        <v>609.0</v>
      </c>
      <c r="L86" s="18">
        <f t="shared" si="4"/>
        <v>235.136118</v>
      </c>
      <c r="M86" s="19">
        <v>0.913</v>
      </c>
      <c r="N86" s="20">
        <v>9.02</v>
      </c>
      <c r="O86" s="21">
        <v>510.0</v>
      </c>
      <c r="P86" s="22" t="s">
        <v>529</v>
      </c>
      <c r="Q86" s="6" t="s">
        <v>526</v>
      </c>
      <c r="R86" s="6" t="s">
        <v>530</v>
      </c>
      <c r="S86" s="23">
        <f t="shared" si="5"/>
        <v>1017037830</v>
      </c>
      <c r="T86" s="23">
        <f t="shared" si="6"/>
        <v>1525556746</v>
      </c>
      <c r="U86" s="23">
        <f t="shared" si="7"/>
        <v>976356317.2</v>
      </c>
      <c r="V86" s="23">
        <f t="shared" si="8"/>
        <v>1464534476</v>
      </c>
      <c r="W86" s="47">
        <v>0.02</v>
      </c>
    </row>
    <row r="87" ht="22.5" customHeight="1">
      <c r="A87" s="11" t="s">
        <v>531</v>
      </c>
      <c r="B87" s="36">
        <f t="shared" si="1"/>
        <v>4523612.812</v>
      </c>
      <c r="C87" s="48" t="s">
        <v>532</v>
      </c>
      <c r="D87" s="37" t="s">
        <v>533</v>
      </c>
      <c r="E87" s="6" t="s">
        <v>26</v>
      </c>
      <c r="F87" s="14">
        <f t="shared" si="2"/>
        <v>50800889917</v>
      </c>
      <c r="G87" s="15">
        <v>11230.15873015873</v>
      </c>
      <c r="H87" s="14">
        <v>8.839354845563524E10</v>
      </c>
      <c r="I87" s="15">
        <f t="shared" si="3"/>
        <v>19540.47619</v>
      </c>
      <c r="J87" s="16">
        <v>47.7406</v>
      </c>
      <c r="K87" s="17">
        <v>94754.0</v>
      </c>
      <c r="L87" s="18">
        <f t="shared" si="4"/>
        <v>36584.70891</v>
      </c>
      <c r="M87" s="19">
        <v>0.856</v>
      </c>
      <c r="N87" s="20">
        <v>8.12</v>
      </c>
      <c r="O87" s="21">
        <v>247.0</v>
      </c>
      <c r="P87" s="22" t="s">
        <v>534</v>
      </c>
      <c r="Q87" s="6" t="s">
        <v>535</v>
      </c>
      <c r="R87" s="6" t="s">
        <v>536</v>
      </c>
      <c r="S87" s="39">
        <f t="shared" si="5"/>
        <v>1016017798</v>
      </c>
      <c r="T87" s="39">
        <f t="shared" si="6"/>
        <v>1524026698</v>
      </c>
      <c r="U87" s="39">
        <f t="shared" si="7"/>
        <v>1767870969</v>
      </c>
      <c r="V87" s="39">
        <f t="shared" si="8"/>
        <v>2651806454</v>
      </c>
      <c r="W87" s="49">
        <v>0.02</v>
      </c>
    </row>
    <row r="88" ht="22.5" customHeight="1">
      <c r="A88" s="11" t="s">
        <v>537</v>
      </c>
      <c r="B88" s="12">
        <f t="shared" si="1"/>
        <v>27120467.56</v>
      </c>
      <c r="C88" s="13" t="s">
        <v>538</v>
      </c>
      <c r="D88" s="13" t="s">
        <v>539</v>
      </c>
      <c r="E88" s="6" t="s">
        <v>26</v>
      </c>
      <c r="F88" s="14">
        <f t="shared" si="2"/>
        <v>50581824409</v>
      </c>
      <c r="G88" s="15">
        <v>1865.079365079365</v>
      </c>
      <c r="H88" s="14">
        <v>1.502280184932686E11</v>
      </c>
      <c r="I88" s="15">
        <f t="shared" si="3"/>
        <v>5539.285714</v>
      </c>
      <c r="J88" s="16">
        <v>214.0729</v>
      </c>
      <c r="K88" s="38">
        <v>126688.0</v>
      </c>
      <c r="L88" s="18">
        <f t="shared" si="4"/>
        <v>48914.49018</v>
      </c>
      <c r="M88" s="19">
        <v>0.736</v>
      </c>
      <c r="N88" s="20">
        <v>2.57</v>
      </c>
      <c r="O88" s="21">
        <v>711.0</v>
      </c>
      <c r="P88" s="22" t="s">
        <v>540</v>
      </c>
      <c r="Q88" s="6" t="s">
        <v>541</v>
      </c>
      <c r="R88" s="6" t="s">
        <v>542</v>
      </c>
      <c r="S88" s="23">
        <f t="shared" si="5"/>
        <v>1011636488</v>
      </c>
      <c r="T88" s="23">
        <f t="shared" si="6"/>
        <v>1517454732</v>
      </c>
      <c r="U88" s="23">
        <f t="shared" si="7"/>
        <v>3004560370</v>
      </c>
      <c r="V88" s="23">
        <f t="shared" si="8"/>
        <v>4506840555</v>
      </c>
      <c r="W88" s="47">
        <v>0.02</v>
      </c>
    </row>
    <row r="89" ht="22.5" customHeight="1">
      <c r="A89" s="11" t="s">
        <v>543</v>
      </c>
      <c r="B89" s="36">
        <f t="shared" si="1"/>
        <v>6835852.1</v>
      </c>
      <c r="C89" s="37" t="s">
        <v>544</v>
      </c>
      <c r="D89" s="37" t="s">
        <v>545</v>
      </c>
      <c r="E89" s="6" t="s">
        <v>121</v>
      </c>
      <c r="F89" s="14">
        <f t="shared" si="2"/>
        <v>49370042944</v>
      </c>
      <c r="G89" s="15">
        <v>7222.222222222222</v>
      </c>
      <c r="H89" s="14">
        <v>1.0219598889499997E11</v>
      </c>
      <c r="I89" s="15">
        <f t="shared" si="3"/>
        <v>14950</v>
      </c>
      <c r="J89" s="16">
        <v>22.715</v>
      </c>
      <c r="K89" s="38">
        <v>300940.0</v>
      </c>
      <c r="L89" s="18">
        <f t="shared" si="4"/>
        <v>116193.5359</v>
      </c>
      <c r="M89" s="19">
        <v>0.81</v>
      </c>
      <c r="N89" s="20">
        <v>6.39</v>
      </c>
      <c r="O89" s="21">
        <v>69.0</v>
      </c>
      <c r="P89" s="22" t="s">
        <v>546</v>
      </c>
      <c r="Q89" s="6" t="s">
        <v>547</v>
      </c>
      <c r="R89" s="6" t="s">
        <v>548</v>
      </c>
      <c r="S89" s="39">
        <f t="shared" si="5"/>
        <v>987400858.9</v>
      </c>
      <c r="T89" s="39">
        <f t="shared" si="6"/>
        <v>1481101288</v>
      </c>
      <c r="U89" s="39">
        <f t="shared" si="7"/>
        <v>2043919778</v>
      </c>
      <c r="V89" s="39">
        <f t="shared" si="8"/>
        <v>3065879667</v>
      </c>
      <c r="W89" s="49">
        <v>0.02</v>
      </c>
    </row>
    <row r="90" ht="22.5" customHeight="1">
      <c r="A90" s="31" t="s">
        <v>549</v>
      </c>
      <c r="B90" s="32">
        <f t="shared" si="1"/>
        <v>2048850.65</v>
      </c>
      <c r="C90" s="33" t="s">
        <v>550</v>
      </c>
      <c r="D90" s="33" t="s">
        <v>551</v>
      </c>
      <c r="E90" s="6" t="s">
        <v>84</v>
      </c>
      <c r="F90" s="14">
        <f t="shared" si="2"/>
        <v>48050425958</v>
      </c>
      <c r="G90" s="15">
        <v>23452.38095238095</v>
      </c>
      <c r="H90" s="14">
        <v>6.198504948625001E10</v>
      </c>
      <c r="I90" s="15">
        <f t="shared" si="3"/>
        <v>30253.57143</v>
      </c>
      <c r="J90" s="16">
        <v>0.77</v>
      </c>
      <c r="K90" s="17">
        <v>2660845.0</v>
      </c>
      <c r="L90" s="18">
        <f t="shared" si="4"/>
        <v>1027357.576</v>
      </c>
      <c r="M90" s="19">
        <v>0.885</v>
      </c>
      <c r="N90" s="20">
        <v>2.34</v>
      </c>
      <c r="O90" s="21">
        <v>772.0</v>
      </c>
      <c r="P90" s="22" t="s">
        <v>552</v>
      </c>
      <c r="Q90" s="6" t="s">
        <v>553</v>
      </c>
      <c r="R90" s="6" t="s">
        <v>554</v>
      </c>
      <c r="S90" s="34">
        <f t="shared" si="5"/>
        <v>961008519.2</v>
      </c>
      <c r="T90" s="34">
        <f t="shared" si="6"/>
        <v>1441512779</v>
      </c>
      <c r="U90" s="34">
        <f t="shared" si="7"/>
        <v>1239700990</v>
      </c>
      <c r="V90" s="34">
        <f t="shared" si="8"/>
        <v>1859551485</v>
      </c>
      <c r="W90" s="50">
        <v>0.02</v>
      </c>
    </row>
    <row r="91" ht="22.5" customHeight="1">
      <c r="A91" s="31" t="s">
        <v>555</v>
      </c>
      <c r="B91" s="25">
        <f t="shared" si="1"/>
        <v>3626297.371</v>
      </c>
      <c r="C91" s="27" t="s">
        <v>556</v>
      </c>
      <c r="D91" s="27" t="s">
        <v>557</v>
      </c>
      <c r="E91" s="6" t="s">
        <v>47</v>
      </c>
      <c r="F91" s="14">
        <f t="shared" si="2"/>
        <v>46911624720</v>
      </c>
      <c r="G91" s="15">
        <v>12936.507936507936</v>
      </c>
      <c r="H91" s="28">
        <v>6.85144119121667E10</v>
      </c>
      <c r="I91" s="15">
        <f t="shared" si="3"/>
        <v>18893.76543</v>
      </c>
      <c r="J91" s="16">
        <v>169.003</v>
      </c>
      <c r="K91" s="17">
        <v>21457.0</v>
      </c>
      <c r="L91" s="18">
        <f t="shared" si="4"/>
        <v>8284.590614</v>
      </c>
      <c r="M91" s="19">
        <v>0.776</v>
      </c>
      <c r="N91" s="20">
        <v>7.18</v>
      </c>
      <c r="O91" s="21">
        <v>944.0</v>
      </c>
      <c r="P91" s="22" t="s">
        <v>558</v>
      </c>
      <c r="Q91" s="6" t="s">
        <v>559</v>
      </c>
      <c r="R91" s="6" t="s">
        <v>560</v>
      </c>
      <c r="S91" s="29">
        <f t="shared" si="5"/>
        <v>938232494.4</v>
      </c>
      <c r="T91" s="29">
        <f t="shared" si="6"/>
        <v>1407348742</v>
      </c>
      <c r="U91" s="29">
        <f t="shared" si="7"/>
        <v>1370288238</v>
      </c>
      <c r="V91" s="29">
        <f t="shared" si="8"/>
        <v>2055432357</v>
      </c>
      <c r="W91" s="44">
        <v>0.02</v>
      </c>
    </row>
    <row r="92" ht="22.5" customHeight="1">
      <c r="A92" s="41" t="s">
        <v>561</v>
      </c>
      <c r="B92" s="12">
        <f t="shared" si="1"/>
        <v>3123402.468</v>
      </c>
      <c r="C92" s="13" t="s">
        <v>562</v>
      </c>
      <c r="D92" s="13" t="s">
        <v>563</v>
      </c>
      <c r="E92" s="6" t="s">
        <v>54</v>
      </c>
      <c r="F92" s="14">
        <f t="shared" si="2"/>
        <v>46355258850</v>
      </c>
      <c r="G92" s="15">
        <v>14841.269841269841</v>
      </c>
      <c r="H92" s="28">
        <v>6.41684141607619E10</v>
      </c>
      <c r="I92" s="15">
        <f t="shared" si="3"/>
        <v>20544.39504</v>
      </c>
      <c r="J92" s="16">
        <v>71.996</v>
      </c>
      <c r="K92" s="17">
        <v>43383.0</v>
      </c>
      <c r="L92" s="18">
        <f t="shared" si="4"/>
        <v>16750.26307</v>
      </c>
      <c r="M92" s="19">
        <v>0.865</v>
      </c>
      <c r="N92" s="20">
        <v>7.95</v>
      </c>
      <c r="O92" s="21">
        <v>101.0</v>
      </c>
      <c r="P92" s="22" t="s">
        <v>564</v>
      </c>
      <c r="Q92" s="6" t="s">
        <v>565</v>
      </c>
      <c r="R92" s="6" t="s">
        <v>566</v>
      </c>
      <c r="S92" s="23">
        <f t="shared" si="5"/>
        <v>927105177</v>
      </c>
      <c r="T92" s="23">
        <f t="shared" si="6"/>
        <v>1390657766</v>
      </c>
      <c r="U92" s="23">
        <f t="shared" si="7"/>
        <v>1283368283</v>
      </c>
      <c r="V92" s="23">
        <f t="shared" si="8"/>
        <v>1925052425</v>
      </c>
      <c r="W92" s="47">
        <v>0.02</v>
      </c>
    </row>
    <row r="93" ht="22.5" customHeight="1">
      <c r="A93" s="11" t="s">
        <v>567</v>
      </c>
      <c r="B93" s="25">
        <f t="shared" si="1"/>
        <v>12224862.27</v>
      </c>
      <c r="C93" s="26" t="s">
        <v>568</v>
      </c>
      <c r="D93" s="27" t="s">
        <v>569</v>
      </c>
      <c r="E93" s="6" t="s">
        <v>84</v>
      </c>
      <c r="F93" s="14">
        <f t="shared" si="2"/>
        <v>44921517688</v>
      </c>
      <c r="G93" s="15">
        <v>3674.6031746031745</v>
      </c>
      <c r="H93" s="14">
        <v>1.271278950571972E11</v>
      </c>
      <c r="I93" s="15">
        <f t="shared" si="3"/>
        <v>10399.12698</v>
      </c>
      <c r="J93" s="16">
        <v>45.815</v>
      </c>
      <c r="K93" s="17">
        <v>266831.0</v>
      </c>
      <c r="L93" s="18">
        <f t="shared" si="4"/>
        <v>103023.9828</v>
      </c>
      <c r="M93" s="19">
        <v>0.735</v>
      </c>
      <c r="N93" s="20">
        <v>3.26</v>
      </c>
      <c r="O93" s="21">
        <v>732.0</v>
      </c>
      <c r="P93" s="22" t="s">
        <v>570</v>
      </c>
      <c r="Q93" s="6" t="s">
        <v>571</v>
      </c>
      <c r="R93" s="6" t="s">
        <v>572</v>
      </c>
      <c r="S93" s="29">
        <f t="shared" si="5"/>
        <v>898430353.8</v>
      </c>
      <c r="T93" s="29">
        <f t="shared" si="6"/>
        <v>1347645531</v>
      </c>
      <c r="U93" s="29">
        <f t="shared" si="7"/>
        <v>2542557901</v>
      </c>
      <c r="V93" s="29">
        <f t="shared" si="8"/>
        <v>3813836852</v>
      </c>
      <c r="W93" s="44">
        <v>0.02</v>
      </c>
    </row>
    <row r="94" ht="22.5" customHeight="1">
      <c r="A94" s="11" t="s">
        <v>573</v>
      </c>
      <c r="B94" s="12">
        <f t="shared" si="1"/>
        <v>25083673.75</v>
      </c>
      <c r="C94" s="45" t="s">
        <v>574</v>
      </c>
      <c r="D94" s="13" t="s">
        <v>575</v>
      </c>
      <c r="E94" s="6" t="s">
        <v>40</v>
      </c>
      <c r="F94" s="14">
        <f t="shared" si="2"/>
        <v>43697352283</v>
      </c>
      <c r="G94" s="15">
        <v>1742.063492063492</v>
      </c>
      <c r="H94" s="14">
        <v>1.2628534809649841E11</v>
      </c>
      <c r="I94" s="15">
        <f t="shared" si="3"/>
        <v>5034.563492</v>
      </c>
      <c r="J94" s="16">
        <v>55.4426</v>
      </c>
      <c r="K94" s="17">
        <v>452426.0</v>
      </c>
      <c r="L94" s="18">
        <f t="shared" si="4"/>
        <v>174682.5835</v>
      </c>
      <c r="M94" s="19">
        <v>0.673</v>
      </c>
      <c r="N94" s="20">
        <v>5.62</v>
      </c>
      <c r="O94" s="21">
        <v>913.0</v>
      </c>
      <c r="P94" s="22" t="s">
        <v>576</v>
      </c>
      <c r="Q94" s="6" t="s">
        <v>577</v>
      </c>
      <c r="R94" s="1" t="s">
        <v>578</v>
      </c>
      <c r="S94" s="23">
        <f t="shared" si="5"/>
        <v>873947045.7</v>
      </c>
      <c r="T94" s="23">
        <f t="shared" si="6"/>
        <v>1310920568</v>
      </c>
      <c r="U94" s="23">
        <f t="shared" si="7"/>
        <v>2525706962</v>
      </c>
      <c r="V94" s="23">
        <f t="shared" si="8"/>
        <v>3788560443</v>
      </c>
      <c r="W94" s="47">
        <v>0.02</v>
      </c>
    </row>
    <row r="95" ht="22.5" customHeight="1">
      <c r="A95" s="11" t="s">
        <v>579</v>
      </c>
      <c r="B95" s="36">
        <f t="shared" si="1"/>
        <v>7849449.684</v>
      </c>
      <c r="C95" s="37" t="s">
        <v>580</v>
      </c>
      <c r="D95" s="37" t="s">
        <v>581</v>
      </c>
      <c r="E95" s="6" t="s">
        <v>47</v>
      </c>
      <c r="F95" s="14">
        <f t="shared" si="2"/>
        <v>43608053800</v>
      </c>
      <c r="G95" s="15">
        <v>5555.555555555556</v>
      </c>
      <c r="H95" s="14">
        <v>1.12508778804E11</v>
      </c>
      <c r="I95" s="15">
        <f t="shared" si="3"/>
        <v>14333.33333</v>
      </c>
      <c r="J95" s="16">
        <v>34.266</v>
      </c>
      <c r="K95" s="17">
        <v>229074.0</v>
      </c>
      <c r="L95" s="18">
        <f t="shared" si="4"/>
        <v>88445.92955</v>
      </c>
      <c r="M95" s="19">
        <v>0.717</v>
      </c>
      <c r="N95" s="20">
        <v>4.88</v>
      </c>
      <c r="O95" s="21">
        <v>83.0</v>
      </c>
      <c r="P95" s="22" t="s">
        <v>582</v>
      </c>
      <c r="Q95" s="6" t="s">
        <v>583</v>
      </c>
      <c r="R95" s="1" t="s">
        <v>584</v>
      </c>
      <c r="S95" s="39">
        <f t="shared" si="5"/>
        <v>872161076</v>
      </c>
      <c r="T95" s="39">
        <f t="shared" si="6"/>
        <v>1308241614</v>
      </c>
      <c r="U95" s="39">
        <f t="shared" si="7"/>
        <v>2250175576</v>
      </c>
      <c r="V95" s="39">
        <f t="shared" si="8"/>
        <v>3375263364</v>
      </c>
      <c r="W95" s="49">
        <v>0.02</v>
      </c>
    </row>
    <row r="96" ht="22.5" customHeight="1">
      <c r="A96" s="11" t="s">
        <v>585</v>
      </c>
      <c r="B96" s="12">
        <f t="shared" si="1"/>
        <v>36356117.2</v>
      </c>
      <c r="C96" s="45" t="s">
        <v>586</v>
      </c>
      <c r="D96" s="13" t="s">
        <v>587</v>
      </c>
      <c r="E96" s="6" t="s">
        <v>47</v>
      </c>
      <c r="F96" s="14">
        <f t="shared" si="2"/>
        <v>40395685782</v>
      </c>
      <c r="G96" s="15">
        <v>1111.111111111111</v>
      </c>
      <c r="H96" s="14">
        <v>1.4017302966431116E11</v>
      </c>
      <c r="I96" s="15">
        <f t="shared" si="3"/>
        <v>3855.555556</v>
      </c>
      <c r="J96" s="16">
        <v>74.302</v>
      </c>
      <c r="K96" s="17">
        <v>489302.0</v>
      </c>
      <c r="L96" s="18">
        <f t="shared" si="4"/>
        <v>188920.4808</v>
      </c>
      <c r="M96" s="19">
        <v>0.56</v>
      </c>
      <c r="N96" s="20">
        <v>2.09</v>
      </c>
      <c r="O96" s="21">
        <v>910.0</v>
      </c>
      <c r="P96" s="22" t="s">
        <v>588</v>
      </c>
      <c r="Q96" s="6" t="s">
        <v>589</v>
      </c>
      <c r="R96" s="6" t="s">
        <v>590</v>
      </c>
      <c r="S96" s="23">
        <f t="shared" si="5"/>
        <v>807913715.6</v>
      </c>
      <c r="T96" s="23">
        <f t="shared" si="6"/>
        <v>1211870573</v>
      </c>
      <c r="U96" s="23">
        <f t="shared" si="7"/>
        <v>2803460593</v>
      </c>
      <c r="V96" s="23">
        <f t="shared" si="8"/>
        <v>4205190890</v>
      </c>
      <c r="W96" s="47">
        <v>0.02</v>
      </c>
    </row>
    <row r="97" ht="22.5" customHeight="1">
      <c r="A97" s="11" t="s">
        <v>591</v>
      </c>
      <c r="B97" s="36">
        <f t="shared" si="1"/>
        <v>10233102.88</v>
      </c>
      <c r="C97" s="37" t="s">
        <v>592</v>
      </c>
      <c r="D97" s="37" t="s">
        <v>593</v>
      </c>
      <c r="E97" s="6" t="s">
        <v>84</v>
      </c>
      <c r="F97" s="14">
        <f t="shared" si="2"/>
        <v>37196516818</v>
      </c>
      <c r="G97" s="15">
        <v>3634.9206349206347</v>
      </c>
      <c r="H97" s="14">
        <v>1.0043059540799998E11</v>
      </c>
      <c r="I97" s="15">
        <f t="shared" si="3"/>
        <v>9814.285714</v>
      </c>
      <c r="J97" s="16">
        <v>40.04</v>
      </c>
      <c r="K97" s="17">
        <v>255572.0</v>
      </c>
      <c r="L97" s="18">
        <f t="shared" si="4"/>
        <v>98676.86034</v>
      </c>
      <c r="M97" s="19">
        <v>0.701</v>
      </c>
      <c r="N97" s="20">
        <v>5.58</v>
      </c>
      <c r="O97" s="21">
        <v>79.0</v>
      </c>
      <c r="P97" s="22" t="s">
        <v>594</v>
      </c>
      <c r="Q97" s="6" t="s">
        <v>595</v>
      </c>
      <c r="R97" s="1" t="s">
        <v>596</v>
      </c>
      <c r="S97" s="39">
        <f t="shared" si="5"/>
        <v>743930336.4</v>
      </c>
      <c r="T97" s="39">
        <f t="shared" si="6"/>
        <v>1115895505</v>
      </c>
      <c r="U97" s="39">
        <f t="shared" si="7"/>
        <v>2008611908</v>
      </c>
      <c r="V97" s="39">
        <f t="shared" si="8"/>
        <v>3012917862</v>
      </c>
      <c r="W97" s="49">
        <v>0.02</v>
      </c>
    </row>
    <row r="98" ht="22.5" customHeight="1">
      <c r="A98" s="11" t="s">
        <v>597</v>
      </c>
      <c r="B98" s="12">
        <f t="shared" si="1"/>
        <v>12584519.64</v>
      </c>
      <c r="C98" s="45" t="s">
        <v>598</v>
      </c>
      <c r="D98" s="13" t="s">
        <v>599</v>
      </c>
      <c r="E98" s="6" t="s">
        <v>47</v>
      </c>
      <c r="F98" s="14">
        <f t="shared" si="2"/>
        <v>36555033240</v>
      </c>
      <c r="G98" s="15">
        <v>2904.7619047619046</v>
      </c>
      <c r="H98" s="14">
        <v>1.0125744207479997E11</v>
      </c>
      <c r="I98" s="15">
        <f t="shared" si="3"/>
        <v>8046.190476</v>
      </c>
      <c r="J98" s="16">
        <v>83.16</v>
      </c>
      <c r="K98" s="17">
        <v>151329.0</v>
      </c>
      <c r="L98" s="18">
        <f t="shared" si="4"/>
        <v>58428.42956</v>
      </c>
      <c r="M98" s="19">
        <v>0.691</v>
      </c>
      <c r="N98" s="20">
        <v>4.21</v>
      </c>
      <c r="O98" s="21">
        <v>951.0</v>
      </c>
      <c r="P98" s="22" t="s">
        <v>600</v>
      </c>
      <c r="Q98" s="6" t="s">
        <v>601</v>
      </c>
      <c r="R98" s="6" t="s">
        <v>602</v>
      </c>
      <c r="S98" s="23">
        <f t="shared" si="5"/>
        <v>731100664.8</v>
      </c>
      <c r="T98" s="23">
        <f t="shared" si="6"/>
        <v>1096650997</v>
      </c>
      <c r="U98" s="23">
        <f t="shared" si="7"/>
        <v>2025148841</v>
      </c>
      <c r="V98" s="23">
        <f t="shared" si="8"/>
        <v>3037723262</v>
      </c>
      <c r="W98" s="47">
        <v>0.02</v>
      </c>
    </row>
    <row r="99" ht="22.5" customHeight="1">
      <c r="A99" s="31" t="s">
        <v>603</v>
      </c>
      <c r="B99" s="25">
        <f t="shared" si="1"/>
        <v>5001934.245</v>
      </c>
      <c r="C99" s="27" t="s">
        <v>604</v>
      </c>
      <c r="D99" s="27" t="s">
        <v>605</v>
      </c>
      <c r="E99" s="6" t="s">
        <v>54</v>
      </c>
      <c r="F99" s="14">
        <f t="shared" si="2"/>
        <v>36522059567</v>
      </c>
      <c r="G99" s="15">
        <v>7301.587301587301</v>
      </c>
      <c r="H99" s="14">
        <v>8.2174634025E10</v>
      </c>
      <c r="I99" s="15">
        <f t="shared" si="3"/>
        <v>16428.57143</v>
      </c>
      <c r="J99" s="16">
        <v>41.965</v>
      </c>
      <c r="K99" s="17">
        <v>119193.0</v>
      </c>
      <c r="L99" s="18">
        <f t="shared" si="4"/>
        <v>46020.65569</v>
      </c>
      <c r="M99" s="19">
        <v>0.773</v>
      </c>
      <c r="N99" s="20">
        <v>6.78</v>
      </c>
      <c r="O99" s="21">
        <v>37.0</v>
      </c>
      <c r="P99" s="22" t="s">
        <v>606</v>
      </c>
      <c r="Q99" s="6" t="s">
        <v>607</v>
      </c>
      <c r="R99" s="6" t="s">
        <v>608</v>
      </c>
      <c r="S99" s="29">
        <f t="shared" si="5"/>
        <v>730441191.3</v>
      </c>
      <c r="T99" s="29">
        <f t="shared" si="6"/>
        <v>1095661787</v>
      </c>
      <c r="U99" s="29">
        <f t="shared" si="7"/>
        <v>1643492681</v>
      </c>
      <c r="V99" s="29">
        <f t="shared" si="8"/>
        <v>2465239021</v>
      </c>
      <c r="W99" s="44">
        <v>0.02</v>
      </c>
    </row>
    <row r="100" ht="22.5" customHeight="1">
      <c r="A100" s="11" t="s">
        <v>609</v>
      </c>
      <c r="B100" s="12">
        <f t="shared" si="1"/>
        <v>29421789.86</v>
      </c>
      <c r="C100" s="13" t="s">
        <v>610</v>
      </c>
      <c r="D100" s="13" t="s">
        <v>611</v>
      </c>
      <c r="E100" s="6" t="s">
        <v>47</v>
      </c>
      <c r="F100" s="14">
        <f t="shared" si="2"/>
        <v>35259446581</v>
      </c>
      <c r="G100" s="15">
        <v>1198.4126984126983</v>
      </c>
      <c r="H100" s="14">
        <v>1.3081254681421445E11</v>
      </c>
      <c r="I100" s="15">
        <f t="shared" si="3"/>
        <v>4446.111111</v>
      </c>
      <c r="J100" s="16">
        <v>51.206</v>
      </c>
      <c r="K100" s="17">
        <v>574577.0</v>
      </c>
      <c r="L100" s="18">
        <f t="shared" si="4"/>
        <v>221845.3289</v>
      </c>
      <c r="M100" s="19">
        <v>0.512</v>
      </c>
      <c r="N100" s="20">
        <v>5.62</v>
      </c>
      <c r="O100" s="21">
        <v>932.0</v>
      </c>
      <c r="P100" s="6" t="s">
        <v>612</v>
      </c>
      <c r="Q100" s="6" t="s">
        <v>613</v>
      </c>
      <c r="R100" s="1" t="s">
        <v>614</v>
      </c>
      <c r="S100" s="23">
        <f t="shared" si="5"/>
        <v>705188931.6</v>
      </c>
      <c r="T100" s="23">
        <f t="shared" si="6"/>
        <v>1057783397</v>
      </c>
      <c r="U100" s="23">
        <f t="shared" si="7"/>
        <v>2616250936</v>
      </c>
      <c r="V100" s="23">
        <f t="shared" si="8"/>
        <v>3924376404</v>
      </c>
      <c r="W100" s="47">
        <v>0.02</v>
      </c>
    </row>
    <row r="101" ht="22.5" customHeight="1">
      <c r="A101" s="31" t="s">
        <v>615</v>
      </c>
      <c r="B101" s="36">
        <f t="shared" si="1"/>
        <v>3347590.216</v>
      </c>
      <c r="C101" s="37" t="s">
        <v>616</v>
      </c>
      <c r="D101" s="37" t="s">
        <v>617</v>
      </c>
      <c r="E101" s="6" t="s">
        <v>26</v>
      </c>
      <c r="F101" s="14">
        <f t="shared" si="2"/>
        <v>34937151856</v>
      </c>
      <c r="G101" s="15">
        <v>10436.507936507936</v>
      </c>
      <c r="H101" s="14">
        <v>5.34538423403175E10</v>
      </c>
      <c r="I101" s="15">
        <f t="shared" si="3"/>
        <v>15967.85714</v>
      </c>
      <c r="J101" s="16">
        <v>16.5551</v>
      </c>
      <c r="K101" s="17">
        <v>202209.0</v>
      </c>
      <c r="L101" s="18">
        <f t="shared" si="4"/>
        <v>78073.29932</v>
      </c>
      <c r="M101" s="19">
        <v>0.901</v>
      </c>
      <c r="N101" s="20">
        <v>8.59</v>
      </c>
      <c r="O101" s="21">
        <v>211.0</v>
      </c>
      <c r="P101" s="22" t="s">
        <v>618</v>
      </c>
      <c r="Q101" s="6" t="s">
        <v>619</v>
      </c>
      <c r="R101" s="6" t="s">
        <v>620</v>
      </c>
      <c r="S101" s="39">
        <f t="shared" si="5"/>
        <v>698743037.1</v>
      </c>
      <c r="T101" s="39">
        <f t="shared" si="6"/>
        <v>1048114556</v>
      </c>
      <c r="U101" s="39">
        <f t="shared" si="7"/>
        <v>1069076847</v>
      </c>
      <c r="V101" s="39">
        <f t="shared" si="8"/>
        <v>1603615270</v>
      </c>
      <c r="W101" s="49">
        <v>0.02</v>
      </c>
    </row>
    <row r="102" ht="22.5" customHeight="1">
      <c r="A102" s="11" t="s">
        <v>621</v>
      </c>
      <c r="B102" s="32">
        <f t="shared" si="1"/>
        <v>36478307.46</v>
      </c>
      <c r="C102" s="33" t="s">
        <v>622</v>
      </c>
      <c r="D102" s="33" t="s">
        <v>623</v>
      </c>
      <c r="E102" s="6" t="s">
        <v>40</v>
      </c>
      <c r="F102" s="14">
        <f t="shared" si="2"/>
        <v>33872714074</v>
      </c>
      <c r="G102" s="15">
        <v>928.5714285714286</v>
      </c>
      <c r="H102" s="14">
        <v>1.1076377502347485E11</v>
      </c>
      <c r="I102" s="15">
        <f t="shared" si="3"/>
        <v>3036.428571</v>
      </c>
      <c r="J102" s="16">
        <v>61.9886</v>
      </c>
      <c r="K102" s="17">
        <v>588468.0</v>
      </c>
      <c r="L102" s="18">
        <f t="shared" si="4"/>
        <v>227208.6717</v>
      </c>
      <c r="M102" s="19">
        <v>0.602</v>
      </c>
      <c r="N102" s="20">
        <v>2.05</v>
      </c>
      <c r="O102" s="21">
        <v>906.0</v>
      </c>
      <c r="P102" s="22" t="s">
        <v>48</v>
      </c>
      <c r="Q102" s="6" t="s">
        <v>624</v>
      </c>
      <c r="R102" s="1" t="s">
        <v>625</v>
      </c>
      <c r="S102" s="34">
        <f t="shared" si="5"/>
        <v>677454281.5</v>
      </c>
      <c r="T102" s="34">
        <f t="shared" si="6"/>
        <v>1016181422</v>
      </c>
      <c r="U102" s="34">
        <f t="shared" si="7"/>
        <v>2215275500</v>
      </c>
      <c r="V102" s="34">
        <f t="shared" si="8"/>
        <v>3322913251</v>
      </c>
      <c r="W102" s="50">
        <v>0.02</v>
      </c>
    </row>
    <row r="103" ht="22.5" customHeight="1">
      <c r="A103" s="11" t="s">
        <v>626</v>
      </c>
      <c r="B103" s="25">
        <f t="shared" si="1"/>
        <v>22386665.68</v>
      </c>
      <c r="C103" s="26" t="s">
        <v>627</v>
      </c>
      <c r="D103" s="27" t="s">
        <v>628</v>
      </c>
      <c r="E103" s="6" t="s">
        <v>33</v>
      </c>
      <c r="F103" s="14">
        <f t="shared" si="2"/>
        <v>33846506443</v>
      </c>
      <c r="G103" s="15">
        <v>1511.904761904762</v>
      </c>
      <c r="H103" s="14">
        <v>1.1575505203488086E11</v>
      </c>
      <c r="I103" s="15">
        <f t="shared" si="3"/>
        <v>5170.714286</v>
      </c>
      <c r="J103" s="16">
        <v>45.0358</v>
      </c>
      <c r="K103" s="17">
        <v>497086.0</v>
      </c>
      <c r="L103" s="18">
        <f t="shared" si="4"/>
        <v>191925.8988</v>
      </c>
      <c r="M103" s="19">
        <v>0.568</v>
      </c>
      <c r="N103" s="20">
        <v>1.86</v>
      </c>
      <c r="O103" s="21">
        <v>914.0</v>
      </c>
      <c r="P103" s="22" t="s">
        <v>629</v>
      </c>
      <c r="Q103" s="6" t="s">
        <v>630</v>
      </c>
      <c r="R103" s="6" t="s">
        <v>631</v>
      </c>
      <c r="S103" s="29">
        <f t="shared" si="5"/>
        <v>676930128.9</v>
      </c>
      <c r="T103" s="29">
        <f t="shared" si="6"/>
        <v>1015395193</v>
      </c>
      <c r="U103" s="29">
        <f t="shared" si="7"/>
        <v>2315101041</v>
      </c>
      <c r="V103" s="29">
        <f t="shared" si="8"/>
        <v>3472651561</v>
      </c>
      <c r="W103" s="44">
        <v>0.02</v>
      </c>
    </row>
    <row r="104" ht="22.5" customHeight="1">
      <c r="A104" s="31" t="s">
        <v>632</v>
      </c>
      <c r="B104" s="12">
        <f t="shared" si="1"/>
        <v>30421695.15</v>
      </c>
      <c r="C104" s="13" t="s">
        <v>633</v>
      </c>
      <c r="D104" s="13" t="s">
        <v>634</v>
      </c>
      <c r="E104" s="6" t="s">
        <v>47</v>
      </c>
      <c r="F104" s="14">
        <f t="shared" si="2"/>
        <v>33077557425</v>
      </c>
      <c r="G104" s="15">
        <v>1087.3015873015872</v>
      </c>
      <c r="H104" s="14">
        <v>1.2701782051199998E11</v>
      </c>
      <c r="I104" s="15">
        <f t="shared" si="3"/>
        <v>4175.238095</v>
      </c>
      <c r="J104" s="16">
        <v>65.835</v>
      </c>
      <c r="K104" s="17">
        <v>462090.0</v>
      </c>
      <c r="L104" s="18">
        <f t="shared" si="4"/>
        <v>178413.8732</v>
      </c>
      <c r="M104" s="19">
        <v>0.487</v>
      </c>
      <c r="N104" s="20">
        <v>2.68</v>
      </c>
      <c r="O104" s="21">
        <v>947.0</v>
      </c>
      <c r="P104" s="22" t="s">
        <v>635</v>
      </c>
      <c r="Q104" s="6" t="s">
        <v>636</v>
      </c>
      <c r="R104" s="6" t="s">
        <v>637</v>
      </c>
      <c r="S104" s="23">
        <f t="shared" si="5"/>
        <v>661551148.5</v>
      </c>
      <c r="T104" s="23">
        <f t="shared" si="6"/>
        <v>992326722.8</v>
      </c>
      <c r="U104" s="23">
        <f t="shared" si="7"/>
        <v>2540356410</v>
      </c>
      <c r="V104" s="23">
        <f t="shared" si="8"/>
        <v>3810534615</v>
      </c>
      <c r="W104" s="47">
        <v>0.02</v>
      </c>
    </row>
    <row r="105" ht="22.5" customHeight="1">
      <c r="A105" s="31" t="s">
        <v>638</v>
      </c>
      <c r="B105" s="25">
        <f t="shared" si="1"/>
        <v>4348274.967</v>
      </c>
      <c r="C105" s="27" t="s">
        <v>639</v>
      </c>
      <c r="D105" s="27" t="s">
        <v>640</v>
      </c>
      <c r="E105" s="6" t="s">
        <v>33</v>
      </c>
      <c r="F105" s="14">
        <f t="shared" si="2"/>
        <v>31921859877</v>
      </c>
      <c r="G105" s="15">
        <v>7341.269841269841</v>
      </c>
      <c r="H105" s="14">
        <v>7.66124637042857E10</v>
      </c>
      <c r="I105" s="15">
        <f t="shared" si="3"/>
        <v>17619.04762</v>
      </c>
      <c r="J105" s="16">
        <v>6.543</v>
      </c>
      <c r="K105" s="17">
        <v>664569.0</v>
      </c>
      <c r="L105" s="18">
        <f t="shared" si="4"/>
        <v>256591.42</v>
      </c>
      <c r="M105" s="19">
        <v>0.744</v>
      </c>
      <c r="N105" s="20">
        <v>9.76</v>
      </c>
      <c r="O105" s="21">
        <v>56.0</v>
      </c>
      <c r="P105" s="22" t="s">
        <v>641</v>
      </c>
      <c r="Q105" s="6" t="s">
        <v>642</v>
      </c>
      <c r="R105" s="6" t="s">
        <v>638</v>
      </c>
      <c r="S105" s="29">
        <f t="shared" si="5"/>
        <v>638437197.5</v>
      </c>
      <c r="T105" s="29">
        <f t="shared" si="6"/>
        <v>957655796.3</v>
      </c>
      <c r="U105" s="29">
        <f t="shared" si="7"/>
        <v>1532249274</v>
      </c>
      <c r="V105" s="29">
        <f t="shared" si="8"/>
        <v>2298373911</v>
      </c>
      <c r="W105" s="44">
        <v>0.02</v>
      </c>
    </row>
    <row r="106" ht="22.5" customHeight="1">
      <c r="A106" s="11" t="s">
        <v>643</v>
      </c>
      <c r="B106" s="32">
        <f t="shared" si="1"/>
        <v>11838200.58</v>
      </c>
      <c r="C106" s="42" t="s">
        <v>644</v>
      </c>
      <c r="D106" s="33" t="s">
        <v>645</v>
      </c>
      <c r="E106" s="6" t="s">
        <v>33</v>
      </c>
      <c r="F106" s="14">
        <f t="shared" si="2"/>
        <v>31521557894</v>
      </c>
      <c r="G106" s="15">
        <v>2662.6984126984125</v>
      </c>
      <c r="H106" s="14">
        <v>9.298859578603572E10</v>
      </c>
      <c r="I106" s="15">
        <f t="shared" si="3"/>
        <v>7854.960317</v>
      </c>
      <c r="J106" s="16">
        <v>29.2536</v>
      </c>
      <c r="K106" s="17">
        <v>404675.0</v>
      </c>
      <c r="L106" s="18">
        <f t="shared" si="4"/>
        <v>156245.8269</v>
      </c>
      <c r="M106" s="19">
        <v>0.657</v>
      </c>
      <c r="N106" s="20">
        <v>4.77</v>
      </c>
      <c r="O106" s="21">
        <v>519.0</v>
      </c>
      <c r="P106" s="22" t="s">
        <v>646</v>
      </c>
      <c r="Q106" s="6" t="s">
        <v>647</v>
      </c>
      <c r="R106" s="6" t="s">
        <v>648</v>
      </c>
      <c r="S106" s="34">
        <f t="shared" si="5"/>
        <v>630431157.9</v>
      </c>
      <c r="T106" s="34">
        <f t="shared" si="6"/>
        <v>945646736.8</v>
      </c>
      <c r="U106" s="34">
        <f t="shared" si="7"/>
        <v>1859771916</v>
      </c>
      <c r="V106" s="34">
        <f t="shared" si="8"/>
        <v>2789657874</v>
      </c>
      <c r="W106" s="50">
        <v>0.02</v>
      </c>
    </row>
    <row r="107" ht="22.5" customHeight="1">
      <c r="A107" s="11" t="s">
        <v>649</v>
      </c>
      <c r="B107" s="36">
        <f t="shared" si="1"/>
        <v>2162676.91</v>
      </c>
      <c r="C107" s="48" t="s">
        <v>650</v>
      </c>
      <c r="D107" s="37" t="s">
        <v>651</v>
      </c>
      <c r="E107" s="6" t="s">
        <v>40</v>
      </c>
      <c r="F107" s="14">
        <f t="shared" si="2"/>
        <v>28578230591</v>
      </c>
      <c r="G107" s="15">
        <v>13214.285714285714</v>
      </c>
      <c r="H107" s="28">
        <v>4.40119035345E10</v>
      </c>
      <c r="I107" s="15">
        <f t="shared" si="3"/>
        <v>20350.66049</v>
      </c>
      <c r="J107" s="16">
        <v>11.1652</v>
      </c>
      <c r="K107" s="17">
        <v>193698.0</v>
      </c>
      <c r="L107" s="18">
        <f t="shared" si="4"/>
        <v>74787.1852</v>
      </c>
      <c r="M107" s="19">
        <v>0.843</v>
      </c>
      <c r="N107" s="20">
        <v>3.1</v>
      </c>
      <c r="O107" s="21">
        <v>916.0</v>
      </c>
      <c r="P107" s="22" t="s">
        <v>652</v>
      </c>
      <c r="Q107" s="6" t="s">
        <v>653</v>
      </c>
      <c r="R107" s="6" t="s">
        <v>654</v>
      </c>
      <c r="S107" s="39">
        <f t="shared" si="5"/>
        <v>571564611.8</v>
      </c>
      <c r="T107" s="39">
        <f t="shared" si="6"/>
        <v>857346917.7</v>
      </c>
      <c r="U107" s="39">
        <f t="shared" si="7"/>
        <v>880238070.7</v>
      </c>
      <c r="V107" s="39">
        <f t="shared" si="8"/>
        <v>1320357106</v>
      </c>
      <c r="W107" s="49">
        <v>0.02</v>
      </c>
    </row>
    <row r="108" ht="22.5" customHeight="1">
      <c r="A108" s="41" t="s">
        <v>655</v>
      </c>
      <c r="B108" s="32">
        <f t="shared" si="1"/>
        <v>9819272.991</v>
      </c>
      <c r="C108" s="33" t="s">
        <v>656</v>
      </c>
      <c r="D108" s="33" t="s">
        <v>657</v>
      </c>
      <c r="E108" s="6" t="s">
        <v>54</v>
      </c>
      <c r="F108" s="14">
        <f t="shared" si="2"/>
        <v>28444719379</v>
      </c>
      <c r="G108" s="15">
        <v>2896.8253968253966</v>
      </c>
      <c r="H108" s="14">
        <v>7.338737599702142E10</v>
      </c>
      <c r="I108" s="15">
        <f t="shared" si="3"/>
        <v>7473.809524</v>
      </c>
      <c r="J108" s="16">
        <v>185.161</v>
      </c>
      <c r="K108" s="17">
        <v>53031.0</v>
      </c>
      <c r="L108" s="18">
        <f t="shared" si="4"/>
        <v>20475.37516</v>
      </c>
      <c r="M108" s="19">
        <v>0.729</v>
      </c>
      <c r="N108" s="20">
        <v>5.06</v>
      </c>
      <c r="O108" s="21">
        <v>821.0</v>
      </c>
      <c r="P108" s="22" t="s">
        <v>658</v>
      </c>
      <c r="Q108" s="6" t="s">
        <v>659</v>
      </c>
      <c r="R108" s="6" t="s">
        <v>655</v>
      </c>
      <c r="S108" s="34">
        <f t="shared" si="5"/>
        <v>568894387.6</v>
      </c>
      <c r="T108" s="34">
        <f t="shared" si="6"/>
        <v>853341581.4</v>
      </c>
      <c r="U108" s="34">
        <f t="shared" si="7"/>
        <v>1467747520</v>
      </c>
      <c r="V108" s="34">
        <f t="shared" si="8"/>
        <v>2201621280</v>
      </c>
      <c r="W108" s="50">
        <v>0.02</v>
      </c>
    </row>
    <row r="109" ht="22.5" customHeight="1">
      <c r="A109" s="11" t="s">
        <v>660</v>
      </c>
      <c r="B109" s="25">
        <f t="shared" si="1"/>
        <v>2051969.92</v>
      </c>
      <c r="C109" s="27" t="s">
        <v>661</v>
      </c>
      <c r="D109" s="27" t="s">
        <v>662</v>
      </c>
      <c r="E109" s="6" t="s">
        <v>40</v>
      </c>
      <c r="F109" s="14">
        <f t="shared" si="2"/>
        <v>26789607289</v>
      </c>
      <c r="G109" s="15">
        <v>13055.555555555555</v>
      </c>
      <c r="H109" s="14">
        <v>3.1343840527999992E10</v>
      </c>
      <c r="I109" s="15">
        <f t="shared" si="3"/>
        <v>15275</v>
      </c>
      <c r="J109" s="16">
        <v>5.005</v>
      </c>
      <c r="K109" s="17">
        <v>409984.0</v>
      </c>
      <c r="L109" s="18">
        <f t="shared" si="4"/>
        <v>158295.6424</v>
      </c>
      <c r="M109" s="19">
        <v>0.841</v>
      </c>
      <c r="N109" s="20">
        <v>2.76</v>
      </c>
      <c r="O109" s="21">
        <v>914.0</v>
      </c>
      <c r="P109" s="22" t="s">
        <v>663</v>
      </c>
      <c r="Q109" s="6" t="s">
        <v>664</v>
      </c>
      <c r="R109" s="6" t="s">
        <v>665</v>
      </c>
      <c r="S109" s="29">
        <f t="shared" si="5"/>
        <v>535792145.8</v>
      </c>
      <c r="T109" s="29">
        <f t="shared" si="6"/>
        <v>803688218.7</v>
      </c>
      <c r="U109" s="29">
        <f t="shared" si="7"/>
        <v>626876810.6</v>
      </c>
      <c r="V109" s="29">
        <f t="shared" si="8"/>
        <v>940315215.8</v>
      </c>
      <c r="W109" s="44">
        <v>0.02</v>
      </c>
    </row>
    <row r="110" ht="22.5" customHeight="1">
      <c r="A110" s="31" t="s">
        <v>666</v>
      </c>
      <c r="B110" s="12">
        <f t="shared" si="1"/>
        <v>7181169.024</v>
      </c>
      <c r="C110" s="13" t="s">
        <v>667</v>
      </c>
      <c r="D110" s="13" t="s">
        <v>668</v>
      </c>
      <c r="E110" s="6" t="s">
        <v>47</v>
      </c>
      <c r="F110" s="14">
        <f t="shared" si="2"/>
        <v>25362065204</v>
      </c>
      <c r="G110" s="15">
        <v>3531.746031746032</v>
      </c>
      <c r="H110" s="14">
        <v>8.44556771286857E10</v>
      </c>
      <c r="I110" s="15">
        <f t="shared" si="3"/>
        <v>11760.71429</v>
      </c>
      <c r="J110" s="16">
        <v>71.996</v>
      </c>
      <c r="K110" s="17">
        <v>99744.0</v>
      </c>
      <c r="L110" s="18">
        <f t="shared" si="4"/>
        <v>38511.35789</v>
      </c>
      <c r="M110" s="19">
        <v>0.576</v>
      </c>
      <c r="N110" s="20">
        <v>6.43</v>
      </c>
      <c r="O110" s="21">
        <v>943.0</v>
      </c>
      <c r="P110" s="22" t="s">
        <v>669</v>
      </c>
      <c r="Q110" s="6" t="s">
        <v>670</v>
      </c>
      <c r="R110" s="1" t="s">
        <v>671</v>
      </c>
      <c r="S110" s="23">
        <f t="shared" si="5"/>
        <v>507241304.1</v>
      </c>
      <c r="T110" s="23">
        <f t="shared" si="6"/>
        <v>760861956.1</v>
      </c>
      <c r="U110" s="23">
        <f t="shared" si="7"/>
        <v>1689113543</v>
      </c>
      <c r="V110" s="23">
        <f t="shared" si="8"/>
        <v>2533670314</v>
      </c>
      <c r="W110" s="47">
        <v>0.02</v>
      </c>
    </row>
    <row r="111" ht="22.5" customHeight="1">
      <c r="A111" s="31" t="s">
        <v>672</v>
      </c>
      <c r="B111" s="25">
        <f t="shared" si="1"/>
        <v>16057397.35</v>
      </c>
      <c r="C111" s="56" t="s">
        <v>673</v>
      </c>
      <c r="D111" s="53" t="s">
        <v>674</v>
      </c>
      <c r="E111" s="6" t="s">
        <v>40</v>
      </c>
      <c r="F111" s="14">
        <f t="shared" si="2"/>
        <v>25041893482</v>
      </c>
      <c r="G111" s="15">
        <v>1559.5238095238094</v>
      </c>
      <c r="H111" s="14">
        <v>7.512568044582857E10</v>
      </c>
      <c r="I111" s="15">
        <f t="shared" si="3"/>
        <v>4678.571429</v>
      </c>
      <c r="J111" s="16">
        <v>66.6072</v>
      </c>
      <c r="K111" s="17">
        <v>241076.0</v>
      </c>
      <c r="L111" s="18">
        <f t="shared" si="4"/>
        <v>93079.92575</v>
      </c>
      <c r="M111" s="19">
        <v>0.652</v>
      </c>
      <c r="N111" s="20">
        <v>1.14</v>
      </c>
      <c r="O111" s="21">
        <v>927.0</v>
      </c>
      <c r="P111" s="22" t="s">
        <v>675</v>
      </c>
      <c r="Q111" s="6" t="s">
        <v>676</v>
      </c>
      <c r="R111" s="6" t="s">
        <v>677</v>
      </c>
      <c r="S111" s="29">
        <f t="shared" si="5"/>
        <v>500837869.6</v>
      </c>
      <c r="T111" s="29">
        <f t="shared" si="6"/>
        <v>751256804.5</v>
      </c>
      <c r="U111" s="29">
        <f t="shared" si="7"/>
        <v>1502513609</v>
      </c>
      <c r="V111" s="29">
        <f t="shared" si="8"/>
        <v>2253770413</v>
      </c>
      <c r="W111" s="44">
        <v>0.02</v>
      </c>
    </row>
    <row r="112" ht="22.5" customHeight="1">
      <c r="A112" s="11" t="s">
        <v>678</v>
      </c>
      <c r="B112" s="32">
        <f t="shared" si="1"/>
        <v>17339111.02</v>
      </c>
      <c r="C112" s="42" t="s">
        <v>679</v>
      </c>
      <c r="D112" s="33" t="s">
        <v>680</v>
      </c>
      <c r="E112" s="6" t="s">
        <v>47</v>
      </c>
      <c r="F112" s="14">
        <f t="shared" si="2"/>
        <v>23187620689</v>
      </c>
      <c r="G112" s="15">
        <v>1337.3015873015872</v>
      </c>
      <c r="H112" s="14">
        <v>7.906978655100555E10</v>
      </c>
      <c r="I112" s="15">
        <f t="shared" si="3"/>
        <v>4560.198413</v>
      </c>
      <c r="J112" s="16">
        <v>44.66</v>
      </c>
      <c r="K112" s="17">
        <v>388247.0</v>
      </c>
      <c r="L112" s="18">
        <f t="shared" si="4"/>
        <v>149902.9432</v>
      </c>
      <c r="M112" s="19">
        <v>0.572</v>
      </c>
      <c r="N112" s="20">
        <v>4.39</v>
      </c>
      <c r="O112" s="21">
        <v>946.0</v>
      </c>
      <c r="P112" s="22" t="s">
        <v>681</v>
      </c>
      <c r="Q112" s="6" t="s">
        <v>682</v>
      </c>
      <c r="R112" s="6" t="s">
        <v>683</v>
      </c>
      <c r="S112" s="34">
        <f t="shared" si="5"/>
        <v>463752413.8</v>
      </c>
      <c r="T112" s="34">
        <f t="shared" si="6"/>
        <v>695628620.7</v>
      </c>
      <c r="U112" s="34">
        <f t="shared" si="7"/>
        <v>1581395731</v>
      </c>
      <c r="V112" s="34">
        <f t="shared" si="8"/>
        <v>2372093597</v>
      </c>
      <c r="W112" s="50">
        <v>0.02</v>
      </c>
    </row>
    <row r="113" ht="22.5" customHeight="1">
      <c r="A113" s="11" t="s">
        <v>684</v>
      </c>
      <c r="B113" s="25">
        <f t="shared" si="1"/>
        <v>6257139.796</v>
      </c>
      <c r="C113" s="26" t="s">
        <v>685</v>
      </c>
      <c r="D113" s="27" t="s">
        <v>686</v>
      </c>
      <c r="E113" s="6" t="s">
        <v>33</v>
      </c>
      <c r="F113" s="14">
        <f t="shared" si="2"/>
        <v>22868356161</v>
      </c>
      <c r="G113" s="15">
        <v>3654.7619047619046</v>
      </c>
      <c r="H113" s="14">
        <v>5.557010547038529E10</v>
      </c>
      <c r="I113" s="15">
        <f t="shared" si="3"/>
        <v>8881.071429</v>
      </c>
      <c r="J113" s="16">
        <v>11.5462</v>
      </c>
      <c r="K113" s="17">
        <v>541922.0</v>
      </c>
      <c r="L113" s="18">
        <f t="shared" si="4"/>
        <v>209237.168</v>
      </c>
      <c r="M113" s="19">
        <v>0.624</v>
      </c>
      <c r="N113" s="20">
        <v>2.04</v>
      </c>
      <c r="O113" s="21">
        <v>513.0</v>
      </c>
      <c r="P113" s="22" t="s">
        <v>687</v>
      </c>
      <c r="Q113" s="6" t="s">
        <v>688</v>
      </c>
      <c r="R113" s="6" t="s">
        <v>689</v>
      </c>
      <c r="S113" s="29">
        <f t="shared" si="5"/>
        <v>457367123.2</v>
      </c>
      <c r="T113" s="29">
        <f t="shared" si="6"/>
        <v>686050684.8</v>
      </c>
      <c r="U113" s="29">
        <f t="shared" si="7"/>
        <v>1111402109</v>
      </c>
      <c r="V113" s="29">
        <f t="shared" si="8"/>
        <v>1667103164</v>
      </c>
      <c r="W113" s="44">
        <v>0.02</v>
      </c>
    </row>
    <row r="114" ht="22.5" customHeight="1">
      <c r="A114" s="11" t="s">
        <v>690</v>
      </c>
      <c r="B114" s="12">
        <f t="shared" si="1"/>
        <v>11247659.63</v>
      </c>
      <c r="C114" s="45" t="s">
        <v>691</v>
      </c>
      <c r="D114" s="13" t="s">
        <v>692</v>
      </c>
      <c r="E114" s="6" t="s">
        <v>40</v>
      </c>
      <c r="F114" s="14">
        <f t="shared" si="2"/>
        <v>20040472905</v>
      </c>
      <c r="G114" s="15">
        <v>1781.7460317460318</v>
      </c>
      <c r="H114" s="14">
        <v>6.092303763028559E10</v>
      </c>
      <c r="I114" s="15">
        <f t="shared" si="3"/>
        <v>5416.507937</v>
      </c>
      <c r="J114" s="16">
        <v>11.9353</v>
      </c>
      <c r="K114" s="17">
        <v>942386.0</v>
      </c>
      <c r="L114" s="18">
        <f t="shared" si="4"/>
        <v>363857.1194</v>
      </c>
      <c r="M114" s="19">
        <v>0.643</v>
      </c>
      <c r="N114" s="20">
        <v>3.65</v>
      </c>
      <c r="O114" s="21">
        <v>928.0</v>
      </c>
      <c r="P114" s="22" t="s">
        <v>693</v>
      </c>
      <c r="Q114" s="6" t="s">
        <v>694</v>
      </c>
      <c r="R114" s="6" t="s">
        <v>695</v>
      </c>
      <c r="S114" s="23">
        <f t="shared" si="5"/>
        <v>400809458.1</v>
      </c>
      <c r="T114" s="23">
        <f t="shared" si="6"/>
        <v>601214187.1</v>
      </c>
      <c r="U114" s="23">
        <f t="shared" si="7"/>
        <v>1218460753</v>
      </c>
      <c r="V114" s="23">
        <f t="shared" si="8"/>
        <v>1827691129</v>
      </c>
      <c r="W114" s="47">
        <v>0.02</v>
      </c>
    </row>
    <row r="115" ht="22.5" customHeight="1">
      <c r="A115" s="11" t="s">
        <v>696</v>
      </c>
      <c r="B115" s="25">
        <f t="shared" si="1"/>
        <v>45062542.28</v>
      </c>
      <c r="C115" s="26" t="s">
        <v>697</v>
      </c>
      <c r="D115" s="27" t="s">
        <v>698</v>
      </c>
      <c r="E115" s="6" t="s">
        <v>47</v>
      </c>
      <c r="F115" s="14">
        <f t="shared" si="2"/>
        <v>10550357120</v>
      </c>
      <c r="G115" s="15">
        <v>234.12698412698413</v>
      </c>
      <c r="H115" s="14">
        <v>3.977484634305825E10</v>
      </c>
      <c r="I115" s="15">
        <f t="shared" si="3"/>
        <v>882.6587302</v>
      </c>
      <c r="J115" s="16">
        <v>25.796</v>
      </c>
      <c r="K115" s="17">
        <v>1746881.0</v>
      </c>
      <c r="L115" s="18">
        <f t="shared" si="4"/>
        <v>674474.2479</v>
      </c>
      <c r="M115" s="19">
        <v>0.505</v>
      </c>
      <c r="N115" s="20">
        <v>4.96</v>
      </c>
      <c r="O115" s="21">
        <v>950.0</v>
      </c>
      <c r="P115" s="22" t="s">
        <v>699</v>
      </c>
      <c r="Q115" s="6" t="s">
        <v>700</v>
      </c>
      <c r="R115" s="1" t="s">
        <v>701</v>
      </c>
      <c r="S115" s="29">
        <f t="shared" si="5"/>
        <v>392473284.9</v>
      </c>
      <c r="T115" s="29">
        <f t="shared" si="6"/>
        <v>588709927.3</v>
      </c>
      <c r="U115" s="29">
        <f t="shared" si="7"/>
        <v>1479624284</v>
      </c>
      <c r="V115" s="29">
        <f t="shared" si="8"/>
        <v>2219436426</v>
      </c>
      <c r="W115" s="44">
        <v>0.0372</v>
      </c>
    </row>
    <row r="116" ht="22.5" customHeight="1">
      <c r="A116" s="11" t="s">
        <v>702</v>
      </c>
      <c r="B116" s="32">
        <f t="shared" si="1"/>
        <v>1158762.78</v>
      </c>
      <c r="C116" s="33" t="s">
        <v>703</v>
      </c>
      <c r="D116" s="33" t="s">
        <v>704</v>
      </c>
      <c r="E116" s="6" t="s">
        <v>26</v>
      </c>
      <c r="F116" s="14">
        <f t="shared" si="2"/>
        <v>19450660950</v>
      </c>
      <c r="G116" s="15">
        <v>16785.714285714286</v>
      </c>
      <c r="H116" s="14">
        <v>2.54803658445E10</v>
      </c>
      <c r="I116" s="15">
        <f t="shared" si="3"/>
        <v>21989.28571</v>
      </c>
      <c r="J116" s="16">
        <v>175.172</v>
      </c>
      <c r="K116" s="17">
        <v>6615.0</v>
      </c>
      <c r="L116" s="18">
        <f t="shared" si="4"/>
        <v>2554.06473</v>
      </c>
      <c r="M116" s="19">
        <v>0.914</v>
      </c>
      <c r="N116" s="20">
        <v>8.98</v>
      </c>
      <c r="O116" s="21">
        <v>243.0</v>
      </c>
      <c r="P116" s="22" t="s">
        <v>705</v>
      </c>
      <c r="Q116" s="6" t="s">
        <v>706</v>
      </c>
      <c r="R116" s="6" t="s">
        <v>707</v>
      </c>
      <c r="S116" s="34">
        <f t="shared" si="5"/>
        <v>389013219</v>
      </c>
      <c r="T116" s="34">
        <f t="shared" si="6"/>
        <v>583519828.5</v>
      </c>
      <c r="U116" s="34">
        <f t="shared" si="7"/>
        <v>509607316.9</v>
      </c>
      <c r="V116" s="34">
        <f t="shared" si="8"/>
        <v>764410975.3</v>
      </c>
      <c r="W116" s="50">
        <v>0.02</v>
      </c>
    </row>
    <row r="117" ht="22.5" customHeight="1">
      <c r="A117" s="11" t="s">
        <v>708</v>
      </c>
      <c r="B117" s="25">
        <f t="shared" si="1"/>
        <v>3146472.56</v>
      </c>
      <c r="C117" s="26" t="s">
        <v>709</v>
      </c>
      <c r="D117" s="27" t="s">
        <v>710</v>
      </c>
      <c r="E117" s="6" t="s">
        <v>121</v>
      </c>
      <c r="F117" s="14">
        <f t="shared" si="2"/>
        <v>19228443422</v>
      </c>
      <c r="G117" s="15">
        <v>6111.111111111111</v>
      </c>
      <c r="H117" s="14">
        <v>4.095658448933333E10</v>
      </c>
      <c r="I117" s="15">
        <f t="shared" si="3"/>
        <v>13016.66667</v>
      </c>
      <c r="J117" s="16">
        <v>1.54</v>
      </c>
      <c r="K117" s="17">
        <v>2043164.0</v>
      </c>
      <c r="L117" s="18">
        <f t="shared" si="4"/>
        <v>788869.7067</v>
      </c>
      <c r="M117" s="19">
        <v>0.803</v>
      </c>
      <c r="N117" s="20">
        <v>5.07</v>
      </c>
      <c r="O117" s="21">
        <v>68.0</v>
      </c>
      <c r="P117" s="22" t="s">
        <v>711</v>
      </c>
      <c r="Q117" s="6" t="s">
        <v>712</v>
      </c>
      <c r="R117" s="1" t="s">
        <v>713</v>
      </c>
      <c r="S117" s="29">
        <f t="shared" si="5"/>
        <v>384568868.4</v>
      </c>
      <c r="T117" s="29">
        <f t="shared" si="6"/>
        <v>576853302.7</v>
      </c>
      <c r="U117" s="29">
        <f t="shared" si="7"/>
        <v>819131689.8</v>
      </c>
      <c r="V117" s="29">
        <f t="shared" si="8"/>
        <v>1228697535</v>
      </c>
      <c r="W117" s="44">
        <v>0.02</v>
      </c>
    </row>
    <row r="118" ht="22.5" customHeight="1">
      <c r="A118" s="31" t="s">
        <v>714</v>
      </c>
      <c r="B118" s="32">
        <f t="shared" si="1"/>
        <v>1300163.451</v>
      </c>
      <c r="C118" s="33" t="s">
        <v>715</v>
      </c>
      <c r="D118" s="33" t="s">
        <v>716</v>
      </c>
      <c r="E118" s="6" t="s">
        <v>26</v>
      </c>
      <c r="F118" s="14">
        <f t="shared" si="2"/>
        <v>18934920101</v>
      </c>
      <c r="G118" s="15">
        <v>14563.492063492064</v>
      </c>
      <c r="H118" s="14">
        <v>2.650888814187222E10</v>
      </c>
      <c r="I118" s="15">
        <f t="shared" si="3"/>
        <v>20388.88889</v>
      </c>
      <c r="J118" s="16">
        <v>38.1179</v>
      </c>
      <c r="K118" s="17">
        <v>34109.0</v>
      </c>
      <c r="L118" s="18">
        <f t="shared" si="4"/>
        <v>13169.55312</v>
      </c>
      <c r="M118" s="19">
        <v>0.907</v>
      </c>
      <c r="N118" s="20">
        <v>7.85</v>
      </c>
      <c r="O118" s="21">
        <v>215.0</v>
      </c>
      <c r="P118" s="22" t="s">
        <v>717</v>
      </c>
      <c r="Q118" s="6" t="s">
        <v>718</v>
      </c>
      <c r="R118" s="6" t="s">
        <v>719</v>
      </c>
      <c r="S118" s="34">
        <f t="shared" si="5"/>
        <v>378698402</v>
      </c>
      <c r="T118" s="34">
        <f t="shared" si="6"/>
        <v>568047603</v>
      </c>
      <c r="U118" s="34">
        <f t="shared" si="7"/>
        <v>530177762.8</v>
      </c>
      <c r="V118" s="34">
        <f t="shared" si="8"/>
        <v>795266644.3</v>
      </c>
      <c r="W118" s="50">
        <v>0.02</v>
      </c>
    </row>
    <row r="119" ht="22.5" customHeight="1">
      <c r="A119" s="11" t="s">
        <v>720</v>
      </c>
      <c r="B119" s="25">
        <f t="shared" si="1"/>
        <v>2170549.55</v>
      </c>
      <c r="C119" s="26" t="s">
        <v>721</v>
      </c>
      <c r="D119" s="27" t="s">
        <v>722</v>
      </c>
      <c r="E119" s="6" t="s">
        <v>26</v>
      </c>
      <c r="F119" s="14">
        <f t="shared" si="2"/>
        <v>18087912918</v>
      </c>
      <c r="G119" s="15">
        <v>8333.333333333334</v>
      </c>
      <c r="H119" s="14">
        <v>3.0387693701400005E10</v>
      </c>
      <c r="I119" s="15">
        <f t="shared" si="3"/>
        <v>14000</v>
      </c>
      <c r="J119" s="16">
        <v>52.3617</v>
      </c>
      <c r="K119" s="17">
        <v>41453.0</v>
      </c>
      <c r="L119" s="18">
        <f t="shared" si="4"/>
        <v>16005.08621</v>
      </c>
      <c r="M119" s="19">
        <v>0.883</v>
      </c>
      <c r="N119" s="20">
        <v>6.18</v>
      </c>
      <c r="O119" s="21">
        <v>242.0</v>
      </c>
      <c r="P119" s="6" t="s">
        <v>723</v>
      </c>
      <c r="Q119" s="6" t="s">
        <v>724</v>
      </c>
      <c r="R119" s="6" t="s">
        <v>725</v>
      </c>
      <c r="S119" s="29">
        <f t="shared" si="5"/>
        <v>361758258.4</v>
      </c>
      <c r="T119" s="29">
        <f t="shared" si="6"/>
        <v>542637387.5</v>
      </c>
      <c r="U119" s="29">
        <f t="shared" si="7"/>
        <v>607753874</v>
      </c>
      <c r="V119" s="29">
        <f t="shared" si="8"/>
        <v>911630811</v>
      </c>
      <c r="W119" s="44">
        <v>0.02</v>
      </c>
    </row>
    <row r="120" ht="22.5" customHeight="1">
      <c r="A120" s="31" t="s">
        <v>726</v>
      </c>
      <c r="B120" s="32">
        <f t="shared" si="1"/>
        <v>730202.55</v>
      </c>
      <c r="C120" s="42" t="s">
        <v>727</v>
      </c>
      <c r="D120" s="33" t="s">
        <v>728</v>
      </c>
      <c r="E120" s="6" t="s">
        <v>121</v>
      </c>
      <c r="F120" s="14">
        <f t="shared" si="2"/>
        <v>17965300833</v>
      </c>
      <c r="G120" s="15">
        <v>24603.174603174604</v>
      </c>
      <c r="H120" s="14">
        <v>2.1917667016666664E10</v>
      </c>
      <c r="I120" s="15">
        <f t="shared" si="3"/>
        <v>30015.87302</v>
      </c>
      <c r="J120" s="16">
        <v>220.605</v>
      </c>
      <c r="K120" s="17">
        <v>3310.0</v>
      </c>
      <c r="L120" s="18">
        <f t="shared" si="4"/>
        <v>1277.99762</v>
      </c>
      <c r="M120" s="19">
        <v>0.892</v>
      </c>
      <c r="N120" s="20">
        <v>5.68</v>
      </c>
      <c r="O120" s="21">
        <v>614.0</v>
      </c>
      <c r="P120" s="22" t="s">
        <v>729</v>
      </c>
      <c r="Q120" s="6" t="s">
        <v>730</v>
      </c>
      <c r="R120" s="6" t="s">
        <v>731</v>
      </c>
      <c r="S120" s="34">
        <f t="shared" si="5"/>
        <v>359306016.7</v>
      </c>
      <c r="T120" s="34">
        <f t="shared" si="6"/>
        <v>538959025</v>
      </c>
      <c r="U120" s="34">
        <f t="shared" si="7"/>
        <v>438353340.3</v>
      </c>
      <c r="V120" s="34">
        <f t="shared" si="8"/>
        <v>657530010.5</v>
      </c>
      <c r="W120" s="50">
        <v>0.02</v>
      </c>
    </row>
    <row r="121" ht="22.5" customHeight="1">
      <c r="A121" s="11" t="s">
        <v>732</v>
      </c>
      <c r="B121" s="36">
        <f t="shared" si="1"/>
        <v>31948027.15</v>
      </c>
      <c r="C121" s="48" t="s">
        <v>733</v>
      </c>
      <c r="D121" s="37" t="s">
        <v>734</v>
      </c>
      <c r="E121" s="6" t="s">
        <v>33</v>
      </c>
      <c r="F121" s="14">
        <f t="shared" si="2"/>
        <v>15720457803</v>
      </c>
      <c r="G121" s="15">
        <v>492.06349206349205</v>
      </c>
      <c r="H121" s="14">
        <v>5.612203435823434E10</v>
      </c>
      <c r="I121" s="15">
        <f t="shared" si="3"/>
        <v>1756.666667</v>
      </c>
      <c r="J121" s="16">
        <v>64.6589</v>
      </c>
      <c r="K121" s="17">
        <v>494101.0</v>
      </c>
      <c r="L121" s="18">
        <f t="shared" si="4"/>
        <v>190773.3843</v>
      </c>
      <c r="M121" s="19">
        <v>0.543</v>
      </c>
      <c r="N121" s="20">
        <v>1.53</v>
      </c>
      <c r="O121" s="21">
        <v>518.0</v>
      </c>
      <c r="P121" s="22" t="s">
        <v>735</v>
      </c>
      <c r="Q121" s="6" t="s">
        <v>736</v>
      </c>
      <c r="R121" s="6" t="s">
        <v>737</v>
      </c>
      <c r="S121" s="39">
        <f t="shared" si="5"/>
        <v>314409156.1</v>
      </c>
      <c r="T121" s="39">
        <f t="shared" si="6"/>
        <v>471613734.1</v>
      </c>
      <c r="U121" s="39">
        <f t="shared" si="7"/>
        <v>1122440687</v>
      </c>
      <c r="V121" s="39">
        <f t="shared" si="8"/>
        <v>1683661031</v>
      </c>
      <c r="W121" s="49">
        <v>0.02</v>
      </c>
    </row>
    <row r="122" ht="22.5" customHeight="1">
      <c r="A122" s="11" t="s">
        <v>738</v>
      </c>
      <c r="B122" s="12">
        <f t="shared" si="1"/>
        <v>1638021</v>
      </c>
      <c r="C122" s="45" t="s">
        <v>739</v>
      </c>
      <c r="D122" s="13" t="s">
        <v>740</v>
      </c>
      <c r="E122" s="6" t="s">
        <v>84</v>
      </c>
      <c r="F122" s="14">
        <f t="shared" si="2"/>
        <v>15405197500</v>
      </c>
      <c r="G122" s="15">
        <v>9404.761904761905</v>
      </c>
      <c r="H122" s="28">
        <v>2.912920165E10</v>
      </c>
      <c r="I122" s="15">
        <f t="shared" si="3"/>
        <v>17783.1674</v>
      </c>
      <c r="J122" s="16">
        <v>107.8</v>
      </c>
      <c r="K122" s="17">
        <v>15195.0</v>
      </c>
      <c r="L122" s="18">
        <f t="shared" si="4"/>
        <v>5866.81989</v>
      </c>
      <c r="M122" s="19">
        <v>0.705</v>
      </c>
      <c r="N122" s="20">
        <v>4.09</v>
      </c>
      <c r="O122" s="21">
        <v>751.0</v>
      </c>
      <c r="P122" s="22" t="s">
        <v>741</v>
      </c>
      <c r="Q122" s="6" t="s">
        <v>742</v>
      </c>
      <c r="R122" s="1" t="s">
        <v>743</v>
      </c>
      <c r="S122" s="23">
        <f t="shared" si="5"/>
        <v>308103950</v>
      </c>
      <c r="T122" s="23">
        <f t="shared" si="6"/>
        <v>462155925</v>
      </c>
      <c r="U122" s="23">
        <f t="shared" si="7"/>
        <v>582584033</v>
      </c>
      <c r="V122" s="23">
        <f t="shared" si="8"/>
        <v>873876049.5</v>
      </c>
      <c r="W122" s="47">
        <v>0.02</v>
      </c>
    </row>
    <row r="123" ht="22.5" customHeight="1">
      <c r="A123" s="54" t="s">
        <v>744</v>
      </c>
      <c r="B123" s="36">
        <f t="shared" si="1"/>
        <v>820937.425</v>
      </c>
      <c r="C123" s="37" t="s">
        <v>745</v>
      </c>
      <c r="D123" s="37" t="s">
        <v>746</v>
      </c>
      <c r="E123" s="6" t="s">
        <v>54</v>
      </c>
      <c r="F123" s="14">
        <f t="shared" si="2"/>
        <v>14985365694</v>
      </c>
      <c r="G123" s="15">
        <v>18253.968253968254</v>
      </c>
      <c r="H123" s="14">
        <v>1.3786536438888891E10</v>
      </c>
      <c r="I123" s="15">
        <f t="shared" si="3"/>
        <v>16793.65079</v>
      </c>
      <c r="J123" s="16">
        <v>1.925</v>
      </c>
      <c r="K123" s="17">
        <v>426461.0</v>
      </c>
      <c r="L123" s="18">
        <f t="shared" si="4"/>
        <v>164657.445</v>
      </c>
      <c r="M123" s="19">
        <v>0.93</v>
      </c>
      <c r="N123" s="20">
        <v>9.69</v>
      </c>
      <c r="O123" s="21">
        <v>145.0</v>
      </c>
      <c r="P123" s="22" t="s">
        <v>747</v>
      </c>
      <c r="Q123" s="6" t="s">
        <v>748</v>
      </c>
      <c r="R123" s="6" t="s">
        <v>749</v>
      </c>
      <c r="S123" s="39">
        <f t="shared" si="5"/>
        <v>299707313.9</v>
      </c>
      <c r="T123" s="39">
        <f t="shared" si="6"/>
        <v>449560970.8</v>
      </c>
      <c r="U123" s="39">
        <f t="shared" si="7"/>
        <v>275730728.8</v>
      </c>
      <c r="V123" s="39">
        <f t="shared" si="8"/>
        <v>413596093.2</v>
      </c>
      <c r="W123" s="49">
        <v>0.02</v>
      </c>
    </row>
    <row r="124" ht="22.5" customHeight="1">
      <c r="A124" s="11" t="s">
        <v>750</v>
      </c>
      <c r="B124" s="12">
        <f t="shared" si="1"/>
        <v>8714285.58</v>
      </c>
      <c r="C124" s="13" t="s">
        <v>751</v>
      </c>
      <c r="D124" s="13" t="s">
        <v>752</v>
      </c>
      <c r="E124" s="6" t="s">
        <v>84</v>
      </c>
      <c r="F124" s="14">
        <f t="shared" si="2"/>
        <v>14869614283</v>
      </c>
      <c r="G124" s="15">
        <v>1706.3492063492063</v>
      </c>
      <c r="H124" s="14">
        <v>4.7136677278166664E10</v>
      </c>
      <c r="I124" s="15">
        <f t="shared" si="3"/>
        <v>5409.126984</v>
      </c>
      <c r="J124" s="16">
        <v>4.62</v>
      </c>
      <c r="K124" s="17">
        <v>1886209.0</v>
      </c>
      <c r="L124" s="18">
        <f t="shared" si="4"/>
        <v>728269.0673</v>
      </c>
      <c r="M124" s="19">
        <v>0.618</v>
      </c>
      <c r="N124" s="20">
        <v>8.39</v>
      </c>
      <c r="O124" s="21">
        <v>799.0</v>
      </c>
      <c r="P124" s="22" t="s">
        <v>753</v>
      </c>
      <c r="Q124" s="6" t="s">
        <v>754</v>
      </c>
      <c r="R124" s="1" t="s">
        <v>755</v>
      </c>
      <c r="S124" s="23">
        <f t="shared" si="5"/>
        <v>297392285.7</v>
      </c>
      <c r="T124" s="23">
        <f t="shared" si="6"/>
        <v>446088428.5</v>
      </c>
      <c r="U124" s="23">
        <f t="shared" si="7"/>
        <v>942733545.6</v>
      </c>
      <c r="V124" s="23">
        <f t="shared" si="8"/>
        <v>1414100318</v>
      </c>
      <c r="W124" s="47">
        <v>0.02</v>
      </c>
    </row>
    <row r="125" ht="22.5" customHeight="1">
      <c r="A125" s="11" t="s">
        <v>756</v>
      </c>
      <c r="B125" s="25">
        <f t="shared" si="1"/>
        <v>833491.136</v>
      </c>
      <c r="C125" s="26" t="s">
        <v>757</v>
      </c>
      <c r="D125" s="27" t="s">
        <v>758</v>
      </c>
      <c r="E125" s="6" t="s">
        <v>26</v>
      </c>
      <c r="F125" s="14">
        <f t="shared" si="2"/>
        <v>13990744069</v>
      </c>
      <c r="G125" s="15">
        <v>16785.714285714286</v>
      </c>
      <c r="H125" s="14">
        <v>1.5809540797485714E10</v>
      </c>
      <c r="I125" s="15">
        <f t="shared" si="3"/>
        <v>18967.85714</v>
      </c>
      <c r="J125" s="16">
        <v>97.0304</v>
      </c>
      <c r="K125" s="17">
        <v>8590.0</v>
      </c>
      <c r="L125" s="18">
        <f t="shared" si="4"/>
        <v>3316.61618</v>
      </c>
      <c r="M125" s="7">
        <v>0.95</v>
      </c>
      <c r="N125" s="20">
        <v>8.07</v>
      </c>
      <c r="O125" s="21">
        <v>214.0</v>
      </c>
      <c r="P125" s="22" t="s">
        <v>759</v>
      </c>
      <c r="Q125" s="6" t="s">
        <v>760</v>
      </c>
      <c r="R125" s="1" t="s">
        <v>761</v>
      </c>
      <c r="S125" s="29">
        <f t="shared" si="5"/>
        <v>279814881.4</v>
      </c>
      <c r="T125" s="29">
        <f t="shared" si="6"/>
        <v>419722322.1</v>
      </c>
      <c r="U125" s="29">
        <f t="shared" si="7"/>
        <v>316190815.9</v>
      </c>
      <c r="V125" s="29">
        <f t="shared" si="8"/>
        <v>474286223.9</v>
      </c>
      <c r="W125" s="44">
        <v>0.02</v>
      </c>
    </row>
    <row r="126" ht="22.5" customHeight="1">
      <c r="A126" s="11" t="s">
        <v>762</v>
      </c>
      <c r="B126" s="32">
        <f t="shared" si="1"/>
        <v>7898975.162</v>
      </c>
      <c r="C126" s="42" t="s">
        <v>763</v>
      </c>
      <c r="D126" s="33" t="s">
        <v>764</v>
      </c>
      <c r="E126" s="6" t="s">
        <v>40</v>
      </c>
      <c r="F126" s="14">
        <f t="shared" si="2"/>
        <v>13854551674</v>
      </c>
      <c r="G126" s="15">
        <v>1753.968253968254</v>
      </c>
      <c r="H126" s="14">
        <v>4.059383640403867E10</v>
      </c>
      <c r="I126" s="15">
        <f t="shared" si="3"/>
        <v>5139.126984</v>
      </c>
      <c r="J126" s="16">
        <v>40.0386</v>
      </c>
      <c r="K126" s="17">
        <v>197284.0</v>
      </c>
      <c r="L126" s="18">
        <f t="shared" si="4"/>
        <v>76171.74697</v>
      </c>
      <c r="M126" s="19">
        <v>0.666</v>
      </c>
      <c r="N126" s="20">
        <v>5.7</v>
      </c>
      <c r="O126" s="21">
        <v>921.0</v>
      </c>
      <c r="P126" s="22" t="s">
        <v>765</v>
      </c>
      <c r="Q126" s="6" t="s">
        <v>766</v>
      </c>
      <c r="R126" s="6" t="s">
        <v>767</v>
      </c>
      <c r="S126" s="34">
        <f t="shared" si="5"/>
        <v>277091033.5</v>
      </c>
      <c r="T126" s="34">
        <f t="shared" si="6"/>
        <v>415636550.2</v>
      </c>
      <c r="U126" s="34">
        <f t="shared" si="7"/>
        <v>811876728.1</v>
      </c>
      <c r="V126" s="34">
        <f t="shared" si="8"/>
        <v>1217815092</v>
      </c>
      <c r="W126" s="50">
        <v>0.02</v>
      </c>
    </row>
    <row r="127" ht="22.5" customHeight="1">
      <c r="A127" s="31" t="s">
        <v>768</v>
      </c>
      <c r="B127" s="25">
        <f t="shared" si="1"/>
        <v>9106538.713</v>
      </c>
      <c r="C127" s="26" t="s">
        <v>769</v>
      </c>
      <c r="D127" s="27" t="s">
        <v>770</v>
      </c>
      <c r="E127" s="6" t="s">
        <v>40</v>
      </c>
      <c r="F127" s="14">
        <f t="shared" si="2"/>
        <v>12611833376</v>
      </c>
      <c r="G127" s="15">
        <v>1384.920634920635</v>
      </c>
      <c r="H127" s="14">
        <v>3.569148845503456E10</v>
      </c>
      <c r="I127" s="15">
        <f t="shared" si="3"/>
        <v>3919.325397</v>
      </c>
      <c r="J127" s="16">
        <v>16.1605</v>
      </c>
      <c r="K127" s="17">
        <v>563506.0</v>
      </c>
      <c r="L127" s="18">
        <f t="shared" si="4"/>
        <v>217570.7936</v>
      </c>
      <c r="M127" s="19">
        <v>0.687</v>
      </c>
      <c r="N127" s="20">
        <v>4.91</v>
      </c>
      <c r="O127" s="21">
        <v>925.0</v>
      </c>
      <c r="P127" s="22" t="s">
        <v>771</v>
      </c>
      <c r="Q127" s="6" t="s">
        <v>772</v>
      </c>
      <c r="R127" s="6" t="s">
        <v>773</v>
      </c>
      <c r="S127" s="29">
        <f t="shared" si="5"/>
        <v>252236667.5</v>
      </c>
      <c r="T127" s="29">
        <f t="shared" si="6"/>
        <v>378355001.3</v>
      </c>
      <c r="U127" s="29">
        <f t="shared" si="7"/>
        <v>713829769.1</v>
      </c>
      <c r="V127" s="29">
        <f t="shared" si="8"/>
        <v>1070744654</v>
      </c>
      <c r="W127" s="44">
        <v>0.02</v>
      </c>
    </row>
    <row r="128" ht="22.5" customHeight="1">
      <c r="A128" s="31" t="s">
        <v>774</v>
      </c>
      <c r="B128" s="12">
        <f t="shared" si="1"/>
        <v>13153004.48</v>
      </c>
      <c r="C128" s="13" t="s">
        <v>775</v>
      </c>
      <c r="D128" s="13" t="s">
        <v>776</v>
      </c>
      <c r="E128" s="6" t="s">
        <v>47</v>
      </c>
      <c r="F128" s="14">
        <f t="shared" si="2"/>
        <v>11274003840</v>
      </c>
      <c r="G128" s="15">
        <v>857.1428571428571</v>
      </c>
      <c r="H128" s="14">
        <v>4.3066694668799995E10</v>
      </c>
      <c r="I128" s="15">
        <f t="shared" si="3"/>
        <v>3274.285714</v>
      </c>
      <c r="J128" s="16">
        <v>12.32</v>
      </c>
      <c r="K128" s="17">
        <v>1067614.0</v>
      </c>
      <c r="L128" s="18">
        <f t="shared" si="4"/>
        <v>412207.9006</v>
      </c>
      <c r="M128" s="19">
        <v>0.492</v>
      </c>
      <c r="N128" s="20">
        <v>1.76</v>
      </c>
      <c r="O128" s="21">
        <v>941.0</v>
      </c>
      <c r="P128" s="22" t="s">
        <v>777</v>
      </c>
      <c r="Q128" s="6" t="s">
        <v>778</v>
      </c>
      <c r="R128" s="6" t="s">
        <v>779</v>
      </c>
      <c r="S128" s="23">
        <f t="shared" si="5"/>
        <v>225480076.8</v>
      </c>
      <c r="T128" s="23">
        <f t="shared" si="6"/>
        <v>338220115.2</v>
      </c>
      <c r="U128" s="23">
        <f t="shared" si="7"/>
        <v>861333893.4</v>
      </c>
      <c r="V128" s="23">
        <f t="shared" si="8"/>
        <v>1292000840</v>
      </c>
      <c r="W128" s="47">
        <v>0.02</v>
      </c>
    </row>
    <row r="129" ht="22.5" customHeight="1">
      <c r="A129" s="11" t="s">
        <v>780</v>
      </c>
      <c r="B129" s="36">
        <f t="shared" si="1"/>
        <v>945980.451</v>
      </c>
      <c r="C129" s="37" t="s">
        <v>781</v>
      </c>
      <c r="D129" s="37" t="s">
        <v>782</v>
      </c>
      <c r="E129" s="6" t="s">
        <v>121</v>
      </c>
      <c r="F129" s="14">
        <f t="shared" si="2"/>
        <v>11250410364</v>
      </c>
      <c r="G129" s="15">
        <v>11892.8571428571</v>
      </c>
      <c r="H129" s="14">
        <v>1.9238201721890285E10</v>
      </c>
      <c r="I129" s="15">
        <f t="shared" si="3"/>
        <v>20336.78571</v>
      </c>
      <c r="J129" s="16">
        <v>449.1835</v>
      </c>
      <c r="K129" s="17">
        <v>2106.0</v>
      </c>
      <c r="L129" s="18">
        <f t="shared" si="4"/>
        <v>813.130812</v>
      </c>
      <c r="M129" s="19">
        <v>0.858</v>
      </c>
      <c r="N129" s="20">
        <v>9.22</v>
      </c>
      <c r="O129" s="21">
        <v>613.0</v>
      </c>
      <c r="P129" s="22" t="s">
        <v>783</v>
      </c>
      <c r="Q129" s="6" t="s">
        <v>784</v>
      </c>
      <c r="R129" s="6" t="s">
        <v>785</v>
      </c>
      <c r="S129" s="39">
        <f t="shared" si="5"/>
        <v>225008207.3</v>
      </c>
      <c r="T129" s="39">
        <f t="shared" si="6"/>
        <v>337512310.9</v>
      </c>
      <c r="U129" s="39">
        <f t="shared" si="7"/>
        <v>384764034.4</v>
      </c>
      <c r="V129" s="39">
        <f t="shared" si="8"/>
        <v>577146051.7</v>
      </c>
      <c r="W129" s="49">
        <v>0.02</v>
      </c>
    </row>
    <row r="130" ht="22.5" customHeight="1">
      <c r="A130" s="11" t="s">
        <v>786</v>
      </c>
      <c r="B130" s="12">
        <f t="shared" si="1"/>
        <v>1405386.767</v>
      </c>
      <c r="C130" s="45" t="s">
        <v>787</v>
      </c>
      <c r="D130" s="13" t="s">
        <v>788</v>
      </c>
      <c r="E130" s="6" t="s">
        <v>26</v>
      </c>
      <c r="F130" s="14">
        <f t="shared" si="2"/>
        <v>10205784859</v>
      </c>
      <c r="G130" s="15">
        <v>7261.9047619047615</v>
      </c>
      <c r="H130" s="14">
        <v>2.081980111134E10</v>
      </c>
      <c r="I130" s="15">
        <f t="shared" si="3"/>
        <v>14814.28571</v>
      </c>
      <c r="J130" s="16">
        <v>55.0506</v>
      </c>
      <c r="K130" s="17">
        <v>25529.0</v>
      </c>
      <c r="L130" s="18">
        <f t="shared" si="4"/>
        <v>9856.797958</v>
      </c>
      <c r="M130" s="19">
        <v>0.815</v>
      </c>
      <c r="N130" s="20">
        <v>7.36</v>
      </c>
      <c r="O130" s="21">
        <v>241.0</v>
      </c>
      <c r="P130" s="22" t="s">
        <v>789</v>
      </c>
      <c r="Q130" s="6" t="s">
        <v>790</v>
      </c>
      <c r="R130" s="6" t="s">
        <v>786</v>
      </c>
      <c r="S130" s="23">
        <f t="shared" si="5"/>
        <v>204115697.2</v>
      </c>
      <c r="T130" s="23">
        <f t="shared" si="6"/>
        <v>306173545.8</v>
      </c>
      <c r="U130" s="23">
        <f t="shared" si="7"/>
        <v>416396022.2</v>
      </c>
      <c r="V130" s="23">
        <f t="shared" si="8"/>
        <v>624594033.3</v>
      </c>
      <c r="W130" s="47">
        <v>0.02</v>
      </c>
    </row>
    <row r="131" ht="22.5" customHeight="1">
      <c r="A131" s="11" t="s">
        <v>791</v>
      </c>
      <c r="B131" s="25">
        <f t="shared" si="1"/>
        <v>22993720.48</v>
      </c>
      <c r="C131" s="27" t="s">
        <v>792</v>
      </c>
      <c r="D131" s="27" t="s">
        <v>793</v>
      </c>
      <c r="E131" s="6" t="s">
        <v>47</v>
      </c>
      <c r="F131" s="14">
        <f t="shared" si="2"/>
        <v>10036941481</v>
      </c>
      <c r="G131" s="15">
        <v>436.5079365079365</v>
      </c>
      <c r="H131" s="14">
        <v>3.3222276302477776E10</v>
      </c>
      <c r="I131" s="15">
        <f t="shared" si="3"/>
        <v>1444.84127</v>
      </c>
      <c r="J131" s="16">
        <v>11.164</v>
      </c>
      <c r="K131" s="17">
        <v>2059631.0</v>
      </c>
      <c r="L131" s="18">
        <f t="shared" si="4"/>
        <v>795227.6484</v>
      </c>
      <c r="M131" s="19">
        <v>0.595</v>
      </c>
      <c r="N131" s="20">
        <v>6.57</v>
      </c>
      <c r="O131" s="21">
        <v>80.0</v>
      </c>
      <c r="P131" s="22" t="s">
        <v>794</v>
      </c>
      <c r="Q131" s="6" t="s">
        <v>795</v>
      </c>
      <c r="R131" s="6" t="s">
        <v>796</v>
      </c>
      <c r="S131" s="29">
        <f t="shared" si="5"/>
        <v>200738829.6</v>
      </c>
      <c r="T131" s="29">
        <f t="shared" si="6"/>
        <v>301108244.4</v>
      </c>
      <c r="U131" s="29">
        <f t="shared" si="7"/>
        <v>664445526</v>
      </c>
      <c r="V131" s="29">
        <f t="shared" si="8"/>
        <v>996668289.1</v>
      </c>
      <c r="W131" s="44">
        <v>0.02</v>
      </c>
    </row>
    <row r="132" ht="22.5" customHeight="1">
      <c r="A132" s="11" t="s">
        <v>797</v>
      </c>
      <c r="B132" s="12">
        <f t="shared" si="1"/>
        <v>9975074.746</v>
      </c>
      <c r="C132" s="13" t="s">
        <v>798</v>
      </c>
      <c r="D132" s="13" t="s">
        <v>799</v>
      </c>
      <c r="E132" s="6" t="s">
        <v>40</v>
      </c>
      <c r="F132" s="14">
        <f t="shared" si="2"/>
        <v>8866733108</v>
      </c>
      <c r="G132" s="15">
        <v>888.8888888888889</v>
      </c>
      <c r="H132" s="14">
        <v>2.784154195772445E10</v>
      </c>
      <c r="I132" s="15">
        <f t="shared" si="3"/>
        <v>2791.111111</v>
      </c>
      <c r="J132" s="16">
        <v>46.5842</v>
      </c>
      <c r="K132" s="17">
        <v>214130.0</v>
      </c>
      <c r="L132" s="18">
        <f t="shared" si="4"/>
        <v>82676.02126</v>
      </c>
      <c r="M132" s="19">
        <v>0.628</v>
      </c>
      <c r="N132" s="20">
        <v>2.96</v>
      </c>
      <c r="O132" s="21">
        <v>920.0</v>
      </c>
      <c r="P132" s="22" t="s">
        <v>800</v>
      </c>
      <c r="Q132" s="6" t="s">
        <v>801</v>
      </c>
      <c r="R132" s="6" t="s">
        <v>802</v>
      </c>
      <c r="S132" s="23">
        <f t="shared" si="5"/>
        <v>177334662.2</v>
      </c>
      <c r="T132" s="23">
        <f t="shared" si="6"/>
        <v>266001993.2</v>
      </c>
      <c r="U132" s="23">
        <f t="shared" si="7"/>
        <v>556830839.2</v>
      </c>
      <c r="V132" s="23">
        <f t="shared" si="8"/>
        <v>835246258.7</v>
      </c>
      <c r="W132" s="47">
        <v>0.02</v>
      </c>
    </row>
    <row r="133" ht="22.5" customHeight="1">
      <c r="A133" s="11" t="s">
        <v>803</v>
      </c>
      <c r="B133" s="36">
        <f t="shared" si="1"/>
        <v>2166682.557</v>
      </c>
      <c r="C133" s="37" t="s">
        <v>804</v>
      </c>
      <c r="D133" s="37" t="s">
        <v>805</v>
      </c>
      <c r="E133" s="6" t="s">
        <v>26</v>
      </c>
      <c r="F133" s="14">
        <f t="shared" si="2"/>
        <v>8683926123</v>
      </c>
      <c r="G133" s="15">
        <v>4007.936507936508</v>
      </c>
      <c r="H133" s="14">
        <v>2.0754583433761353E10</v>
      </c>
      <c r="I133" s="15">
        <f t="shared" si="3"/>
        <v>9578.968254</v>
      </c>
      <c r="J133" s="16">
        <v>63.5279</v>
      </c>
      <c r="K133" s="17">
        <v>34106.0</v>
      </c>
      <c r="L133" s="18">
        <f t="shared" si="4"/>
        <v>13168.39481</v>
      </c>
      <c r="M133" s="19">
        <v>0.762</v>
      </c>
      <c r="N133" s="20">
        <v>5.19</v>
      </c>
      <c r="O133" s="21">
        <v>245.0</v>
      </c>
      <c r="P133" s="22" t="s">
        <v>806</v>
      </c>
      <c r="Q133" s="6" t="s">
        <v>807</v>
      </c>
      <c r="R133" s="6" t="s">
        <v>803</v>
      </c>
      <c r="S133" s="39">
        <f t="shared" si="5"/>
        <v>173678522.5</v>
      </c>
      <c r="T133" s="39">
        <f t="shared" si="6"/>
        <v>260517783.7</v>
      </c>
      <c r="U133" s="39">
        <f t="shared" si="7"/>
        <v>415091668.7</v>
      </c>
      <c r="V133" s="39">
        <f t="shared" si="8"/>
        <v>622637503</v>
      </c>
      <c r="W133" s="49">
        <v>0.02</v>
      </c>
    </row>
    <row r="134" ht="22.5" customHeight="1">
      <c r="A134" s="31" t="s">
        <v>808</v>
      </c>
      <c r="B134" s="32">
        <f t="shared" si="1"/>
        <v>4070554.937</v>
      </c>
      <c r="C134" s="33" t="s">
        <v>809</v>
      </c>
      <c r="D134" s="33" t="s">
        <v>810</v>
      </c>
      <c r="E134" s="6" t="s">
        <v>33</v>
      </c>
      <c r="F134" s="14">
        <f t="shared" si="2"/>
        <v>8593393756</v>
      </c>
      <c r="G134" s="15">
        <v>2111.1111111111113</v>
      </c>
      <c r="H134" s="14">
        <v>2.4920841892077785E10</v>
      </c>
      <c r="I134" s="15">
        <f t="shared" si="3"/>
        <v>6122.222222</v>
      </c>
      <c r="J134" s="16">
        <v>32.3278</v>
      </c>
      <c r="K134" s="17">
        <v>125915.0</v>
      </c>
      <c r="L134" s="18">
        <f t="shared" si="4"/>
        <v>48616.03333</v>
      </c>
      <c r="M134" s="19">
        <v>0.67</v>
      </c>
      <c r="N134" s="20">
        <v>2.58</v>
      </c>
      <c r="O134" s="21">
        <v>512.0</v>
      </c>
      <c r="P134" s="22" t="s">
        <v>811</v>
      </c>
      <c r="Q134" s="6" t="s">
        <v>812</v>
      </c>
      <c r="R134" s="6" t="s">
        <v>813</v>
      </c>
      <c r="S134" s="34">
        <f t="shared" si="5"/>
        <v>171867875.1</v>
      </c>
      <c r="T134" s="34">
        <f t="shared" si="6"/>
        <v>257801812.7</v>
      </c>
      <c r="U134" s="34">
        <f t="shared" si="7"/>
        <v>498416837.8</v>
      </c>
      <c r="V134" s="34">
        <f t="shared" si="8"/>
        <v>747625256.8</v>
      </c>
      <c r="W134" s="50">
        <v>0.02</v>
      </c>
    </row>
    <row r="135" ht="22.5" customHeight="1">
      <c r="A135" s="31" t="s">
        <v>814</v>
      </c>
      <c r="B135" s="25">
        <f t="shared" si="1"/>
        <v>345037.0323</v>
      </c>
      <c r="C135" s="26" t="s">
        <v>815</v>
      </c>
      <c r="D135" s="27" t="s">
        <v>816</v>
      </c>
      <c r="E135" s="6" t="s">
        <v>33</v>
      </c>
      <c r="F135" s="14">
        <f t="shared" si="2"/>
        <v>8502698296</v>
      </c>
      <c r="G135" s="15">
        <v>24642.85714285714</v>
      </c>
      <c r="H135" s="14">
        <v>1.01182109721975E10</v>
      </c>
      <c r="I135" s="15">
        <f t="shared" si="3"/>
        <v>29325</v>
      </c>
      <c r="J135" s="16">
        <v>172.4323</v>
      </c>
      <c r="K135" s="17">
        <v>2001.0</v>
      </c>
      <c r="L135" s="18">
        <f t="shared" si="4"/>
        <v>772.590102</v>
      </c>
      <c r="M135" s="19">
        <v>0.899</v>
      </c>
      <c r="N135" s="20">
        <v>9.37</v>
      </c>
      <c r="O135" s="21">
        <v>511.0</v>
      </c>
      <c r="P135" s="22" t="s">
        <v>817</v>
      </c>
      <c r="Q135" s="6" t="s">
        <v>818</v>
      </c>
      <c r="R135" s="6" t="s">
        <v>819</v>
      </c>
      <c r="S135" s="29">
        <f t="shared" si="5"/>
        <v>170053965.9</v>
      </c>
      <c r="T135" s="29">
        <f t="shared" si="6"/>
        <v>255080948.9</v>
      </c>
      <c r="U135" s="29">
        <f t="shared" si="7"/>
        <v>202364219.4</v>
      </c>
      <c r="V135" s="29">
        <f t="shared" si="8"/>
        <v>303546329.2</v>
      </c>
      <c r="W135" s="44">
        <v>0.02</v>
      </c>
    </row>
    <row r="136" ht="22.5" customHeight="1">
      <c r="A136" s="11" t="s">
        <v>820</v>
      </c>
      <c r="B136" s="12">
        <f t="shared" si="1"/>
        <v>447879.07</v>
      </c>
      <c r="C136" s="13" t="s">
        <v>821</v>
      </c>
      <c r="D136" s="13" t="s">
        <v>822</v>
      </c>
      <c r="E136" s="6" t="s">
        <v>121</v>
      </c>
      <c r="F136" s="14">
        <f t="shared" si="2"/>
        <v>8282208199</v>
      </c>
      <c r="G136" s="15">
        <v>18492.06349206349</v>
      </c>
      <c r="H136" s="14">
        <v>1.2257668134825397E10</v>
      </c>
      <c r="I136" s="15">
        <f t="shared" si="3"/>
        <v>27368.25397</v>
      </c>
      <c r="J136" s="16">
        <v>175.57</v>
      </c>
      <c r="K136" s="17">
        <v>2551.0</v>
      </c>
      <c r="L136" s="18">
        <f t="shared" si="4"/>
        <v>984.946202</v>
      </c>
      <c r="M136" s="19">
        <v>0.871</v>
      </c>
      <c r="N136" s="20">
        <v>7.33</v>
      </c>
      <c r="O136" s="21">
        <v>650.0</v>
      </c>
      <c r="P136" s="22" t="s">
        <v>823</v>
      </c>
      <c r="Q136" s="6" t="s">
        <v>824</v>
      </c>
      <c r="R136" s="6" t="s">
        <v>825</v>
      </c>
      <c r="S136" s="23">
        <f t="shared" si="5"/>
        <v>165644164</v>
      </c>
      <c r="T136" s="23">
        <f t="shared" si="6"/>
        <v>248466246</v>
      </c>
      <c r="U136" s="23">
        <f t="shared" si="7"/>
        <v>245153362.7</v>
      </c>
      <c r="V136" s="23">
        <f t="shared" si="8"/>
        <v>367730044</v>
      </c>
      <c r="W136" s="47">
        <v>0.02</v>
      </c>
    </row>
    <row r="137" ht="22.5" customHeight="1">
      <c r="A137" s="11" t="s">
        <v>826</v>
      </c>
      <c r="B137" s="36">
        <f t="shared" si="1"/>
        <v>27332520.6</v>
      </c>
      <c r="C137" s="37" t="s">
        <v>827</v>
      </c>
      <c r="D137" s="37" t="s">
        <v>828</v>
      </c>
      <c r="E137" s="6" t="s">
        <v>47</v>
      </c>
      <c r="F137" s="14">
        <f t="shared" si="2"/>
        <v>8243141133</v>
      </c>
      <c r="G137" s="15">
        <v>301.58730158730157</v>
      </c>
      <c r="H137" s="14">
        <v>3.4291467114666668E10</v>
      </c>
      <c r="I137" s="15">
        <f t="shared" si="3"/>
        <v>1254.603175</v>
      </c>
      <c r="J137" s="16">
        <v>46.2</v>
      </c>
      <c r="K137" s="17">
        <v>591613.0</v>
      </c>
      <c r="L137" s="18">
        <f t="shared" si="4"/>
        <v>228422.9625</v>
      </c>
      <c r="M137" s="19">
        <v>0.427</v>
      </c>
      <c r="N137" s="20">
        <v>1.98</v>
      </c>
      <c r="O137" s="21">
        <v>949.0</v>
      </c>
      <c r="P137" s="6" t="s">
        <v>829</v>
      </c>
      <c r="Q137" s="6" t="s">
        <v>830</v>
      </c>
      <c r="R137" s="6" t="s">
        <v>831</v>
      </c>
      <c r="S137" s="39">
        <f t="shared" si="5"/>
        <v>164862822.7</v>
      </c>
      <c r="T137" s="39">
        <f t="shared" si="6"/>
        <v>247294234</v>
      </c>
      <c r="U137" s="39">
        <f t="shared" si="7"/>
        <v>685829342.3</v>
      </c>
      <c r="V137" s="39">
        <f t="shared" si="8"/>
        <v>1028744013</v>
      </c>
      <c r="W137" s="49">
        <v>0.02</v>
      </c>
    </row>
    <row r="138" ht="22.5" customHeight="1">
      <c r="A138" s="11" t="s">
        <v>832</v>
      </c>
      <c r="B138" s="32">
        <f t="shared" si="1"/>
        <v>7437016.588</v>
      </c>
      <c r="C138" s="33" t="s">
        <v>833</v>
      </c>
      <c r="D138" s="33" t="s">
        <v>834</v>
      </c>
      <c r="E138" s="6" t="s">
        <v>47</v>
      </c>
      <c r="F138" s="14">
        <f t="shared" si="2"/>
        <v>7879696147</v>
      </c>
      <c r="G138" s="15">
        <v>1059.5238095238094</v>
      </c>
      <c r="H138" s="14">
        <v>3.222795724045095E10</v>
      </c>
      <c r="I138" s="15">
        <f t="shared" si="3"/>
        <v>4333.452381</v>
      </c>
      <c r="J138" s="16">
        <v>21.946</v>
      </c>
      <c r="K138" s="17">
        <v>338878.0</v>
      </c>
      <c r="L138" s="18">
        <f t="shared" si="4"/>
        <v>130841.4736</v>
      </c>
      <c r="M138" s="19">
        <v>0.456</v>
      </c>
      <c r="N138" s="20">
        <v>2.87</v>
      </c>
      <c r="O138" s="21">
        <v>931.0</v>
      </c>
      <c r="P138" s="22" t="s">
        <v>835</v>
      </c>
      <c r="Q138" s="6" t="s">
        <v>836</v>
      </c>
      <c r="R138" s="6" t="s">
        <v>837</v>
      </c>
      <c r="S138" s="34">
        <f t="shared" si="5"/>
        <v>157593922.9</v>
      </c>
      <c r="T138" s="34">
        <f t="shared" si="6"/>
        <v>236390884.4</v>
      </c>
      <c r="U138" s="34">
        <f t="shared" si="7"/>
        <v>644559144.8</v>
      </c>
      <c r="V138" s="34">
        <f t="shared" si="8"/>
        <v>966838717.2</v>
      </c>
      <c r="W138" s="50">
        <v>0.02</v>
      </c>
    </row>
    <row r="139" ht="22.5" customHeight="1">
      <c r="A139" s="31" t="s">
        <v>838</v>
      </c>
      <c r="B139" s="25">
        <f t="shared" si="1"/>
        <v>376608.9492</v>
      </c>
      <c r="C139" s="27" t="s">
        <v>839</v>
      </c>
      <c r="D139" s="27" t="s">
        <v>840</v>
      </c>
      <c r="E139" s="6" t="s">
        <v>121</v>
      </c>
      <c r="F139" s="14">
        <f t="shared" si="2"/>
        <v>7143614195</v>
      </c>
      <c r="G139" s="15">
        <v>18968.25396825397</v>
      </c>
      <c r="H139" s="14">
        <v>1.4858717525897144E10</v>
      </c>
      <c r="I139" s="15">
        <f t="shared" si="3"/>
        <v>39453.96825</v>
      </c>
      <c r="J139" s="16">
        <v>10.3938</v>
      </c>
      <c r="K139" s="17">
        <v>36234.0</v>
      </c>
      <c r="L139" s="18">
        <f t="shared" si="4"/>
        <v>13990.01987</v>
      </c>
      <c r="M139" s="19">
        <v>0.763</v>
      </c>
      <c r="N139" s="20">
        <v>6.43</v>
      </c>
      <c r="O139" s="21">
        <v>612.0</v>
      </c>
      <c r="P139" s="22" t="s">
        <v>841</v>
      </c>
      <c r="Q139" s="6" t="s">
        <v>842</v>
      </c>
      <c r="R139" s="6" t="s">
        <v>843</v>
      </c>
      <c r="S139" s="29">
        <f t="shared" si="5"/>
        <v>142872283.9</v>
      </c>
      <c r="T139" s="29">
        <f t="shared" si="6"/>
        <v>214308425.9</v>
      </c>
      <c r="U139" s="29">
        <f t="shared" si="7"/>
        <v>297174350.5</v>
      </c>
      <c r="V139" s="29">
        <f t="shared" si="8"/>
        <v>445761525.8</v>
      </c>
      <c r="W139" s="44">
        <v>0.02</v>
      </c>
    </row>
    <row r="140" ht="22.5" customHeight="1">
      <c r="A140" s="31" t="s">
        <v>844</v>
      </c>
      <c r="B140" s="12">
        <f t="shared" si="1"/>
        <v>3103321.76</v>
      </c>
      <c r="C140" s="13" t="s">
        <v>845</v>
      </c>
      <c r="D140" s="13" t="s">
        <v>846</v>
      </c>
      <c r="E140" s="6" t="s">
        <v>54</v>
      </c>
      <c r="F140" s="14">
        <f t="shared" si="2"/>
        <v>6773122889</v>
      </c>
      <c r="G140" s="15">
        <v>2182.5396825396824</v>
      </c>
      <c r="H140" s="14">
        <v>1.9845250064444447E10</v>
      </c>
      <c r="I140" s="15">
        <f t="shared" si="3"/>
        <v>6394.84127</v>
      </c>
      <c r="J140" s="16">
        <v>1.54</v>
      </c>
      <c r="K140" s="17">
        <v>2015144.0</v>
      </c>
      <c r="L140" s="18">
        <f t="shared" si="4"/>
        <v>778051.1287</v>
      </c>
      <c r="M140" s="19">
        <v>0.664</v>
      </c>
      <c r="N140" s="20">
        <v>5.91</v>
      </c>
      <c r="O140" s="21">
        <v>333.0</v>
      </c>
      <c r="P140" s="22" t="s">
        <v>847</v>
      </c>
      <c r="Q140" s="6" t="s">
        <v>848</v>
      </c>
      <c r="R140" s="6" t="s">
        <v>849</v>
      </c>
      <c r="S140" s="23">
        <f t="shared" si="5"/>
        <v>135462457.8</v>
      </c>
      <c r="T140" s="23">
        <f t="shared" si="6"/>
        <v>203193686.7</v>
      </c>
      <c r="U140" s="23">
        <f t="shared" si="7"/>
        <v>396905001.3</v>
      </c>
      <c r="V140" s="23">
        <f t="shared" si="8"/>
        <v>595357501.9</v>
      </c>
      <c r="W140" s="47">
        <v>0.02</v>
      </c>
    </row>
    <row r="141" ht="22.5" customHeight="1">
      <c r="A141" s="11" t="s">
        <v>850</v>
      </c>
      <c r="B141" s="25">
        <f t="shared" si="1"/>
        <v>759042.837</v>
      </c>
      <c r="C141" s="27" t="s">
        <v>851</v>
      </c>
      <c r="D141" s="27" t="s">
        <v>852</v>
      </c>
      <c r="E141" s="6" t="s">
        <v>33</v>
      </c>
      <c r="F141" s="14">
        <f t="shared" si="2"/>
        <v>6445839965</v>
      </c>
      <c r="G141" s="15">
        <v>8492.063492063491</v>
      </c>
      <c r="H141" s="14">
        <v>1.2891679929999998E10</v>
      </c>
      <c r="I141" s="15">
        <f t="shared" si="3"/>
        <v>16984.12698</v>
      </c>
      <c r="J141" s="16">
        <v>140.0965</v>
      </c>
      <c r="K141" s="17">
        <v>5418.0</v>
      </c>
      <c r="L141" s="18">
        <f t="shared" si="4"/>
        <v>2091.900636</v>
      </c>
      <c r="M141" s="19">
        <v>0.818</v>
      </c>
      <c r="N141" s="20">
        <v>6.43</v>
      </c>
      <c r="O141" s="21">
        <v>123.0</v>
      </c>
      <c r="P141" s="6" t="s">
        <v>853</v>
      </c>
      <c r="Q141" s="6" t="s">
        <v>854</v>
      </c>
      <c r="R141" s="1" t="s">
        <v>855</v>
      </c>
      <c r="S141" s="29">
        <f t="shared" si="5"/>
        <v>128916799.3</v>
      </c>
      <c r="T141" s="29">
        <f t="shared" si="6"/>
        <v>193375199</v>
      </c>
      <c r="U141" s="29">
        <f t="shared" si="7"/>
        <v>257833598.6</v>
      </c>
      <c r="V141" s="29">
        <f t="shared" si="8"/>
        <v>386750397.9</v>
      </c>
      <c r="W141" s="44">
        <v>0.02</v>
      </c>
    </row>
    <row r="142" ht="22.5" customHeight="1">
      <c r="A142" s="11" t="s">
        <v>856</v>
      </c>
      <c r="B142" s="32">
        <f t="shared" si="1"/>
        <v>9388939.206</v>
      </c>
      <c r="C142" s="42" t="s">
        <v>857</v>
      </c>
      <c r="D142" s="33" t="s">
        <v>858</v>
      </c>
      <c r="E142" s="6" t="s">
        <v>47</v>
      </c>
      <c r="F142" s="14">
        <f t="shared" si="2"/>
        <v>6259292804</v>
      </c>
      <c r="G142" s="15">
        <v>666.6666666666666</v>
      </c>
      <c r="H142" s="14">
        <v>1.821454205964E10</v>
      </c>
      <c r="I142" s="15">
        <f t="shared" si="3"/>
        <v>1940</v>
      </c>
      <c r="J142" s="16">
        <v>40.422</v>
      </c>
      <c r="K142" s="17">
        <v>232273.0</v>
      </c>
      <c r="L142" s="18">
        <f t="shared" si="4"/>
        <v>89681.06985</v>
      </c>
      <c r="M142" s="19">
        <v>0.474</v>
      </c>
      <c r="N142" s="20">
        <v>1.35</v>
      </c>
      <c r="O142" s="21">
        <v>911.0</v>
      </c>
      <c r="P142" s="22" t="s">
        <v>859</v>
      </c>
      <c r="Q142" s="6" t="s">
        <v>860</v>
      </c>
      <c r="R142" s="6" t="s">
        <v>861</v>
      </c>
      <c r="S142" s="34">
        <f t="shared" si="5"/>
        <v>125185856.1</v>
      </c>
      <c r="T142" s="34">
        <f t="shared" si="6"/>
        <v>187778784.1</v>
      </c>
      <c r="U142" s="34">
        <f t="shared" si="7"/>
        <v>364290841.2</v>
      </c>
      <c r="V142" s="34">
        <f t="shared" si="8"/>
        <v>546436261.8</v>
      </c>
      <c r="W142" s="50">
        <v>0.02</v>
      </c>
    </row>
    <row r="143" ht="22.5" customHeight="1">
      <c r="A143" s="11" t="s">
        <v>862</v>
      </c>
      <c r="B143" s="25">
        <f t="shared" si="1"/>
        <v>3307616.822</v>
      </c>
      <c r="C143" s="27" t="s">
        <v>863</v>
      </c>
      <c r="D143" s="27" t="s">
        <v>864</v>
      </c>
      <c r="E143" s="6" t="s">
        <v>33</v>
      </c>
      <c r="F143" s="14">
        <f t="shared" si="2"/>
        <v>5630823875</v>
      </c>
      <c r="G143" s="15">
        <v>1702.3809523809523</v>
      </c>
      <c r="H143" s="14">
        <v>1.7399245773338E10</v>
      </c>
      <c r="I143" s="15">
        <f t="shared" si="3"/>
        <v>5260.357143</v>
      </c>
      <c r="J143" s="16">
        <v>23.0924</v>
      </c>
      <c r="K143" s="17">
        <v>143234.0</v>
      </c>
      <c r="L143" s="18">
        <f t="shared" si="4"/>
        <v>55302.93387</v>
      </c>
      <c r="M143" s="19">
        <v>0.634</v>
      </c>
      <c r="N143" s="20">
        <v>3.68</v>
      </c>
      <c r="O143" s="21">
        <v>521.0</v>
      </c>
      <c r="P143" s="22" t="s">
        <v>865</v>
      </c>
      <c r="Q143" s="6" t="s">
        <v>866</v>
      </c>
      <c r="R143" s="6" t="s">
        <v>867</v>
      </c>
      <c r="S143" s="29">
        <f t="shared" si="5"/>
        <v>112616477.5</v>
      </c>
      <c r="T143" s="29">
        <f t="shared" si="6"/>
        <v>168924716.2</v>
      </c>
      <c r="U143" s="29">
        <f t="shared" si="7"/>
        <v>347984915.5</v>
      </c>
      <c r="V143" s="29">
        <f t="shared" si="8"/>
        <v>521977373.2</v>
      </c>
      <c r="W143" s="44">
        <v>0.02</v>
      </c>
    </row>
    <row r="144" ht="22.5" customHeight="1">
      <c r="A144" s="57" t="s">
        <v>868</v>
      </c>
      <c r="B144" s="12">
        <f t="shared" si="1"/>
        <v>2020940.075</v>
      </c>
      <c r="C144" s="13" t="s">
        <v>869</v>
      </c>
      <c r="D144" s="13" t="s">
        <v>870</v>
      </c>
      <c r="E144" s="6" t="s">
        <v>54</v>
      </c>
      <c r="F144" s="14">
        <f t="shared" si="2"/>
        <v>5453330361</v>
      </c>
      <c r="G144" s="15">
        <v>2698.4126984126983</v>
      </c>
      <c r="H144" s="14">
        <v>1.3796925813611109E10</v>
      </c>
      <c r="I144" s="15">
        <f t="shared" si="3"/>
        <v>6826.984127</v>
      </c>
      <c r="J144" s="16">
        <v>2.695</v>
      </c>
      <c r="K144" s="17">
        <v>749885.0</v>
      </c>
      <c r="L144" s="18">
        <f t="shared" si="4"/>
        <v>289532.0983</v>
      </c>
      <c r="M144" s="19">
        <v>0.741</v>
      </c>
      <c r="N144" s="20">
        <v>3.27</v>
      </c>
      <c r="O144" s="21">
        <v>31.0</v>
      </c>
      <c r="P144" s="22" t="s">
        <v>871</v>
      </c>
      <c r="Q144" s="6" t="s">
        <v>872</v>
      </c>
      <c r="R144" s="6" t="s">
        <v>873</v>
      </c>
      <c r="S144" s="23">
        <f t="shared" si="5"/>
        <v>109066607.2</v>
      </c>
      <c r="T144" s="23">
        <f t="shared" si="6"/>
        <v>163599910.8</v>
      </c>
      <c r="U144" s="23">
        <f t="shared" si="7"/>
        <v>275938516.3</v>
      </c>
      <c r="V144" s="23">
        <f t="shared" si="8"/>
        <v>413907774.4</v>
      </c>
      <c r="W144" s="47">
        <v>0.02</v>
      </c>
    </row>
    <row r="145" ht="22.5" customHeight="1">
      <c r="A145" s="31" t="s">
        <v>874</v>
      </c>
      <c r="B145" s="25">
        <f t="shared" si="1"/>
        <v>133064.855</v>
      </c>
      <c r="C145" s="27" t="s">
        <v>875</v>
      </c>
      <c r="D145" s="27" t="s">
        <v>876</v>
      </c>
      <c r="E145" s="6" t="s">
        <v>54</v>
      </c>
      <c r="F145" s="14">
        <f t="shared" si="2"/>
        <v>5438761931</v>
      </c>
      <c r="G145" s="15">
        <v>40873.01587301587</v>
      </c>
      <c r="H145" s="14">
        <v>4.361887068305556E9</v>
      </c>
      <c r="I145" s="15">
        <f t="shared" si="3"/>
        <v>32780.15873</v>
      </c>
      <c r="J145" s="16">
        <v>0.385</v>
      </c>
      <c r="K145" s="17">
        <v>345623.0</v>
      </c>
      <c r="L145" s="18">
        <f t="shared" si="4"/>
        <v>133445.7315</v>
      </c>
      <c r="M145" s="19">
        <v>0.952</v>
      </c>
      <c r="N145" s="20">
        <v>9.35</v>
      </c>
      <c r="O145" s="21">
        <v>33.0</v>
      </c>
      <c r="P145" s="6" t="s">
        <v>877</v>
      </c>
      <c r="Q145" s="6" t="s">
        <v>874</v>
      </c>
      <c r="R145" s="6" t="s">
        <v>878</v>
      </c>
      <c r="S145" s="29">
        <f t="shared" si="5"/>
        <v>108775238.6</v>
      </c>
      <c r="T145" s="29">
        <f t="shared" si="6"/>
        <v>163162857.9</v>
      </c>
      <c r="U145" s="29">
        <f t="shared" si="7"/>
        <v>87237741.37</v>
      </c>
      <c r="V145" s="29">
        <f t="shared" si="8"/>
        <v>130856612</v>
      </c>
      <c r="W145" s="44">
        <v>0.02</v>
      </c>
    </row>
    <row r="146" ht="22.5" customHeight="1">
      <c r="A146" s="43" t="s">
        <v>879</v>
      </c>
      <c r="B146" s="12">
        <f t="shared" si="1"/>
        <v>2549416.1</v>
      </c>
      <c r="C146" s="45" t="s">
        <v>880</v>
      </c>
      <c r="D146" s="13" t="s">
        <v>881</v>
      </c>
      <c r="E146" s="6" t="s">
        <v>47</v>
      </c>
      <c r="F146" s="14">
        <f t="shared" si="2"/>
        <v>4856030667</v>
      </c>
      <c r="G146" s="15">
        <v>1904.7619047619048</v>
      </c>
      <c r="H146" s="14">
        <v>1.6073461506666664E10</v>
      </c>
      <c r="I146" s="15">
        <f t="shared" si="3"/>
        <v>6304.761905</v>
      </c>
      <c r="J146" s="16">
        <v>10.78</v>
      </c>
      <c r="K146" s="17">
        <v>236495.0</v>
      </c>
      <c r="L146" s="18">
        <f t="shared" si="4"/>
        <v>91311.19249</v>
      </c>
      <c r="M146" s="19">
        <v>0.589</v>
      </c>
      <c r="N146" s="20">
        <v>2.44</v>
      </c>
      <c r="O146" s="21">
        <v>930.0</v>
      </c>
      <c r="P146" s="22" t="s">
        <v>882</v>
      </c>
      <c r="Q146" s="6" t="s">
        <v>883</v>
      </c>
      <c r="R146" s="6" t="s">
        <v>884</v>
      </c>
      <c r="S146" s="23">
        <f t="shared" si="5"/>
        <v>97120613.33</v>
      </c>
      <c r="T146" s="23">
        <f t="shared" si="6"/>
        <v>145680920</v>
      </c>
      <c r="U146" s="23">
        <f t="shared" si="7"/>
        <v>321469230.1</v>
      </c>
      <c r="V146" s="23">
        <f t="shared" si="8"/>
        <v>482203845.2</v>
      </c>
      <c r="W146" s="47">
        <v>0.02</v>
      </c>
    </row>
    <row r="147" ht="22.5" customHeight="1">
      <c r="A147" s="11" t="s">
        <v>885</v>
      </c>
      <c r="B147" s="36">
        <f t="shared" si="1"/>
        <v>2236563.365</v>
      </c>
      <c r="C147" s="37" t="s">
        <v>886</v>
      </c>
      <c r="D147" s="37" t="s">
        <v>887</v>
      </c>
      <c r="E147" s="6" t="s">
        <v>40</v>
      </c>
      <c r="F147" s="14">
        <f t="shared" si="2"/>
        <v>4286746449</v>
      </c>
      <c r="G147" s="15">
        <v>1916.6666666666667</v>
      </c>
      <c r="H147" s="14">
        <v>9.902384296323751E9</v>
      </c>
      <c r="I147" s="15">
        <f t="shared" si="3"/>
        <v>4427.5</v>
      </c>
      <c r="J147" s="16">
        <v>6.1605</v>
      </c>
      <c r="K147" s="17">
        <v>363049.0</v>
      </c>
      <c r="L147" s="18">
        <f t="shared" si="4"/>
        <v>140173.945</v>
      </c>
      <c r="M147" s="19">
        <v>0.688</v>
      </c>
      <c r="N147" s="20">
        <v>2.38</v>
      </c>
      <c r="O147" s="21">
        <v>924.0</v>
      </c>
      <c r="P147" s="22" t="s">
        <v>888</v>
      </c>
      <c r="Q147" s="6" t="s">
        <v>889</v>
      </c>
      <c r="R147" s="1" t="s">
        <v>890</v>
      </c>
      <c r="S147" s="39">
        <f t="shared" si="5"/>
        <v>85734928.97</v>
      </c>
      <c r="T147" s="39">
        <f t="shared" si="6"/>
        <v>128602393.5</v>
      </c>
      <c r="U147" s="39">
        <f t="shared" si="7"/>
        <v>198047685.9</v>
      </c>
      <c r="V147" s="39">
        <f t="shared" si="8"/>
        <v>297071528.9</v>
      </c>
      <c r="W147" s="49">
        <v>0.02</v>
      </c>
    </row>
    <row r="148" ht="22.5" customHeight="1">
      <c r="A148" s="31" t="s">
        <v>891</v>
      </c>
      <c r="B148" s="12">
        <f t="shared" si="1"/>
        <v>1724423.085</v>
      </c>
      <c r="C148" s="13" t="s">
        <v>892</v>
      </c>
      <c r="D148" s="13" t="s">
        <v>893</v>
      </c>
      <c r="E148" s="6" t="s">
        <v>84</v>
      </c>
      <c r="F148" s="14">
        <f t="shared" si="2"/>
        <v>4215256430</v>
      </c>
      <c r="G148" s="15">
        <v>2444.4444444444443</v>
      </c>
      <c r="H148" s="14">
        <v>1.1381192361E10</v>
      </c>
      <c r="I148" s="15">
        <f t="shared" si="3"/>
        <v>6600</v>
      </c>
      <c r="J148" s="16">
        <v>11.165</v>
      </c>
      <c r="K148" s="17">
        <v>154449.0</v>
      </c>
      <c r="L148" s="18">
        <f t="shared" si="4"/>
        <v>59633.0678</v>
      </c>
      <c r="M148" s="19">
        <v>0.708</v>
      </c>
      <c r="N148" s="20">
        <v>2.56</v>
      </c>
      <c r="O148" s="21">
        <v>733.0</v>
      </c>
      <c r="P148" s="22" t="s">
        <v>894</v>
      </c>
      <c r="Q148" s="6" t="s">
        <v>895</v>
      </c>
      <c r="R148" s="6" t="s">
        <v>896</v>
      </c>
      <c r="S148" s="23">
        <f t="shared" si="5"/>
        <v>84305128.6</v>
      </c>
      <c r="T148" s="23">
        <f t="shared" si="6"/>
        <v>126457692.9</v>
      </c>
      <c r="U148" s="23">
        <f t="shared" si="7"/>
        <v>227623847.2</v>
      </c>
      <c r="V148" s="23">
        <f t="shared" si="8"/>
        <v>341435770.8</v>
      </c>
      <c r="W148" s="47">
        <v>0.02</v>
      </c>
    </row>
    <row r="149" ht="22.5" customHeight="1">
      <c r="A149" s="11" t="s">
        <v>897</v>
      </c>
      <c r="B149" s="36">
        <f t="shared" si="1"/>
        <v>19674606.07</v>
      </c>
      <c r="C149" s="48" t="s">
        <v>898</v>
      </c>
      <c r="D149" s="37" t="s">
        <v>899</v>
      </c>
      <c r="E149" s="6" t="s">
        <v>33</v>
      </c>
      <c r="F149" s="14">
        <f t="shared" si="2"/>
        <v>3841232613</v>
      </c>
      <c r="G149" s="15">
        <v>195.23809523809524</v>
      </c>
      <c r="H149" s="14">
        <v>1.6248413953497599E10</v>
      </c>
      <c r="I149" s="15">
        <f t="shared" si="3"/>
        <v>825.8571429</v>
      </c>
      <c r="J149" s="16">
        <v>25.4016</v>
      </c>
      <c r="K149" s="17">
        <v>774542.0</v>
      </c>
      <c r="L149" s="18">
        <f t="shared" si="4"/>
        <v>299052.2153</v>
      </c>
      <c r="M149" s="19">
        <v>0.414</v>
      </c>
      <c r="N149" s="20">
        <v>3.94</v>
      </c>
      <c r="O149" s="21">
        <v>516.0</v>
      </c>
      <c r="P149" s="22" t="s">
        <v>900</v>
      </c>
      <c r="Q149" s="6" t="s">
        <v>901</v>
      </c>
      <c r="R149" s="6" t="s">
        <v>902</v>
      </c>
      <c r="S149" s="39">
        <f t="shared" si="5"/>
        <v>76824652.26</v>
      </c>
      <c r="T149" s="39">
        <f t="shared" si="6"/>
        <v>115236978.4</v>
      </c>
      <c r="U149" s="39">
        <f t="shared" si="7"/>
        <v>324968279.1</v>
      </c>
      <c r="V149" s="39">
        <f t="shared" si="8"/>
        <v>487452418.6</v>
      </c>
      <c r="W149" s="49">
        <v>0.02</v>
      </c>
    </row>
    <row r="150" ht="22.5" customHeight="1">
      <c r="A150" s="31" t="s">
        <v>903</v>
      </c>
      <c r="B150" s="12">
        <f t="shared" si="1"/>
        <v>1914198.44</v>
      </c>
      <c r="C150" s="13" t="s">
        <v>904</v>
      </c>
      <c r="D150" s="13" t="s">
        <v>605</v>
      </c>
      <c r="E150" s="6" t="s">
        <v>54</v>
      </c>
      <c r="F150" s="14">
        <f t="shared" si="2"/>
        <v>3418211500</v>
      </c>
      <c r="G150" s="15">
        <v>1785.7142857142858</v>
      </c>
      <c r="H150" s="14">
        <v>9.50262797E9</v>
      </c>
      <c r="I150" s="15">
        <f t="shared" si="3"/>
        <v>4964.285714</v>
      </c>
      <c r="J150" s="16">
        <v>1.54</v>
      </c>
      <c r="K150" s="17">
        <v>1242986.0</v>
      </c>
      <c r="L150" s="18">
        <f t="shared" si="4"/>
        <v>479919.3806</v>
      </c>
      <c r="M150" s="19">
        <v>0.695</v>
      </c>
      <c r="N150" s="20">
        <v>2.3</v>
      </c>
      <c r="O150" s="21">
        <v>133.0</v>
      </c>
      <c r="P150" s="22" t="s">
        <v>905</v>
      </c>
      <c r="Q150" s="6" t="s">
        <v>906</v>
      </c>
      <c r="R150" s="6" t="s">
        <v>907</v>
      </c>
      <c r="S150" s="23">
        <f t="shared" si="5"/>
        <v>68364230</v>
      </c>
      <c r="T150" s="23">
        <f t="shared" si="6"/>
        <v>102546345</v>
      </c>
      <c r="U150" s="23">
        <f t="shared" si="7"/>
        <v>190052559.4</v>
      </c>
      <c r="V150" s="23">
        <f t="shared" si="8"/>
        <v>285078839.1</v>
      </c>
      <c r="W150" s="47">
        <v>0.02</v>
      </c>
    </row>
    <row r="151" ht="22.5" customHeight="1">
      <c r="A151" s="31" t="s">
        <v>908</v>
      </c>
      <c r="B151" s="36">
        <f t="shared" si="1"/>
        <v>635532.1569</v>
      </c>
      <c r="C151" s="37" t="s">
        <v>909</v>
      </c>
      <c r="D151" s="37" t="s">
        <v>910</v>
      </c>
      <c r="E151" s="6" t="s">
        <v>26</v>
      </c>
      <c r="F151" s="14">
        <f t="shared" si="2"/>
        <v>2824587364</v>
      </c>
      <c r="G151" s="15">
        <v>4444.444444444444</v>
      </c>
      <c r="H151" s="14">
        <v>6.553042684479999E9</v>
      </c>
      <c r="I151" s="15">
        <f t="shared" si="3"/>
        <v>10311.11111</v>
      </c>
      <c r="J151" s="16">
        <v>34.6509</v>
      </c>
      <c r="K151" s="17">
        <v>18341.0</v>
      </c>
      <c r="L151" s="18">
        <f t="shared" si="4"/>
        <v>7081.496782</v>
      </c>
      <c r="M151" s="19">
        <v>0.774</v>
      </c>
      <c r="N151" s="20">
        <v>6.92</v>
      </c>
      <c r="O151" s="21">
        <v>271.0</v>
      </c>
      <c r="P151" s="22" t="s">
        <v>911</v>
      </c>
      <c r="Q151" s="6" t="s">
        <v>912</v>
      </c>
      <c r="R151" s="6" t="s">
        <v>913</v>
      </c>
      <c r="S151" s="39">
        <f t="shared" si="5"/>
        <v>56491747.28</v>
      </c>
      <c r="T151" s="39">
        <f t="shared" si="6"/>
        <v>84737620.92</v>
      </c>
      <c r="U151" s="39">
        <f t="shared" si="7"/>
        <v>131060853.7</v>
      </c>
      <c r="V151" s="39">
        <f t="shared" si="8"/>
        <v>196591280.5</v>
      </c>
      <c r="W151" s="49">
        <v>0.02</v>
      </c>
    </row>
    <row r="152" ht="22.5" customHeight="1">
      <c r="A152" s="5" t="s">
        <v>914</v>
      </c>
      <c r="B152" s="12">
        <f t="shared" si="1"/>
        <v>7354909.54</v>
      </c>
      <c r="C152" s="13" t="s">
        <v>915</v>
      </c>
      <c r="D152" s="13" t="s">
        <v>916</v>
      </c>
      <c r="E152" s="6" t="s">
        <v>84</v>
      </c>
      <c r="F152" s="14">
        <f t="shared" si="2"/>
        <v>2597567258</v>
      </c>
      <c r="G152" s="15">
        <v>353.1746031746032</v>
      </c>
      <c r="H152" s="14">
        <v>3.714521179189683E9</v>
      </c>
      <c r="I152" s="15">
        <f t="shared" si="3"/>
        <v>505.0396825</v>
      </c>
      <c r="J152" s="16">
        <v>1.385</v>
      </c>
      <c r="K152" s="17">
        <v>5310404.0</v>
      </c>
      <c r="L152" s="18">
        <f t="shared" si="4"/>
        <v>2050357.605</v>
      </c>
      <c r="M152" s="19">
        <v>0.528</v>
      </c>
      <c r="N152" s="20">
        <v>1.8</v>
      </c>
      <c r="O152" s="21">
        <v>734.0</v>
      </c>
      <c r="P152" s="22" t="s">
        <v>917</v>
      </c>
      <c r="Q152" s="6" t="s">
        <v>918</v>
      </c>
      <c r="R152" s="6" t="s">
        <v>919</v>
      </c>
      <c r="S152" s="23">
        <f t="shared" si="5"/>
        <v>51951345.16</v>
      </c>
      <c r="T152" s="23">
        <f t="shared" si="6"/>
        <v>77927017.75</v>
      </c>
      <c r="U152" s="23">
        <f t="shared" si="7"/>
        <v>74290423.58</v>
      </c>
      <c r="V152" s="23">
        <f t="shared" si="8"/>
        <v>111435635.4</v>
      </c>
      <c r="W152" s="47">
        <v>0.02</v>
      </c>
    </row>
    <row r="153" ht="22.5" customHeight="1">
      <c r="A153" s="31" t="s">
        <v>920</v>
      </c>
      <c r="B153" s="25">
        <f t="shared" si="1"/>
        <v>189681.24</v>
      </c>
      <c r="C153" s="26" t="s">
        <v>921</v>
      </c>
      <c r="D153" s="27" t="s">
        <v>922</v>
      </c>
      <c r="E153" s="6" t="s">
        <v>121</v>
      </c>
      <c r="F153" s="14">
        <f t="shared" si="2"/>
        <v>2039826033</v>
      </c>
      <c r="G153" s="15">
        <v>10753.968253968254</v>
      </c>
      <c r="H153" s="14">
        <v>3.875669463333334E9</v>
      </c>
      <c r="I153" s="15">
        <f t="shared" si="3"/>
        <v>20432.53968</v>
      </c>
      <c r="J153" s="16">
        <v>132.83</v>
      </c>
      <c r="K153" s="38">
        <v>1428.0</v>
      </c>
      <c r="L153" s="18">
        <f t="shared" si="4"/>
        <v>551.353656</v>
      </c>
      <c r="M153" s="19">
        <v>0.827</v>
      </c>
      <c r="N153" s="20">
        <v>5.29</v>
      </c>
      <c r="O153" s="21">
        <v>667.0</v>
      </c>
      <c r="P153" s="22" t="s">
        <v>923</v>
      </c>
      <c r="Q153" s="6" t="s">
        <v>924</v>
      </c>
      <c r="R153" s="6" t="s">
        <v>925</v>
      </c>
      <c r="S153" s="29">
        <f t="shared" si="5"/>
        <v>40796520.67</v>
      </c>
      <c r="T153" s="29">
        <f t="shared" si="6"/>
        <v>61194781</v>
      </c>
      <c r="U153" s="29">
        <f t="shared" si="7"/>
        <v>77513389.27</v>
      </c>
      <c r="V153" s="29">
        <f t="shared" si="8"/>
        <v>116270083.9</v>
      </c>
      <c r="W153" s="44">
        <v>0.02</v>
      </c>
    </row>
    <row r="154" ht="22.5" customHeight="1">
      <c r="A154" s="11" t="s">
        <v>926</v>
      </c>
      <c r="B154" s="32">
        <f t="shared" si="1"/>
        <v>6231859.052</v>
      </c>
      <c r="C154" s="33" t="s">
        <v>927</v>
      </c>
      <c r="D154" s="33" t="s">
        <v>928</v>
      </c>
      <c r="E154" s="6" t="s">
        <v>33</v>
      </c>
      <c r="F154" s="14">
        <f t="shared" si="2"/>
        <v>1928908754</v>
      </c>
      <c r="G154" s="15">
        <v>309.5238095238095</v>
      </c>
      <c r="H154" s="14">
        <v>1.1766343400561905E10</v>
      </c>
      <c r="I154" s="15">
        <f t="shared" si="3"/>
        <v>1888.095238</v>
      </c>
      <c r="J154" s="16">
        <v>6.158</v>
      </c>
      <c r="K154" s="17">
        <v>1011994.0</v>
      </c>
      <c r="L154" s="18">
        <f t="shared" si="4"/>
        <v>390732.9074</v>
      </c>
      <c r="M154" s="19">
        <v>0.499</v>
      </c>
      <c r="N154" s="20">
        <v>1.09</v>
      </c>
      <c r="O154" s="21">
        <v>976.0</v>
      </c>
      <c r="P154" s="22" t="s">
        <v>929</v>
      </c>
      <c r="Q154" s="6" t="s">
        <v>930</v>
      </c>
      <c r="R154" s="1" t="s">
        <v>931</v>
      </c>
      <c r="S154" s="34">
        <f t="shared" si="5"/>
        <v>38578175.08</v>
      </c>
      <c r="T154" s="34">
        <f t="shared" si="6"/>
        <v>57867262.63</v>
      </c>
      <c r="U154" s="34">
        <f t="shared" si="7"/>
        <v>235326868</v>
      </c>
      <c r="V154" s="34">
        <f t="shared" si="8"/>
        <v>352990302</v>
      </c>
      <c r="W154" s="50">
        <v>0.02</v>
      </c>
    </row>
    <row r="155" ht="22.5" customHeight="1">
      <c r="A155" s="31" t="s">
        <v>932</v>
      </c>
      <c r="B155" s="36">
        <f t="shared" si="1"/>
        <v>233966.306</v>
      </c>
      <c r="C155" s="37" t="s">
        <v>933</v>
      </c>
      <c r="D155" s="37" t="s">
        <v>934</v>
      </c>
      <c r="E155" s="6" t="s">
        <v>47</v>
      </c>
      <c r="F155" s="14">
        <f t="shared" si="2"/>
        <v>1439078469</v>
      </c>
      <c r="G155" s="15">
        <v>6150.793650793651</v>
      </c>
      <c r="H155" s="14">
        <v>3.7847763746388893E9</v>
      </c>
      <c r="I155" s="15">
        <f t="shared" si="3"/>
        <v>16176.5873</v>
      </c>
      <c r="J155" s="16">
        <v>21.946</v>
      </c>
      <c r="K155" s="17">
        <v>10661.0</v>
      </c>
      <c r="L155" s="18">
        <f t="shared" si="4"/>
        <v>4116.233422</v>
      </c>
      <c r="M155" s="19">
        <v>0.703</v>
      </c>
      <c r="N155" s="20">
        <v>6.07</v>
      </c>
      <c r="O155" s="21">
        <v>129.0</v>
      </c>
      <c r="P155" s="22" t="s">
        <v>935</v>
      </c>
      <c r="Q155" s="6" t="s">
        <v>936</v>
      </c>
      <c r="R155" s="6" t="s">
        <v>937</v>
      </c>
      <c r="S155" s="39">
        <f t="shared" si="5"/>
        <v>28781569.39</v>
      </c>
      <c r="T155" s="39">
        <f t="shared" si="6"/>
        <v>43172354.08</v>
      </c>
      <c r="U155" s="39">
        <f t="shared" si="7"/>
        <v>75695527.49</v>
      </c>
      <c r="V155" s="39">
        <f t="shared" si="8"/>
        <v>113543291.2</v>
      </c>
      <c r="W155" s="49">
        <v>0.02</v>
      </c>
    </row>
    <row r="156" ht="22.5" customHeight="1">
      <c r="A156" s="31" t="s">
        <v>938</v>
      </c>
      <c r="B156" s="32">
        <f t="shared" si="1"/>
        <v>828597</v>
      </c>
      <c r="C156" s="33" t="s">
        <v>939</v>
      </c>
      <c r="D156" s="33" t="s">
        <v>940</v>
      </c>
      <c r="E156" s="6" t="s">
        <v>121</v>
      </c>
      <c r="F156" s="14">
        <f t="shared" si="2"/>
        <v>1410587750</v>
      </c>
      <c r="G156" s="15">
        <v>1702.3809523809523</v>
      </c>
      <c r="H156" s="14">
        <v>3.8932221899999995E9</v>
      </c>
      <c r="I156" s="15">
        <f t="shared" si="3"/>
        <v>4698.571429</v>
      </c>
      <c r="J156" s="16">
        <v>4.62</v>
      </c>
      <c r="K156" s="17">
        <v>179350.0</v>
      </c>
      <c r="L156" s="18">
        <f t="shared" si="4"/>
        <v>69247.3937</v>
      </c>
      <c r="M156" s="19">
        <v>0.699</v>
      </c>
      <c r="N156" s="20">
        <v>7.1</v>
      </c>
      <c r="O156" s="21">
        <v>611.0</v>
      </c>
      <c r="P156" s="22" t="s">
        <v>941</v>
      </c>
      <c r="Q156" s="6" t="s">
        <v>942</v>
      </c>
      <c r="R156" s="6" t="s">
        <v>943</v>
      </c>
      <c r="S156" s="34">
        <f t="shared" si="5"/>
        <v>28211755</v>
      </c>
      <c r="T156" s="34">
        <f t="shared" si="6"/>
        <v>42317632.5</v>
      </c>
      <c r="U156" s="34">
        <f t="shared" si="7"/>
        <v>77864443.8</v>
      </c>
      <c r="V156" s="34">
        <f t="shared" si="8"/>
        <v>116796665.7</v>
      </c>
      <c r="W156" s="50">
        <v>0.02</v>
      </c>
    </row>
    <row r="157" ht="22.5" customHeight="1">
      <c r="A157" s="11" t="s">
        <v>944</v>
      </c>
      <c r="B157" s="25">
        <f t="shared" si="1"/>
        <v>2898501.76</v>
      </c>
      <c r="C157" s="26" t="s">
        <v>945</v>
      </c>
      <c r="D157" s="27" t="s">
        <v>946</v>
      </c>
      <c r="E157" s="6" t="s">
        <v>84</v>
      </c>
      <c r="F157" s="14">
        <f t="shared" si="2"/>
        <v>1150199111</v>
      </c>
      <c r="G157" s="15">
        <v>396.8253968253968</v>
      </c>
      <c r="H157" s="14">
        <v>2.7949838400000005E9</v>
      </c>
      <c r="I157" s="15">
        <f t="shared" si="3"/>
        <v>964.2857143</v>
      </c>
      <c r="J157" s="16">
        <v>67.76</v>
      </c>
      <c r="K157" s="17">
        <v>42776.0</v>
      </c>
      <c r="L157" s="18">
        <f t="shared" si="4"/>
        <v>16515.89915</v>
      </c>
      <c r="M157" s="7">
        <v>0.388</v>
      </c>
      <c r="N157" s="20">
        <v>0.67</v>
      </c>
      <c r="O157" s="21">
        <v>700.0</v>
      </c>
      <c r="P157" s="22" t="s">
        <v>947</v>
      </c>
      <c r="Q157" s="6" t="s">
        <v>948</v>
      </c>
      <c r="R157" s="6" t="s">
        <v>949</v>
      </c>
      <c r="S157" s="29">
        <f t="shared" si="5"/>
        <v>23003982.22</v>
      </c>
      <c r="T157" s="29">
        <f t="shared" si="6"/>
        <v>34505973.33</v>
      </c>
      <c r="U157" s="29">
        <f t="shared" si="7"/>
        <v>55899676.8</v>
      </c>
      <c r="V157" s="29">
        <f t="shared" si="8"/>
        <v>83849515.2</v>
      </c>
      <c r="W157" s="44">
        <v>0.02</v>
      </c>
    </row>
    <row r="158" ht="22.5" customHeight="1">
      <c r="A158" s="11" t="s">
        <v>950</v>
      </c>
      <c r="B158" s="12">
        <f t="shared" si="1"/>
        <v>495291.4</v>
      </c>
      <c r="C158" s="45" t="s">
        <v>951</v>
      </c>
      <c r="D158" s="13" t="s">
        <v>952</v>
      </c>
      <c r="E158" s="6" t="s">
        <v>121</v>
      </c>
      <c r="F158" s="14">
        <f t="shared" si="2"/>
        <v>1120301976</v>
      </c>
      <c r="G158" s="15">
        <v>2261.904761904762</v>
      </c>
      <c r="H158" s="14">
        <v>3.0808304345238094E9</v>
      </c>
      <c r="I158" s="15">
        <f t="shared" si="3"/>
        <v>6220.238095</v>
      </c>
      <c r="J158" s="16">
        <v>43.325</v>
      </c>
      <c r="K158" s="17">
        <v>11432.0</v>
      </c>
      <c r="L158" s="18">
        <f t="shared" si="4"/>
        <v>4413.918064</v>
      </c>
      <c r="M158" s="19">
        <v>0.698</v>
      </c>
      <c r="N158" s="20">
        <v>5.34</v>
      </c>
      <c r="O158" s="21">
        <v>615.0</v>
      </c>
      <c r="P158" s="22" t="s">
        <v>953</v>
      </c>
      <c r="Q158" s="6" t="s">
        <v>954</v>
      </c>
      <c r="R158" s="6" t="s">
        <v>955</v>
      </c>
      <c r="S158" s="23">
        <f t="shared" si="5"/>
        <v>22406039.52</v>
      </c>
      <c r="T158" s="23">
        <f t="shared" si="6"/>
        <v>33609059.29</v>
      </c>
      <c r="U158" s="23">
        <f t="shared" si="7"/>
        <v>61616608.69</v>
      </c>
      <c r="V158" s="23">
        <f t="shared" si="8"/>
        <v>92424913.04</v>
      </c>
      <c r="W158" s="47">
        <v>0.02</v>
      </c>
    </row>
    <row r="159" ht="22.5" customHeight="1">
      <c r="A159" s="31" t="s">
        <v>956</v>
      </c>
      <c r="B159" s="25">
        <f t="shared" si="1"/>
        <v>324028.32</v>
      </c>
      <c r="C159" s="26" t="s">
        <v>957</v>
      </c>
      <c r="D159" s="27" t="s">
        <v>958</v>
      </c>
      <c r="E159" s="6" t="s">
        <v>121</v>
      </c>
      <c r="F159" s="14">
        <f t="shared" si="2"/>
        <v>843502293.3</v>
      </c>
      <c r="G159" s="15">
        <v>2603.1746031746034</v>
      </c>
      <c r="H159" s="14">
        <v>2.0750156416000001E9</v>
      </c>
      <c r="I159" s="15">
        <f t="shared" si="3"/>
        <v>6403.809524</v>
      </c>
      <c r="J159" s="16">
        <v>67.76</v>
      </c>
      <c r="K159" s="17">
        <v>4782.0</v>
      </c>
      <c r="L159" s="18">
        <f t="shared" si="4"/>
        <v>1846.339764</v>
      </c>
      <c r="M159" s="19">
        <v>0.754</v>
      </c>
      <c r="N159" s="20">
        <v>6.88</v>
      </c>
      <c r="O159" s="21">
        <v>677.0</v>
      </c>
      <c r="P159" s="22" t="s">
        <v>959</v>
      </c>
      <c r="Q159" s="6" t="s">
        <v>960</v>
      </c>
      <c r="R159" s="6" t="s">
        <v>961</v>
      </c>
      <c r="S159" s="29">
        <f t="shared" si="5"/>
        <v>16870045.87</v>
      </c>
      <c r="T159" s="29">
        <f t="shared" si="6"/>
        <v>25305068.8</v>
      </c>
      <c r="U159" s="29">
        <f t="shared" si="7"/>
        <v>41500312.83</v>
      </c>
      <c r="V159" s="29">
        <f t="shared" si="8"/>
        <v>62250469.25</v>
      </c>
      <c r="W159" s="44">
        <v>0.02</v>
      </c>
    </row>
    <row r="160" ht="22.5" customHeight="1">
      <c r="A160" s="31" t="s">
        <v>962</v>
      </c>
      <c r="B160" s="32">
        <f t="shared" si="1"/>
        <v>5131190.176</v>
      </c>
      <c r="C160" s="33" t="s">
        <v>963</v>
      </c>
      <c r="D160" s="33" t="s">
        <v>964</v>
      </c>
      <c r="E160" s="6" t="s">
        <v>47</v>
      </c>
      <c r="F160" s="14">
        <f t="shared" si="2"/>
        <v>814474631.1</v>
      </c>
      <c r="G160" s="15">
        <v>158.73015873015873</v>
      </c>
      <c r="H160" s="14">
        <v>3.5592541380942855E9</v>
      </c>
      <c r="I160" s="15">
        <f t="shared" si="3"/>
        <v>693.6507937</v>
      </c>
      <c r="J160" s="16">
        <v>32.3994</v>
      </c>
      <c r="K160" s="17">
        <v>158373.0</v>
      </c>
      <c r="L160" s="18">
        <f t="shared" si="4"/>
        <v>61148.13205</v>
      </c>
      <c r="M160" s="19">
        <v>0.445</v>
      </c>
      <c r="N160" s="20">
        <v>0.95</v>
      </c>
      <c r="O160" s="21">
        <v>963.0</v>
      </c>
      <c r="P160" s="22" t="s">
        <v>965</v>
      </c>
      <c r="Q160" s="6" t="s">
        <v>966</v>
      </c>
      <c r="R160" s="6" t="s">
        <v>967</v>
      </c>
      <c r="S160" s="34">
        <f t="shared" si="5"/>
        <v>16289492.62</v>
      </c>
      <c r="T160" s="34">
        <f t="shared" si="6"/>
        <v>24434238.93</v>
      </c>
      <c r="U160" s="34">
        <f t="shared" si="7"/>
        <v>71185082.76</v>
      </c>
      <c r="V160" s="34">
        <f t="shared" si="8"/>
        <v>106777624.1</v>
      </c>
      <c r="W160" s="50">
        <v>0.02</v>
      </c>
    </row>
    <row r="161" ht="22.5" customHeight="1">
      <c r="A161" s="31" t="s">
        <v>968</v>
      </c>
      <c r="B161" s="36">
        <f t="shared" si="1"/>
        <v>220217.6</v>
      </c>
      <c r="C161" s="37" t="s">
        <v>969</v>
      </c>
      <c r="D161" s="37" t="s">
        <v>970</v>
      </c>
      <c r="E161" s="6" t="s">
        <v>54</v>
      </c>
      <c r="F161" s="14">
        <f t="shared" si="2"/>
        <v>760275047.6</v>
      </c>
      <c r="G161" s="15">
        <v>3452.3809523809523</v>
      </c>
      <c r="H161" s="14">
        <v>2.584935161904762E9</v>
      </c>
      <c r="I161" s="15">
        <f t="shared" si="3"/>
        <v>11738.09524</v>
      </c>
      <c r="J161" s="16">
        <v>12.16</v>
      </c>
      <c r="K161" s="17">
        <v>18110.0</v>
      </c>
      <c r="L161" s="18">
        <f t="shared" si="4"/>
        <v>6992.30722</v>
      </c>
      <c r="M161" s="19">
        <v>0.562</v>
      </c>
      <c r="N161" s="20">
        <v>5.2</v>
      </c>
      <c r="O161" s="21">
        <v>34.0</v>
      </c>
      <c r="P161" s="22" t="s">
        <v>971</v>
      </c>
      <c r="Q161" s="6" t="s">
        <v>972</v>
      </c>
      <c r="R161" s="6" t="s">
        <v>973</v>
      </c>
      <c r="S161" s="39">
        <f t="shared" si="5"/>
        <v>15205500.95</v>
      </c>
      <c r="T161" s="39">
        <f t="shared" si="6"/>
        <v>22808251.43</v>
      </c>
      <c r="U161" s="39">
        <f t="shared" si="7"/>
        <v>51698703.24</v>
      </c>
      <c r="V161" s="39">
        <f t="shared" si="8"/>
        <v>77548054.86</v>
      </c>
      <c r="W161" s="49">
        <v>0.02</v>
      </c>
    </row>
    <row r="162" ht="22.5" customHeight="1">
      <c r="A162" s="11" t="s">
        <v>974</v>
      </c>
      <c r="B162" s="12">
        <f t="shared" si="1"/>
        <v>239091.7217</v>
      </c>
      <c r="C162" s="45" t="s">
        <v>975</v>
      </c>
      <c r="D162" s="13" t="s">
        <v>976</v>
      </c>
      <c r="E162" s="6" t="s">
        <v>121</v>
      </c>
      <c r="F162" s="14">
        <f t="shared" si="2"/>
        <v>747636018.6</v>
      </c>
      <c r="G162" s="15">
        <v>3126.9841269841268</v>
      </c>
      <c r="H162" s="14">
        <v>1.7494682836391425E9</v>
      </c>
      <c r="I162" s="15">
        <f t="shared" si="3"/>
        <v>7317.142857</v>
      </c>
      <c r="J162" s="16">
        <v>61.6057</v>
      </c>
      <c r="K162" s="17">
        <v>3881.0</v>
      </c>
      <c r="L162" s="18">
        <f t="shared" si="4"/>
        <v>1498.461862</v>
      </c>
      <c r="M162" s="19">
        <v>0.777</v>
      </c>
      <c r="N162" s="20">
        <v>4.6</v>
      </c>
      <c r="O162" s="21">
        <v>615.0</v>
      </c>
      <c r="P162" s="22" t="s">
        <v>977</v>
      </c>
      <c r="Q162" s="6" t="s">
        <v>978</v>
      </c>
      <c r="R162" s="6" t="s">
        <v>979</v>
      </c>
      <c r="S162" s="23">
        <f t="shared" si="5"/>
        <v>14952720.37</v>
      </c>
      <c r="T162" s="23">
        <f t="shared" si="6"/>
        <v>22429080.56</v>
      </c>
      <c r="U162" s="23">
        <f t="shared" si="7"/>
        <v>34989365.67</v>
      </c>
      <c r="V162" s="23">
        <f t="shared" si="8"/>
        <v>52484048.51</v>
      </c>
      <c r="W162" s="47">
        <v>0.02</v>
      </c>
    </row>
    <row r="163" ht="22.5" customHeight="1">
      <c r="A163" s="11" t="s">
        <v>980</v>
      </c>
      <c r="B163" s="25">
        <f t="shared" si="1"/>
        <v>47933.0675</v>
      </c>
      <c r="C163" s="26" t="s">
        <v>981</v>
      </c>
      <c r="D163" s="27" t="s">
        <v>982</v>
      </c>
      <c r="E163" s="6" t="s">
        <v>33</v>
      </c>
      <c r="F163" s="14">
        <f t="shared" si="2"/>
        <v>540198062.3</v>
      </c>
      <c r="G163" s="15">
        <v>11269.84126984127</v>
      </c>
      <c r="H163" s="14">
        <v>1.2208476208015873E9</v>
      </c>
      <c r="I163" s="15">
        <f t="shared" si="3"/>
        <v>25469.84127</v>
      </c>
      <c r="J163" s="16">
        <v>36.1759</v>
      </c>
      <c r="K163" s="17">
        <v>1325.0</v>
      </c>
      <c r="L163" s="18">
        <f t="shared" si="4"/>
        <v>511.58515</v>
      </c>
      <c r="M163" s="19">
        <v>0.752</v>
      </c>
      <c r="N163" s="20">
        <v>8.97</v>
      </c>
      <c r="O163" s="21">
        <v>182.0</v>
      </c>
      <c r="P163" s="22" t="s">
        <v>983</v>
      </c>
      <c r="Q163" s="6" t="s">
        <v>984</v>
      </c>
      <c r="R163" s="6" t="s">
        <v>985</v>
      </c>
      <c r="S163" s="29">
        <f t="shared" si="5"/>
        <v>10803961.25</v>
      </c>
      <c r="T163" s="29">
        <f t="shared" si="6"/>
        <v>16205941.87</v>
      </c>
      <c r="U163" s="29">
        <f t="shared" si="7"/>
        <v>24416952.42</v>
      </c>
      <c r="V163" s="29">
        <f t="shared" si="8"/>
        <v>36625428.62</v>
      </c>
      <c r="W163" s="44">
        <v>0.02</v>
      </c>
    </row>
    <row r="164" ht="22.5" customHeight="1">
      <c r="A164" s="31" t="s">
        <v>986</v>
      </c>
      <c r="B164" s="12">
        <f t="shared" si="1"/>
        <v>82798.0608</v>
      </c>
      <c r="C164" s="13" t="s">
        <v>987</v>
      </c>
      <c r="D164" s="13" t="s">
        <v>988</v>
      </c>
      <c r="E164" s="6" t="s">
        <v>121</v>
      </c>
      <c r="F164" s="14">
        <f t="shared" si="2"/>
        <v>417275941.3</v>
      </c>
      <c r="G164" s="15">
        <v>5039.68253968254</v>
      </c>
      <c r="H164" s="14">
        <v>9.054887926933333E8</v>
      </c>
      <c r="I164" s="15">
        <f t="shared" si="3"/>
        <v>10936.11111</v>
      </c>
      <c r="J164" s="16">
        <v>61.6057</v>
      </c>
      <c r="K164" s="38">
        <v>1344.0</v>
      </c>
      <c r="L164" s="18">
        <f t="shared" si="4"/>
        <v>518.921088</v>
      </c>
      <c r="M164" s="19">
        <v>0.8</v>
      </c>
      <c r="N164" s="20">
        <v>6.21</v>
      </c>
      <c r="O164" s="21">
        <v>620.0</v>
      </c>
      <c r="P164" s="22" t="s">
        <v>989</v>
      </c>
      <c r="Q164" s="6" t="s">
        <v>990</v>
      </c>
      <c r="R164" s="6" t="s">
        <v>991</v>
      </c>
      <c r="S164" s="23">
        <f t="shared" si="5"/>
        <v>8345518.827</v>
      </c>
      <c r="T164" s="23">
        <f t="shared" si="6"/>
        <v>12518278.24</v>
      </c>
      <c r="U164" s="23">
        <f t="shared" si="7"/>
        <v>18109775.85</v>
      </c>
      <c r="V164" s="23">
        <f t="shared" si="8"/>
        <v>27164663.78</v>
      </c>
      <c r="W164" s="47">
        <v>0.02</v>
      </c>
    </row>
    <row r="165" ht="22.5" customHeight="1">
      <c r="A165" s="11" t="s">
        <v>992</v>
      </c>
      <c r="B165" s="25">
        <f t="shared" si="1"/>
        <v>2950683.185</v>
      </c>
      <c r="C165" s="27" t="s">
        <v>993</v>
      </c>
      <c r="D165" s="27" t="s">
        <v>994</v>
      </c>
      <c r="E165" s="6" t="s">
        <v>33</v>
      </c>
      <c r="F165" s="14">
        <f t="shared" si="2"/>
        <v>375860834.2</v>
      </c>
      <c r="G165" s="15">
        <v>127.38095238095238</v>
      </c>
      <c r="H165" s="14">
        <v>1.6274774121555893E9</v>
      </c>
      <c r="I165" s="15">
        <f t="shared" si="3"/>
        <v>551.5595238</v>
      </c>
      <c r="J165" s="16">
        <v>13.8559</v>
      </c>
      <c r="K165" s="17">
        <v>212955.0</v>
      </c>
      <c r="L165" s="18">
        <f t="shared" si="4"/>
        <v>82222.35141</v>
      </c>
      <c r="M165" s="7">
        <v>0.393</v>
      </c>
      <c r="N165" s="20">
        <v>1.25</v>
      </c>
      <c r="O165" s="21">
        <v>543.0</v>
      </c>
      <c r="P165" s="6" t="s">
        <v>995</v>
      </c>
      <c r="Q165" s="6" t="s">
        <v>996</v>
      </c>
      <c r="R165" s="6" t="s">
        <v>997</v>
      </c>
      <c r="S165" s="29">
        <f t="shared" si="5"/>
        <v>7517216.684</v>
      </c>
      <c r="T165" s="29">
        <f t="shared" si="6"/>
        <v>11275825.03</v>
      </c>
      <c r="U165" s="29">
        <f t="shared" si="7"/>
        <v>32549548.24</v>
      </c>
      <c r="V165" s="29">
        <f t="shared" si="8"/>
        <v>48824322.36</v>
      </c>
      <c r="W165" s="44">
        <v>0.02</v>
      </c>
    </row>
    <row r="166" ht="22.5" customHeight="1">
      <c r="A166" s="31" t="s">
        <v>998</v>
      </c>
      <c r="B166" s="12">
        <f t="shared" si="1"/>
        <v>51690.1</v>
      </c>
      <c r="C166" s="13" t="s">
        <v>999</v>
      </c>
      <c r="D166" s="13" t="s">
        <v>1000</v>
      </c>
      <c r="E166" s="6" t="s">
        <v>47</v>
      </c>
      <c r="F166" s="14">
        <f t="shared" si="2"/>
        <v>252296916.7</v>
      </c>
      <c r="G166" s="15">
        <v>4880.952380952381</v>
      </c>
      <c r="H166" s="14">
        <v>6.004666616666666E8</v>
      </c>
      <c r="I166" s="15">
        <f t="shared" si="3"/>
        <v>11616.66667</v>
      </c>
      <c r="J166" s="16">
        <v>94.325</v>
      </c>
      <c r="K166" s="17">
        <v>548.0</v>
      </c>
      <c r="L166" s="18">
        <f t="shared" si="4"/>
        <v>211.583896</v>
      </c>
      <c r="M166" s="19">
        <v>0.759</v>
      </c>
      <c r="N166" s="20">
        <v>8.34</v>
      </c>
      <c r="O166" s="21">
        <v>344.0</v>
      </c>
      <c r="P166" s="22" t="s">
        <v>1001</v>
      </c>
      <c r="Q166" s="6" t="s">
        <v>1002</v>
      </c>
      <c r="R166" s="6" t="s">
        <v>1003</v>
      </c>
      <c r="S166" s="23">
        <f t="shared" si="5"/>
        <v>5045938.333</v>
      </c>
      <c r="T166" s="23">
        <f t="shared" si="6"/>
        <v>7568907.5</v>
      </c>
      <c r="U166" s="23">
        <f t="shared" si="7"/>
        <v>12009333.23</v>
      </c>
      <c r="V166" s="23">
        <f t="shared" si="8"/>
        <v>18013999.85</v>
      </c>
      <c r="W166" s="47">
        <v>0.02</v>
      </c>
    </row>
    <row r="167" ht="22.5" customHeight="1">
      <c r="A167" s="31" t="s">
        <v>1004</v>
      </c>
      <c r="B167" s="25">
        <f t="shared" si="1"/>
        <v>1441953.94</v>
      </c>
      <c r="C167" s="26" t="s">
        <v>1005</v>
      </c>
      <c r="D167" s="27" t="s">
        <v>1006</v>
      </c>
      <c r="E167" s="6" t="s">
        <v>84</v>
      </c>
      <c r="F167" s="14">
        <f t="shared" si="2"/>
        <v>223159538.3</v>
      </c>
      <c r="G167" s="15">
        <v>154.76190476190476</v>
      </c>
      <c r="H167" s="14">
        <v>5.467408689166666E8</v>
      </c>
      <c r="I167" s="15">
        <f t="shared" si="3"/>
        <v>379.1666667</v>
      </c>
      <c r="J167" s="16">
        <v>0.785</v>
      </c>
      <c r="K167" s="17">
        <v>1836884.0</v>
      </c>
      <c r="L167" s="18">
        <f t="shared" si="4"/>
        <v>709224.5862</v>
      </c>
      <c r="M167" s="19">
        <v>0.463</v>
      </c>
      <c r="N167" s="20">
        <v>4.35</v>
      </c>
      <c r="O167" s="21">
        <v>735.0</v>
      </c>
      <c r="P167" s="22" t="s">
        <v>1007</v>
      </c>
      <c r="Q167" s="6" t="s">
        <v>1008</v>
      </c>
      <c r="R167" s="6" t="s">
        <v>1009</v>
      </c>
      <c r="S167" s="29">
        <f t="shared" si="5"/>
        <v>4463190.767</v>
      </c>
      <c r="T167" s="29">
        <f t="shared" si="6"/>
        <v>6694786.15</v>
      </c>
      <c r="U167" s="29">
        <f t="shared" si="7"/>
        <v>10934817.38</v>
      </c>
      <c r="V167" s="29">
        <f t="shared" si="8"/>
        <v>16402226.07</v>
      </c>
      <c r="W167" s="44">
        <v>0.02</v>
      </c>
    </row>
    <row r="168" ht="22.5" customHeight="1">
      <c r="A168" s="11" t="s">
        <v>1010</v>
      </c>
      <c r="B168" s="32">
        <f t="shared" si="1"/>
        <v>37482.06</v>
      </c>
      <c r="C168" s="42" t="s">
        <v>1011</v>
      </c>
      <c r="D168" s="33" t="s">
        <v>1012</v>
      </c>
      <c r="E168" s="6" t="s">
        <v>121</v>
      </c>
      <c r="F168" s="14">
        <f t="shared" si="2"/>
        <v>165099550</v>
      </c>
      <c r="G168" s="15">
        <v>4404.761904761905</v>
      </c>
      <c r="H168" s="14">
        <v>4.2595683900000006E8</v>
      </c>
      <c r="I168" s="15">
        <f t="shared" si="3"/>
        <v>11364.28571</v>
      </c>
      <c r="J168" s="16">
        <v>14.63</v>
      </c>
      <c r="K168" s="17">
        <v>2562.0</v>
      </c>
      <c r="L168" s="18">
        <f t="shared" si="4"/>
        <v>989.193324</v>
      </c>
      <c r="M168" s="19">
        <v>0.722</v>
      </c>
      <c r="N168" s="20">
        <v>3.86</v>
      </c>
      <c r="O168" s="21">
        <v>652.0</v>
      </c>
      <c r="P168" s="22" t="s">
        <v>1013</v>
      </c>
      <c r="Q168" s="6" t="s">
        <v>1014</v>
      </c>
      <c r="R168" s="6" t="s">
        <v>1015</v>
      </c>
      <c r="S168" s="34">
        <f t="shared" si="5"/>
        <v>3301991</v>
      </c>
      <c r="T168" s="34">
        <f t="shared" si="6"/>
        <v>4952986.5</v>
      </c>
      <c r="U168" s="34">
        <f t="shared" si="7"/>
        <v>8519136.78</v>
      </c>
      <c r="V168" s="34">
        <f t="shared" si="8"/>
        <v>12778705.17</v>
      </c>
      <c r="W168" s="50">
        <v>0.02</v>
      </c>
    </row>
    <row r="169" ht="22.5" customHeight="1">
      <c r="A169" s="11" t="s">
        <v>1016</v>
      </c>
      <c r="B169" s="36">
        <f t="shared" si="1"/>
        <v>143924.55</v>
      </c>
      <c r="C169" s="37" t="s">
        <v>1017</v>
      </c>
      <c r="D169" s="37" t="s">
        <v>1018</v>
      </c>
      <c r="E169" s="6" t="s">
        <v>54</v>
      </c>
      <c r="F169" s="14">
        <f t="shared" si="2"/>
        <v>154204875</v>
      </c>
      <c r="G169" s="15">
        <v>1071.4285714285713</v>
      </c>
      <c r="H169" s="14">
        <v>4.564464299999999E8</v>
      </c>
      <c r="I169" s="15">
        <f t="shared" si="3"/>
        <v>3171.428571</v>
      </c>
      <c r="J169" s="16">
        <v>6.545</v>
      </c>
      <c r="K169" s="17">
        <v>21990.0</v>
      </c>
      <c r="L169" s="18">
        <f t="shared" si="4"/>
        <v>8490.38298</v>
      </c>
      <c r="M169" s="19">
        <v>0.662</v>
      </c>
      <c r="N169" s="20">
        <v>4.44</v>
      </c>
      <c r="O169" s="21">
        <v>185.0</v>
      </c>
      <c r="P169" s="22" t="s">
        <v>1019</v>
      </c>
      <c r="Q169" s="6" t="s">
        <v>1016</v>
      </c>
      <c r="R169" s="6" t="s">
        <v>1020</v>
      </c>
      <c r="S169" s="39">
        <f t="shared" si="5"/>
        <v>3084097.5</v>
      </c>
      <c r="T169" s="39">
        <f t="shared" si="6"/>
        <v>4626146.25</v>
      </c>
      <c r="U169" s="39">
        <f t="shared" si="7"/>
        <v>9128928.6</v>
      </c>
      <c r="V169" s="39">
        <f t="shared" si="8"/>
        <v>13693392.9</v>
      </c>
      <c r="W169" s="49">
        <v>0.02</v>
      </c>
    </row>
    <row r="170" ht="22.5" customHeight="1">
      <c r="A170" s="58" t="s">
        <v>1021</v>
      </c>
      <c r="B170" s="59">
        <v>76045.20000000001</v>
      </c>
      <c r="C170" s="13" t="s">
        <v>1022</v>
      </c>
      <c r="D170" s="13" t="s">
        <v>1023</v>
      </c>
      <c r="E170" s="60" t="s">
        <v>84</v>
      </c>
      <c r="F170" s="61">
        <v>1.2342256666666669E8</v>
      </c>
      <c r="G170" s="62">
        <v>1623.015873015873</v>
      </c>
      <c r="H170" s="61">
        <v>3.2830402733333343E8</v>
      </c>
      <c r="I170" s="15">
        <f t="shared" si="3"/>
        <v>4317.222222</v>
      </c>
      <c r="J170" s="63">
        <v>46.2</v>
      </c>
      <c r="K170" s="18">
        <v>1646.0</v>
      </c>
      <c r="L170" s="18">
        <v>635.523892</v>
      </c>
      <c r="M170" s="64">
        <v>0.72</v>
      </c>
      <c r="N170" s="65">
        <v>2.47</v>
      </c>
      <c r="O170" s="66">
        <v>780.0</v>
      </c>
      <c r="P170" s="60" t="s">
        <v>1024</v>
      </c>
      <c r="Q170" s="60" t="s">
        <v>1025</v>
      </c>
      <c r="R170" s="6" t="s">
        <v>1021</v>
      </c>
      <c r="S170" s="23">
        <v>0.0</v>
      </c>
      <c r="T170" s="23">
        <f t="shared" si="6"/>
        <v>3702677</v>
      </c>
      <c r="U170" s="23">
        <f t="shared" si="7"/>
        <v>6566080.547</v>
      </c>
      <c r="V170" s="23">
        <f t="shared" si="8"/>
        <v>9849120.82</v>
      </c>
      <c r="W170" s="47">
        <v>0.02</v>
      </c>
    </row>
    <row r="171" ht="22.5" customHeight="1">
      <c r="A171" s="31" t="s">
        <v>1026</v>
      </c>
      <c r="B171" s="25">
        <f t="shared" ref="B171:B173" si="9">SUM(J171*K171)</f>
        <v>5165.16</v>
      </c>
      <c r="C171" s="26" t="s">
        <v>1027</v>
      </c>
      <c r="D171" s="27" t="s">
        <v>1028</v>
      </c>
      <c r="E171" s="6" t="s">
        <v>121</v>
      </c>
      <c r="F171" s="14">
        <f t="shared" ref="F171:F173" si="10">SUM(G171*B171)</f>
        <v>48167166.67</v>
      </c>
      <c r="G171" s="15">
        <v>9325.396825396825</v>
      </c>
      <c r="H171" s="14">
        <v>9.440764666666666E7</v>
      </c>
      <c r="I171" s="15">
        <f t="shared" si="3"/>
        <v>18277.77778</v>
      </c>
      <c r="J171" s="16">
        <v>40.04</v>
      </c>
      <c r="K171" s="38">
        <v>129.0</v>
      </c>
      <c r="L171" s="18">
        <f t="shared" ref="L171:L173" si="11">SUM(K171*0.386102)</f>
        <v>49.807158</v>
      </c>
      <c r="M171" s="19">
        <v>0.822</v>
      </c>
      <c r="N171" s="20">
        <v>5.15</v>
      </c>
      <c r="O171" s="21">
        <v>616.0</v>
      </c>
      <c r="P171" s="22" t="s">
        <v>1029</v>
      </c>
      <c r="Q171" s="6" t="s">
        <v>1030</v>
      </c>
      <c r="R171" s="6" t="s">
        <v>1031</v>
      </c>
      <c r="S171" s="29">
        <f t="shared" ref="S171:S173" si="12">SUM(F171*W171)</f>
        <v>963343.3333</v>
      </c>
      <c r="T171" s="29">
        <f t="shared" si="6"/>
        <v>1445015</v>
      </c>
      <c r="U171" s="29">
        <f t="shared" si="7"/>
        <v>1888152.933</v>
      </c>
      <c r="V171" s="29">
        <f t="shared" si="8"/>
        <v>2832229.4</v>
      </c>
      <c r="W171" s="44">
        <v>0.02</v>
      </c>
    </row>
    <row r="172" ht="22.5" customHeight="1">
      <c r="A172" s="31" t="s">
        <v>1032</v>
      </c>
      <c r="B172" s="32">
        <f t="shared" si="9"/>
        <v>10360.45</v>
      </c>
      <c r="C172" s="33" t="s">
        <v>1033</v>
      </c>
      <c r="D172" s="33" t="s">
        <v>1034</v>
      </c>
      <c r="E172" s="6" t="s">
        <v>47</v>
      </c>
      <c r="F172" s="14">
        <f t="shared" si="10"/>
        <v>36590478.17</v>
      </c>
      <c r="G172" s="15">
        <v>3531.746031746032</v>
      </c>
      <c r="H172" s="14">
        <v>9.074438587301588E7</v>
      </c>
      <c r="I172" s="15">
        <f t="shared" si="3"/>
        <v>8758.730159</v>
      </c>
      <c r="J172" s="16">
        <v>19.01</v>
      </c>
      <c r="K172" s="17">
        <v>545.0</v>
      </c>
      <c r="L172" s="18">
        <f t="shared" si="11"/>
        <v>210.42559</v>
      </c>
      <c r="M172" s="19">
        <v>0.747</v>
      </c>
      <c r="N172" s="20">
        <v>6.12</v>
      </c>
      <c r="O172" s="21">
        <v>345.0</v>
      </c>
      <c r="P172" s="22" t="s">
        <v>1035</v>
      </c>
      <c r="Q172" s="6" t="s">
        <v>1036</v>
      </c>
      <c r="R172" s="6" t="s">
        <v>1037</v>
      </c>
      <c r="S172" s="34">
        <f t="shared" si="12"/>
        <v>731809.5635</v>
      </c>
      <c r="T172" s="34">
        <f t="shared" si="6"/>
        <v>1097714.345</v>
      </c>
      <c r="U172" s="34">
        <f t="shared" si="7"/>
        <v>1814887.717</v>
      </c>
      <c r="V172" s="34">
        <f t="shared" si="8"/>
        <v>2722331.576</v>
      </c>
      <c r="W172" s="50">
        <v>0.02</v>
      </c>
    </row>
    <row r="173" ht="22.5" customHeight="1">
      <c r="A173" s="31" t="s">
        <v>1038</v>
      </c>
      <c r="B173" s="25">
        <f t="shared" si="9"/>
        <v>3983.807</v>
      </c>
      <c r="C173" s="27" t="s">
        <v>1039</v>
      </c>
      <c r="D173" s="27" t="s">
        <v>1040</v>
      </c>
      <c r="E173" s="6" t="s">
        <v>40</v>
      </c>
      <c r="F173" s="14">
        <f t="shared" si="10"/>
        <v>7524968.778</v>
      </c>
      <c r="G173" s="15">
        <v>1888.888888888889</v>
      </c>
      <c r="H173" s="14">
        <v>2.2273907582222223E7</v>
      </c>
      <c r="I173" s="15">
        <f t="shared" si="3"/>
        <v>5591.111111</v>
      </c>
      <c r="J173" s="16">
        <v>17.3209</v>
      </c>
      <c r="K173" s="17">
        <v>230.0</v>
      </c>
      <c r="L173" s="18">
        <f t="shared" si="11"/>
        <v>88.80346</v>
      </c>
      <c r="M173" s="19">
        <v>0.659</v>
      </c>
      <c r="N173" s="20">
        <v>7.45</v>
      </c>
      <c r="O173" s="21">
        <v>955.0</v>
      </c>
      <c r="P173" s="22" t="s">
        <v>1041</v>
      </c>
      <c r="Q173" s="6" t="s">
        <v>1042</v>
      </c>
      <c r="R173" s="6" t="s">
        <v>1043</v>
      </c>
      <c r="S173" s="29">
        <f t="shared" si="12"/>
        <v>150499.3756</v>
      </c>
      <c r="T173" s="29">
        <f t="shared" si="6"/>
        <v>225749.0633</v>
      </c>
      <c r="U173" s="29">
        <f t="shared" si="7"/>
        <v>445478.1516</v>
      </c>
      <c r="V173" s="29">
        <f t="shared" si="8"/>
        <v>668217.2275</v>
      </c>
      <c r="W173" s="44">
        <v>0.02</v>
      </c>
    </row>
    <row r="174" ht="22.5" customHeight="1">
      <c r="A174" s="6" t="s">
        <v>1044</v>
      </c>
      <c r="B174" s="67">
        <f>SUM(ALL[Population])</f>
        <v>6750557645</v>
      </c>
      <c r="C174" s="68"/>
      <c r="D174" s="68"/>
      <c r="E174" s="6" t="s">
        <v>1045</v>
      </c>
      <c r="F174" s="14">
        <f>SUM(ALL[GDP (Nominal)])</f>
        <v>62761418039984</v>
      </c>
      <c r="G174" s="15">
        <f>sum(ALL[[#TOTALS],[GDP (Nominal)]]/ALL[[#TOTALS],[Population]])</f>
        <v>9297.219776</v>
      </c>
      <c r="H174" s="14">
        <f>SUM(ALL[GDP (PPP)])</f>
        <v>109171110759386</v>
      </c>
      <c r="I174" s="15">
        <f>sum(ALL[[#TOTALS],[GDP (PPP)]]/ALL[[#TOTALS],[Population]])</f>
        <v>16172.16184</v>
      </c>
      <c r="J174" s="69">
        <f>sum(ALL[[#TOTALS],[Population]]/ALL[[#TOTALS],[Area (Km)]])</f>
        <v>53.72462378</v>
      </c>
      <c r="K174" s="18">
        <f>SUM(ALL[Area (Km)])</f>
        <v>125651092</v>
      </c>
      <c r="L174" s="18">
        <f>SUM(ALL[Area (Mi)])</f>
        <v>48514137.92</v>
      </c>
      <c r="M174" s="6" t="s">
        <v>1045</v>
      </c>
      <c r="N174" s="6" t="s">
        <v>1045</v>
      </c>
      <c r="O174" s="6" t="s">
        <v>1045</v>
      </c>
      <c r="P174" s="6" t="s">
        <v>1045</v>
      </c>
      <c r="Q174" s="6" t="s">
        <v>186</v>
      </c>
      <c r="R174" s="22"/>
      <c r="S174" s="70">
        <f>SUM(ALL!$S$2:$S$173)</f>
        <v>1781251406476</v>
      </c>
      <c r="T174" s="70">
        <f>SUM(ALL!$T$2:$T$173)</f>
        <v>2671880812391</v>
      </c>
      <c r="U174" s="70">
        <f>SUM(ALL!$U$2:$U$173)</f>
        <v>3054715591231</v>
      </c>
      <c r="V174" s="70">
        <f>SUM(ALL!$V$2:$V$173)</f>
        <v>4582073386847</v>
      </c>
      <c r="W174" s="71">
        <f>SUM(W175/172)</f>
        <v>0.022175</v>
      </c>
    </row>
    <row r="175">
      <c r="A175" s="72"/>
      <c r="B175" s="73"/>
      <c r="C175" s="74"/>
      <c r="D175" s="74"/>
      <c r="E175" s="75"/>
      <c r="F175" s="76"/>
      <c r="G175" s="77"/>
      <c r="H175" s="76"/>
      <c r="I175" s="77"/>
      <c r="J175" s="78"/>
      <c r="K175" s="76"/>
      <c r="L175" s="76"/>
      <c r="M175" s="72"/>
      <c r="N175" s="72"/>
      <c r="O175" s="72"/>
      <c r="P175" s="75"/>
      <c r="Q175" s="75"/>
      <c r="R175" s="79"/>
      <c r="S175" s="80"/>
      <c r="T175" s="81"/>
      <c r="U175" s="81"/>
      <c r="V175" s="81"/>
      <c r="W175" s="82">
        <f>SUM(ALL!$W$2:$W$173)</f>
        <v>3.8141</v>
      </c>
    </row>
    <row r="176">
      <c r="A176" s="72"/>
      <c r="B176" s="83"/>
      <c r="C176" s="84"/>
      <c r="D176" s="84"/>
      <c r="E176" s="85"/>
      <c r="F176" s="76"/>
      <c r="G176" s="83"/>
      <c r="H176" s="76"/>
      <c r="I176" s="83"/>
      <c r="J176" s="86"/>
      <c r="K176" s="76"/>
      <c r="L176" s="76"/>
      <c r="M176" s="87"/>
      <c r="N176" s="72"/>
      <c r="O176" s="76"/>
      <c r="P176" s="79"/>
      <c r="Q176" s="88"/>
      <c r="R176" s="79"/>
      <c r="S176" s="89"/>
      <c r="T176" s="90"/>
      <c r="U176" s="90"/>
      <c r="V176" s="90"/>
      <c r="W176" s="90"/>
    </row>
    <row r="177">
      <c r="A177" s="72"/>
      <c r="B177" s="83"/>
      <c r="C177" s="84"/>
      <c r="D177" s="84"/>
      <c r="E177" s="85"/>
      <c r="F177" s="76"/>
      <c r="G177" s="91"/>
      <c r="H177" s="76"/>
      <c r="I177" s="91"/>
      <c r="J177" s="86"/>
      <c r="K177" s="76"/>
      <c r="L177" s="76"/>
      <c r="M177" s="87"/>
      <c r="N177" s="72"/>
      <c r="O177" s="76"/>
      <c r="P177" s="79"/>
      <c r="Q177" s="88"/>
      <c r="R177" s="88"/>
      <c r="S177" s="84"/>
      <c r="T177" s="92"/>
      <c r="U177" s="92"/>
      <c r="V177" s="92"/>
      <c r="W177" s="92"/>
    </row>
    <row r="178">
      <c r="A178" s="86"/>
      <c r="B178" s="83"/>
      <c r="C178" s="84"/>
      <c r="D178" s="84"/>
      <c r="E178" s="85"/>
      <c r="F178" s="76"/>
      <c r="G178" s="83"/>
      <c r="H178" s="76"/>
      <c r="I178" s="83"/>
      <c r="J178" s="86"/>
      <c r="K178" s="76"/>
      <c r="L178" s="76"/>
      <c r="M178" s="87"/>
      <c r="N178" s="72"/>
      <c r="O178" s="76"/>
      <c r="P178" s="79"/>
      <c r="Q178" s="88"/>
      <c r="R178" s="88"/>
      <c r="S178" s="84"/>
      <c r="T178" s="92"/>
      <c r="U178" s="92"/>
      <c r="V178" s="92"/>
      <c r="W178" s="92"/>
    </row>
    <row r="179">
      <c r="A179" s="86"/>
      <c r="B179" s="83"/>
      <c r="C179" s="84"/>
      <c r="D179" s="84"/>
      <c r="E179" s="85"/>
      <c r="F179" s="76"/>
      <c r="G179" s="72"/>
      <c r="H179" s="76"/>
      <c r="I179" s="72"/>
      <c r="J179" s="86"/>
      <c r="K179" s="76"/>
      <c r="L179" s="76"/>
      <c r="M179" s="87"/>
      <c r="N179" s="72"/>
      <c r="O179" s="76"/>
      <c r="P179" s="79"/>
      <c r="Q179" s="88"/>
      <c r="R179" s="88"/>
      <c r="S179" s="84"/>
      <c r="T179" s="92"/>
      <c r="U179" s="92"/>
      <c r="V179" s="92"/>
      <c r="W179" s="92"/>
    </row>
    <row r="180">
      <c r="A180" s="86"/>
      <c r="B180" s="83"/>
      <c r="C180" s="84"/>
      <c r="D180" s="84"/>
      <c r="E180" s="85"/>
      <c r="F180" s="76"/>
      <c r="G180" s="72"/>
      <c r="H180" s="76"/>
      <c r="I180" s="72"/>
      <c r="J180" s="86"/>
      <c r="K180" s="76"/>
      <c r="L180" s="76"/>
      <c r="M180" s="87"/>
      <c r="N180" s="72"/>
      <c r="O180" s="76"/>
      <c r="P180" s="79"/>
      <c r="Q180" s="88"/>
      <c r="R180" s="88"/>
      <c r="S180" s="84"/>
      <c r="T180" s="92"/>
      <c r="U180" s="92"/>
      <c r="V180" s="92"/>
      <c r="W180" s="92"/>
    </row>
    <row r="181">
      <c r="A181" s="86"/>
      <c r="B181" s="83"/>
      <c r="C181" s="84"/>
      <c r="D181" s="84"/>
      <c r="E181" s="85"/>
      <c r="F181" s="76"/>
      <c r="G181" s="72"/>
      <c r="H181" s="76"/>
      <c r="I181" s="72"/>
      <c r="J181" s="86"/>
      <c r="K181" s="76"/>
      <c r="L181" s="76"/>
      <c r="M181" s="87"/>
      <c r="N181" s="72"/>
      <c r="O181" s="76"/>
      <c r="P181" s="79"/>
      <c r="Q181" s="88"/>
      <c r="R181" s="88"/>
      <c r="S181" s="84"/>
      <c r="T181" s="92"/>
      <c r="U181" s="92"/>
      <c r="V181" s="92"/>
      <c r="W181" s="92"/>
    </row>
    <row r="182">
      <c r="A182" s="86"/>
      <c r="B182" s="83"/>
      <c r="C182" s="84"/>
      <c r="D182" s="84"/>
      <c r="E182" s="85"/>
      <c r="F182" s="76"/>
      <c r="G182" s="72"/>
      <c r="H182" s="76"/>
      <c r="I182" s="72"/>
      <c r="J182" s="86"/>
      <c r="K182" s="76"/>
      <c r="L182" s="76"/>
      <c r="M182" s="87"/>
      <c r="N182" s="72"/>
      <c r="O182" s="76"/>
      <c r="P182" s="79"/>
      <c r="Q182" s="88"/>
      <c r="R182" s="88"/>
      <c r="S182" s="84"/>
      <c r="T182" s="92"/>
      <c r="U182" s="92"/>
      <c r="V182" s="92"/>
      <c r="W182" s="92"/>
    </row>
    <row r="183">
      <c r="A183" s="86"/>
      <c r="B183" s="83"/>
      <c r="C183" s="84"/>
      <c r="D183" s="84"/>
      <c r="E183" s="85"/>
      <c r="F183" s="76"/>
      <c r="G183" s="72"/>
      <c r="H183" s="76"/>
      <c r="I183" s="72"/>
      <c r="J183" s="86"/>
      <c r="K183" s="76"/>
      <c r="L183" s="76"/>
      <c r="M183" s="87"/>
      <c r="N183" s="72"/>
      <c r="O183" s="76"/>
      <c r="P183" s="79"/>
      <c r="Q183" s="88"/>
      <c r="R183" s="88"/>
      <c r="S183" s="84"/>
      <c r="T183" s="92"/>
      <c r="U183" s="92"/>
      <c r="V183" s="92"/>
      <c r="W183" s="92"/>
    </row>
    <row r="184">
      <c r="A184" s="86"/>
      <c r="B184" s="83"/>
      <c r="C184" s="84"/>
      <c r="D184" s="84"/>
      <c r="E184" s="85"/>
      <c r="F184" s="76"/>
      <c r="G184" s="72"/>
      <c r="H184" s="76"/>
      <c r="I184" s="72"/>
      <c r="J184" s="86"/>
      <c r="K184" s="76"/>
      <c r="L184" s="76"/>
      <c r="M184" s="87"/>
      <c r="N184" s="72"/>
      <c r="O184" s="76"/>
      <c r="P184" s="79"/>
      <c r="Q184" s="88"/>
      <c r="R184" s="88"/>
      <c r="S184" s="84"/>
      <c r="T184" s="92"/>
      <c r="U184" s="92"/>
      <c r="V184" s="92"/>
      <c r="W184" s="92"/>
    </row>
    <row r="185">
      <c r="A185" s="86"/>
      <c r="B185" s="83"/>
      <c r="C185" s="84"/>
      <c r="D185" s="84"/>
      <c r="E185" s="85"/>
      <c r="F185" s="76"/>
      <c r="G185" s="72"/>
      <c r="H185" s="76"/>
      <c r="I185" s="72"/>
      <c r="J185" s="86"/>
      <c r="K185" s="76"/>
      <c r="L185" s="76"/>
      <c r="M185" s="87"/>
      <c r="N185" s="72"/>
      <c r="O185" s="76"/>
      <c r="P185" s="79"/>
      <c r="Q185" s="88"/>
      <c r="R185" s="88"/>
      <c r="S185" s="84"/>
      <c r="T185" s="92"/>
      <c r="U185" s="92"/>
      <c r="V185" s="92"/>
      <c r="W185" s="92"/>
    </row>
  </sheetData>
  <dataValidations>
    <dataValidation type="custom" allowBlank="1" showDropDown="1" sqref="F2:I173">
      <formula1>AND(ISNUMBER(F2),(NOT(OR(NOT(ISERROR(DATEVALUE(F2))), AND(ISNUMBER(F2), LEFT(CELL("format", F2))="D")))))</formula1>
    </dataValidation>
    <dataValidation allowBlank="1" showDropDown="1" sqref="A2:A173"/>
  </dataValidations>
  <drawing r:id="rId1"/>
  <tableParts count="2">
    <tablePart r:id="rId4"/>
    <tablePart r:id="rId5"/>
  </tableParts>
</worksheet>
</file>