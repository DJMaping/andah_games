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djusted Rankings" sheetId="1" r:id="rId5"/>
    <sheet state="visible" name="Debuff" sheetId="2" r:id="rId6"/>
    <sheet state="visible" name="Model" sheetId="3" r:id="rId7"/>
  </sheets>
  <definedNames/>
  <calcPr/>
</workbook>
</file>

<file path=xl/sharedStrings.xml><?xml version="1.0" encoding="utf-8"?>
<sst xmlns="http://schemas.openxmlformats.org/spreadsheetml/2006/main" count="747" uniqueCount="237">
  <si>
    <t>New Rank</t>
  </si>
  <si>
    <t>Old Rank</t>
  </si>
  <si>
    <t>Δ Rank</t>
  </si>
  <si>
    <t>Country</t>
  </si>
  <si>
    <t>Sport (Andah)</t>
  </si>
  <si>
    <t>Sport (Earth)</t>
  </si>
  <si>
    <t>Continent</t>
  </si>
  <si>
    <t>Population</t>
  </si>
  <si>
    <t>GDP/cap (NOM)</t>
  </si>
  <si>
    <t>Raw Pred. Points</t>
  </si>
  <si>
    <t>Debuff</t>
  </si>
  <si>
    <t>Adjusted Points</t>
  </si>
  <si>
    <t>Raledria</t>
  </si>
  <si>
    <t>Arraby</t>
  </si>
  <si>
    <t>Football</t>
  </si>
  <si>
    <t>Atirha</t>
  </si>
  <si>
    <t>Emara</t>
  </si>
  <si>
    <t>Ayuma</t>
  </si>
  <si>
    <t>Lycroa</t>
  </si>
  <si>
    <t>Ztesh</t>
  </si>
  <si>
    <t>Quia</t>
  </si>
  <si>
    <t>Verusa</t>
  </si>
  <si>
    <t>United Delet</t>
  </si>
  <si>
    <t>New Ayre</t>
  </si>
  <si>
    <t>Ukhdari</t>
  </si>
  <si>
    <t>New Misos</t>
  </si>
  <si>
    <t>Inania</t>
  </si>
  <si>
    <t>Mahea</t>
  </si>
  <si>
    <t>Seytinemas</t>
  </si>
  <si>
    <t>Quidic</t>
  </si>
  <si>
    <t>Etirha</t>
  </si>
  <si>
    <t>Tanoh</t>
  </si>
  <si>
    <t>Etirhan Football</t>
  </si>
  <si>
    <t>Siana</t>
  </si>
  <si>
    <t>Ealdorii</t>
  </si>
  <si>
    <t>Easuhura</t>
  </si>
  <si>
    <t>Sanagara</t>
  </si>
  <si>
    <t>Massir</t>
  </si>
  <si>
    <t>Praesyu</t>
  </si>
  <si>
    <t>Dahe</t>
  </si>
  <si>
    <t>Arromi</t>
  </si>
  <si>
    <t>Rugby</t>
  </si>
  <si>
    <t>Taval</t>
  </si>
  <si>
    <t>Etretes</t>
  </si>
  <si>
    <t>Trian</t>
  </si>
  <si>
    <t>Vesozata</t>
  </si>
  <si>
    <t>Terressin</t>
  </si>
  <si>
    <t>Acrola</t>
  </si>
  <si>
    <t>Wundry</t>
  </si>
  <si>
    <t>Finae</t>
  </si>
  <si>
    <t>Dual Cenryia</t>
  </si>
  <si>
    <t>Yaxuto</t>
  </si>
  <si>
    <t>Merela Sta</t>
  </si>
  <si>
    <t>Myla</t>
  </si>
  <si>
    <t>Ohtina</t>
  </si>
  <si>
    <t>Genaire</t>
  </si>
  <si>
    <t>Oyreain</t>
  </si>
  <si>
    <t>Pelines</t>
  </si>
  <si>
    <t>Anymna</t>
  </si>
  <si>
    <t>Darewa</t>
  </si>
  <si>
    <t>Chaenia</t>
  </si>
  <si>
    <t>Erkizil</t>
  </si>
  <si>
    <t>Gaeiya</t>
  </si>
  <si>
    <t>Astye</t>
  </si>
  <si>
    <t>Haiza</t>
  </si>
  <si>
    <t>Laselteh</t>
  </si>
  <si>
    <t>Volver</t>
  </si>
  <si>
    <t>Disal Nila</t>
  </si>
  <si>
    <t>Acrana</t>
  </si>
  <si>
    <t>Lydroa</t>
  </si>
  <si>
    <t>North Ayre</t>
  </si>
  <si>
    <t>Fermori</t>
  </si>
  <si>
    <t>Acetoa</t>
  </si>
  <si>
    <t>Isari</t>
  </si>
  <si>
    <t>Arbiya</t>
  </si>
  <si>
    <t>Ilicuhe</t>
  </si>
  <si>
    <t>Sivoso</t>
  </si>
  <si>
    <t>Otiiric</t>
  </si>
  <si>
    <t>Maalle</t>
  </si>
  <si>
    <t>Umarcia</t>
  </si>
  <si>
    <t>Areoix Lie</t>
  </si>
  <si>
    <t>Lamurrian</t>
  </si>
  <si>
    <t>Baseball</t>
  </si>
  <si>
    <t>Hkuqo</t>
  </si>
  <si>
    <t>Eldjo</t>
  </si>
  <si>
    <t>Mendereide</t>
  </si>
  <si>
    <t>Reerica</t>
  </si>
  <si>
    <t>Deschon</t>
  </si>
  <si>
    <t>Isnti</t>
  </si>
  <si>
    <t>Kusierna</t>
  </si>
  <si>
    <t>Nia</t>
  </si>
  <si>
    <t>Iainoa</t>
  </si>
  <si>
    <t>Fincen</t>
  </si>
  <si>
    <t>Ucrua</t>
  </si>
  <si>
    <t>Phuris</t>
  </si>
  <si>
    <t>Prstreula</t>
  </si>
  <si>
    <t>Curata</t>
  </si>
  <si>
    <t>Exilium</t>
  </si>
  <si>
    <t>Nheyes Si</t>
  </si>
  <si>
    <t>Iquir</t>
  </si>
  <si>
    <t>Rijan bu</t>
  </si>
  <si>
    <t>Estijan</t>
  </si>
  <si>
    <t>Phiasri</t>
  </si>
  <si>
    <t>Estijan Baseball</t>
  </si>
  <si>
    <t>Palina</t>
  </si>
  <si>
    <t>Eldavpir</t>
  </si>
  <si>
    <t>Lieri</t>
  </si>
  <si>
    <t>Onphello</t>
  </si>
  <si>
    <t>Jshain</t>
  </si>
  <si>
    <t>Othya</t>
  </si>
  <si>
    <t>Oscairia</t>
  </si>
  <si>
    <t>Pelugrotoa</t>
  </si>
  <si>
    <t>Yari</t>
  </si>
  <si>
    <t>Basketball</t>
  </si>
  <si>
    <t>Grazail</t>
  </si>
  <si>
    <t>Ruylku</t>
  </si>
  <si>
    <t>Zenashan</t>
  </si>
  <si>
    <t>Galca</t>
  </si>
  <si>
    <t>Taing</t>
  </si>
  <si>
    <t>Fire Coast</t>
  </si>
  <si>
    <t>Viussi</t>
  </si>
  <si>
    <t>Inrea</t>
  </si>
  <si>
    <t>Ihner</t>
  </si>
  <si>
    <t>Taoisia</t>
  </si>
  <si>
    <t>Pelan</t>
  </si>
  <si>
    <t>Andsaudare</t>
  </si>
  <si>
    <t>Shinam</t>
  </si>
  <si>
    <t>Tomscilus</t>
  </si>
  <si>
    <t>Peka</t>
  </si>
  <si>
    <t>lasri</t>
  </si>
  <si>
    <t>Walporein</t>
  </si>
  <si>
    <t>Yihnurda</t>
  </si>
  <si>
    <t>Ozinia</t>
  </si>
  <si>
    <t>Baluyde</t>
  </si>
  <si>
    <t>Taniduna</t>
  </si>
  <si>
    <t>Guise</t>
  </si>
  <si>
    <t>Jathua</t>
  </si>
  <si>
    <t>Crila Republic</t>
  </si>
  <si>
    <t>Candenat</t>
  </si>
  <si>
    <t>Rtesania</t>
  </si>
  <si>
    <t>Aetintio</t>
  </si>
  <si>
    <t>Eparia</t>
  </si>
  <si>
    <t>Slyiaduun</t>
  </si>
  <si>
    <t>Umendel</t>
  </si>
  <si>
    <t>Sunsokua</t>
  </si>
  <si>
    <t>Yutnitu</t>
  </si>
  <si>
    <t>Sattle</t>
  </si>
  <si>
    <t>Ashain</t>
  </si>
  <si>
    <t>Aplasia</t>
  </si>
  <si>
    <t>Canldives</t>
  </si>
  <si>
    <t>Pruim Fijan</t>
  </si>
  <si>
    <t>Vayvele</t>
  </si>
  <si>
    <t>Saa</t>
  </si>
  <si>
    <t>Welenu Fana</t>
  </si>
  <si>
    <t>New Kizura</t>
  </si>
  <si>
    <t>Amcha</t>
  </si>
  <si>
    <t>Ahokini</t>
  </si>
  <si>
    <t>Zhanshe</t>
  </si>
  <si>
    <t>Heiso</t>
  </si>
  <si>
    <t>Tjarnvesla</t>
  </si>
  <si>
    <t>Ice Hockey</t>
  </si>
  <si>
    <t>Ayuma/Acrola</t>
  </si>
  <si>
    <t>Metndria</t>
  </si>
  <si>
    <t>Verste</t>
  </si>
  <si>
    <t>Balumrik</t>
  </si>
  <si>
    <t>Archery</t>
  </si>
  <si>
    <t>Migoku</t>
  </si>
  <si>
    <t>Niretui and Anulan</t>
  </si>
  <si>
    <t>Desaki</t>
  </si>
  <si>
    <t>Selaja</t>
  </si>
  <si>
    <t>Suenan</t>
  </si>
  <si>
    <t>Spingavarna</t>
  </si>
  <si>
    <t>Dodgeball</t>
  </si>
  <si>
    <t>Veelmit</t>
  </si>
  <si>
    <t>Rinew</t>
  </si>
  <si>
    <t>Shomjind</t>
  </si>
  <si>
    <t>Sadain</t>
  </si>
  <si>
    <t>Elja and Munusia</t>
  </si>
  <si>
    <t>Yoprioq</t>
  </si>
  <si>
    <t>Rkmepuia</t>
  </si>
  <si>
    <t>Hiwush</t>
  </si>
  <si>
    <t>Iareva</t>
  </si>
  <si>
    <t>Uularin</t>
  </si>
  <si>
    <t>Cloja</t>
  </si>
  <si>
    <t>Western Migoku</t>
  </si>
  <si>
    <t>Pha Hii</t>
  </si>
  <si>
    <t>Rethern</t>
  </si>
  <si>
    <t>Koruch</t>
  </si>
  <si>
    <t>Feio Lie</t>
  </si>
  <si>
    <t>United Mihili</t>
  </si>
  <si>
    <t>Ocaun</t>
  </si>
  <si>
    <t>Keresuwe</t>
  </si>
  <si>
    <t>Wrestling</t>
  </si>
  <si>
    <t>Enina</t>
  </si>
  <si>
    <t>Prystr Hii</t>
  </si>
  <si>
    <t>Mesjan Hyaa</t>
  </si>
  <si>
    <t>Jau</t>
  </si>
  <si>
    <t>Isuibul</t>
  </si>
  <si>
    <t>Danocia</t>
  </si>
  <si>
    <t>Kaastini</t>
  </si>
  <si>
    <t>Letan</t>
  </si>
  <si>
    <t>Byllu</t>
  </si>
  <si>
    <t>Ikzen</t>
  </si>
  <si>
    <t>Urbiqu</t>
  </si>
  <si>
    <t>Tvecoca</t>
  </si>
  <si>
    <t>Stinebar</t>
  </si>
  <si>
    <t>Trevilla</t>
  </si>
  <si>
    <t>Niul Spijan</t>
  </si>
  <si>
    <t>Hyelen</t>
  </si>
  <si>
    <t>Cruthi Anoso</t>
  </si>
  <si>
    <t>Tonder</t>
  </si>
  <si>
    <t>Far Lands</t>
  </si>
  <si>
    <t>Debuff (points)</t>
  </si>
  <si>
    <t>How this works</t>
  </si>
  <si>
    <t>These debuffs are subtracted from each country's raw predicted FIFA points.</t>
  </si>
  <si>
    <t>Football (Arraby) gets zero — the model already targets football. Other sports</t>
  </si>
  <si>
    <t>get a penalty proportional to how unrelated they are to football, calibrated</t>
  </si>
  <si>
    <t>against real-world residuals from the earlier 210-nation fit:</t>
  </si>
  <si>
    <t xml:space="preserve">  Real-world examples that informed these defaults:</t>
  </si>
  <si>
    <t xml:space="preserve">    Cricket nations (India, Pakistan, Bangladesh)  → −500 to −600 pts</t>
  </si>
  <si>
    <t xml:space="preserve">    Basketball-dominant (Philippines)              → −340 pts</t>
  </si>
  <si>
    <t xml:space="preserve">    Baseball cultures (Cuba)                       → −310 pts</t>
  </si>
  <si>
    <t xml:space="preserve">    Rugby cultures (New Zealand, Wales)            → −200 to −250 pts</t>
  </si>
  <si>
    <t xml:space="preserve">    Hockey cultures (Canada, Russia)               → modest, ~−250 pts</t>
  </si>
  <si>
    <t>Tanoh (Etirhan Football) takes a small penalty because the skills overlap with</t>
  </si>
  <si>
    <t>Arraby — it's a football variant, not an unrelated sport.</t>
  </si>
  <si>
    <t>Edit any yellow cell above. The 'Adjusted Points' and 'New Rank' columns on</t>
  </si>
  <si>
    <t>the main sheet will recalculate immediately. To remove debuffs entirely, set</t>
  </si>
  <si>
    <t>every value here to 0.</t>
  </si>
  <si>
    <t>Regression model — Predicted FIFA Points</t>
  </si>
  <si>
    <t>Intercept (β₀)</t>
  </si>
  <si>
    <t>log₁₀(Population) coefficient (β₁)</t>
  </si>
  <si>
    <t>log₁₀(GDP per capita) coefficient (β₂)</t>
  </si>
  <si>
    <t>Formula</t>
  </si>
  <si>
    <t>Raw predicted points = β₀ + β₁·log₁₀(Population) + β₂·log₁₀(GDP per capita)</t>
  </si>
  <si>
    <t xml:space="preserve">                ≈ -801.1 + 195.6·log₁₀(Pop) + 181.9·log₁₀(GDP/cap)</t>
  </si>
  <si>
    <t>Adjusted points = Raw points − Debuff (from Debuff sheet, looked up by sport)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</si>
</sst>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\$#,##0"/>
    <numFmt numFmtId="165" formatCode="0;\-0;\-"/>
    <numFmt numFmtId="166" formatCode="0.0000"/>
  </numFmts>
  <fonts count="11">
    <font>
      <sz val="11.0"/>
      <color theme="1"/>
      <name val="Calibri"/>
      <scheme val="minor"/>
    </font>
    <font>
      <b/>
      <sz val="11.0"/>
      <color rgb="FFFFFFFF"/>
      <name val="Arial"/>
    </font>
    <font>
      <sz val="10.0"/>
      <color theme="1"/>
      <name val="Arial"/>
    </font>
    <font>
      <b/>
      <sz val="10.0"/>
      <color theme="1"/>
      <name val="Arial"/>
    </font>
    <font>
      <b/>
      <sz val="12.0"/>
      <color rgb="FF1F4E78"/>
      <name val="Arial"/>
    </font>
    <font>
      <b/>
      <sz val="14.0"/>
      <color rgb="FF1F4E78"/>
      <name val="Arial"/>
    </font>
    <font>
      <b/>
      <sz val="11.0"/>
      <color theme="1"/>
      <name val="Arial"/>
    </font>
    <font>
      <sz val="11.0"/>
      <color theme="1"/>
      <name val="Calibri"/>
    </font>
    <font>
      <color theme="1"/>
      <name val="Calibri"/>
      <scheme val="minor"/>
    </font>
    <font>
      <sz val="10.0"/>
      <color theme="1"/>
      <name val="Consolas"/>
    </font>
    <font>
      <i/>
      <sz val="10.0"/>
      <color rgb="FF595959"/>
      <name val="Arial"/>
    </font>
  </fonts>
  <fills count="6">
    <fill>
      <patternFill patternType="none"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1F4E78"/>
        <bgColor rgb="FF1F4E78"/>
      </patternFill>
    </fill>
    <fill>
      <patternFill patternType="solid">
        <fgColor rgb="FFC00000"/>
        <bgColor rgb="FFC00000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3" xfId="0" applyAlignment="1" applyBorder="1" applyFont="1" applyNumberFormat="1">
      <alignment horizontal="right" shrinkToFit="0" vertical="bottom" wrapText="0"/>
    </xf>
    <xf borderId="1" fillId="0" fontId="2" numFmtId="164" xfId="0" applyAlignment="1" applyBorder="1" applyFont="1" applyNumberFormat="1">
      <alignment horizontal="right" shrinkToFit="0" vertical="bottom" wrapText="0"/>
    </xf>
    <xf borderId="1" fillId="0" fontId="2" numFmtId="1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3" numFmtId="1" xfId="0" applyAlignment="1" applyBorder="1" applyFont="1" applyNumberFormat="1">
      <alignment horizontal="center" shrinkToFit="0" vertical="bottom" wrapText="0"/>
    </xf>
    <xf borderId="1" fillId="4" fontId="1" numFmtId="0" xfId="0" applyAlignment="1" applyBorder="1" applyFont="1">
      <alignment horizontal="center" shrinkToFit="0" vertical="bottom" wrapText="0"/>
    </xf>
    <xf borderId="1" fillId="5" fontId="3" numFmtId="1" xfId="0" applyAlignment="1" applyBorder="1" applyFill="1" applyFont="1" applyNumberForma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2" fillId="5" fontId="7" numFmtId="166" xfId="0" applyAlignment="1" applyBorder="1" applyFont="1" applyNumberFormat="1">
      <alignment horizontal="right" shrinkToFit="0" vertical="bottom" wrapText="0"/>
    </xf>
    <xf borderId="0" fillId="0" fontId="8" numFmtId="0" xfId="0" applyFont="1"/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2" width="10.0"/>
    <col customWidth="1" min="3" max="3" width="9.0"/>
    <col customWidth="1" min="4" max="4" width="22.0"/>
    <col customWidth="1" min="5" max="5" width="14.0"/>
    <col customWidth="1" min="6" max="6" width="18.0"/>
    <col customWidth="1" min="7" max="7" width="12.0"/>
    <col customWidth="1" min="8" max="8" width="16.0"/>
    <col customWidth="1" min="9" max="10" width="14.0"/>
    <col customWidth="1" min="11" max="11" width="10.0"/>
    <col customWidth="1" min="12" max="12" width="14.0"/>
    <col customWidth="1" min="13" max="26" width="8.71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</row>
    <row r="2">
      <c r="A2" s="4">
        <f t="shared" ref="A2:A173" si="1">RANK(L2,$L$2:$L$173,0)</f>
        <v>1</v>
      </c>
      <c r="B2" s="4">
        <f t="shared" ref="B2:B173" si="2">RANK(J2,$J$2:$J$173,0)</f>
        <v>2</v>
      </c>
      <c r="C2" s="4">
        <f t="shared" ref="C2:C173" si="3">B2-A2</f>
        <v>1</v>
      </c>
      <c r="D2" s="5" t="s">
        <v>12</v>
      </c>
      <c r="E2" s="5" t="s">
        <v>13</v>
      </c>
      <c r="F2" s="5" t="s">
        <v>14</v>
      </c>
      <c r="G2" s="5" t="s">
        <v>15</v>
      </c>
      <c r="H2" s="6">
        <v>3.01115278E8</v>
      </c>
      <c r="I2" s="7">
        <v>28492.06</v>
      </c>
      <c r="J2" s="8">
        <f>Model!$B$2 + Model!$B$3*LOG10(H2) + Model!$B$4*LOG10(I2)</f>
        <v>1667.358389</v>
      </c>
      <c r="K2" s="9">
        <f>VLOOKUP(E2,Debuff!$A$2:$C$11,3,FALSE())</f>
        <v>0</v>
      </c>
      <c r="L2" s="10">
        <f t="shared" ref="L2:L173" si="4">J2-K2</f>
        <v>1667.358389</v>
      </c>
    </row>
    <row r="3">
      <c r="A3" s="4">
        <f t="shared" si="1"/>
        <v>2</v>
      </c>
      <c r="B3" s="4">
        <f t="shared" si="2"/>
        <v>7</v>
      </c>
      <c r="C3" s="4">
        <f t="shared" si="3"/>
        <v>5</v>
      </c>
      <c r="D3" s="5" t="s">
        <v>16</v>
      </c>
      <c r="E3" s="5" t="s">
        <v>13</v>
      </c>
      <c r="F3" s="5" t="s">
        <v>14</v>
      </c>
      <c r="G3" s="5" t="s">
        <v>17</v>
      </c>
      <c r="H3" s="6">
        <v>9.086104E7</v>
      </c>
      <c r="I3" s="7">
        <v>23214.29</v>
      </c>
      <c r="J3" s="8">
        <f>Model!$B$2 + Model!$B$3*LOG10(H3) + Model!$B$4*LOG10(I3)</f>
        <v>1549.411184</v>
      </c>
      <c r="K3" s="9">
        <f>VLOOKUP(E3,Debuff!$A$2:$C$11,3,FALSE())</f>
        <v>0</v>
      </c>
      <c r="L3" s="10">
        <f t="shared" si="4"/>
        <v>1549.411184</v>
      </c>
    </row>
    <row r="4">
      <c r="A4" s="4">
        <f t="shared" si="1"/>
        <v>3</v>
      </c>
      <c r="B4" s="4">
        <f t="shared" si="2"/>
        <v>8</v>
      </c>
      <c r="C4" s="4">
        <f t="shared" si="3"/>
        <v>5</v>
      </c>
      <c r="D4" s="5" t="s">
        <v>18</v>
      </c>
      <c r="E4" s="5" t="s">
        <v>13</v>
      </c>
      <c r="F4" s="5" t="s">
        <v>14</v>
      </c>
      <c r="G4" s="5" t="s">
        <v>17</v>
      </c>
      <c r="H4" s="6">
        <v>8.1313729E7</v>
      </c>
      <c r="I4" s="7">
        <v>20634.92</v>
      </c>
      <c r="J4" s="8">
        <f>Model!$B$2 + Model!$B$3*LOG10(H4) + Model!$B$4*LOG10(I4)</f>
        <v>1530.67729</v>
      </c>
      <c r="K4" s="9">
        <f>VLOOKUP(E4,Debuff!$A$2:$C$11,3,FALSE())</f>
        <v>0</v>
      </c>
      <c r="L4" s="10">
        <f t="shared" si="4"/>
        <v>1530.67729</v>
      </c>
    </row>
    <row r="5">
      <c r="A5" s="4">
        <f t="shared" si="1"/>
        <v>4</v>
      </c>
      <c r="B5" s="4">
        <f t="shared" si="2"/>
        <v>9</v>
      </c>
      <c r="C5" s="4">
        <f t="shared" si="3"/>
        <v>5</v>
      </c>
      <c r="D5" s="5" t="s">
        <v>19</v>
      </c>
      <c r="E5" s="5" t="s">
        <v>13</v>
      </c>
      <c r="F5" s="5" t="s">
        <v>14</v>
      </c>
      <c r="G5" s="5" t="s">
        <v>20</v>
      </c>
      <c r="H5" s="6">
        <v>4.25141434E8</v>
      </c>
      <c r="I5" s="7">
        <v>3408.73</v>
      </c>
      <c r="J5" s="8">
        <f>Model!$B$2 + Model!$B$3*LOG10(H5) + Model!$B$4*LOG10(I5)</f>
        <v>1528.913344</v>
      </c>
      <c r="K5" s="9">
        <f>VLOOKUP(E5,Debuff!$A$2:$C$11,3,FALSE())</f>
        <v>0</v>
      </c>
      <c r="L5" s="10">
        <f t="shared" si="4"/>
        <v>1528.913344</v>
      </c>
    </row>
    <row r="6">
      <c r="A6" s="4">
        <f t="shared" si="1"/>
        <v>5</v>
      </c>
      <c r="B6" s="4">
        <f t="shared" si="2"/>
        <v>10</v>
      </c>
      <c r="C6" s="4">
        <f t="shared" si="3"/>
        <v>5</v>
      </c>
      <c r="D6" s="5" t="s">
        <v>21</v>
      </c>
      <c r="E6" s="5" t="s">
        <v>13</v>
      </c>
      <c r="F6" s="5" t="s">
        <v>14</v>
      </c>
      <c r="G6" s="5" t="s">
        <v>17</v>
      </c>
      <c r="H6" s="6">
        <v>6.9480631E7</v>
      </c>
      <c r="I6" s="7">
        <v>22301.59</v>
      </c>
      <c r="J6" s="8">
        <f>Model!$B$2 + Model!$B$3*LOG10(H6) + Model!$B$4*LOG10(I6)</f>
        <v>1523.456391</v>
      </c>
      <c r="K6" s="9">
        <f>VLOOKUP(E6,Debuff!$A$2:$C$11,3,FALSE())</f>
        <v>0</v>
      </c>
      <c r="L6" s="10">
        <f t="shared" si="4"/>
        <v>1523.456391</v>
      </c>
    </row>
    <row r="7">
      <c r="A7" s="4">
        <f t="shared" si="1"/>
        <v>6</v>
      </c>
      <c r="B7" s="4">
        <f t="shared" si="2"/>
        <v>12</v>
      </c>
      <c r="C7" s="4">
        <f t="shared" si="3"/>
        <v>6</v>
      </c>
      <c r="D7" s="5" t="s">
        <v>22</v>
      </c>
      <c r="E7" s="5" t="s">
        <v>13</v>
      </c>
      <c r="F7" s="5" t="s">
        <v>14</v>
      </c>
      <c r="G7" s="5" t="s">
        <v>23</v>
      </c>
      <c r="H7" s="6">
        <v>9.38325E7</v>
      </c>
      <c r="I7" s="7">
        <v>10198.41</v>
      </c>
      <c r="J7" s="8">
        <f>Model!$B$2 + Model!$B$3*LOG10(H7) + Model!$B$4*LOG10(I7)</f>
        <v>1487.163469</v>
      </c>
      <c r="K7" s="9">
        <f>VLOOKUP(E7,Debuff!$A$2:$C$11,3,FALSE())</f>
        <v>0</v>
      </c>
      <c r="L7" s="10">
        <f t="shared" si="4"/>
        <v>1487.163469</v>
      </c>
    </row>
    <row r="8">
      <c r="A8" s="4">
        <f t="shared" si="1"/>
        <v>7</v>
      </c>
      <c r="B8" s="4">
        <f t="shared" si="2"/>
        <v>13</v>
      </c>
      <c r="C8" s="4">
        <f t="shared" si="3"/>
        <v>6</v>
      </c>
      <c r="D8" s="5" t="s">
        <v>24</v>
      </c>
      <c r="E8" s="5" t="s">
        <v>13</v>
      </c>
      <c r="F8" s="5" t="s">
        <v>14</v>
      </c>
      <c r="G8" s="5" t="s">
        <v>17</v>
      </c>
      <c r="H8" s="6">
        <v>8.5678806E7</v>
      </c>
      <c r="I8" s="7">
        <v>11230.16</v>
      </c>
      <c r="J8" s="8">
        <f>Model!$B$2 + Model!$B$3*LOG10(H8) + Model!$B$4*LOG10(I8)</f>
        <v>1487.055959</v>
      </c>
      <c r="K8" s="9">
        <f>VLOOKUP(E8,Debuff!$A$2:$C$11,3,FALSE())</f>
        <v>0</v>
      </c>
      <c r="L8" s="10">
        <f t="shared" si="4"/>
        <v>1487.055959</v>
      </c>
    </row>
    <row r="9">
      <c r="A9" s="4">
        <f t="shared" si="1"/>
        <v>8</v>
      </c>
      <c r="B9" s="4">
        <f t="shared" si="2"/>
        <v>14</v>
      </c>
      <c r="C9" s="4">
        <f t="shared" si="3"/>
        <v>6</v>
      </c>
      <c r="D9" s="5" t="s">
        <v>25</v>
      </c>
      <c r="E9" s="5" t="s">
        <v>13</v>
      </c>
      <c r="F9" s="5" t="s">
        <v>14</v>
      </c>
      <c r="G9" s="5" t="s">
        <v>15</v>
      </c>
      <c r="H9" s="6">
        <v>5.3637198E7</v>
      </c>
      <c r="I9" s="7">
        <v>15555.56</v>
      </c>
      <c r="J9" s="8">
        <f>Model!$B$2 + Model!$B$3*LOG10(H9) + Model!$B$4*LOG10(I9)</f>
        <v>1473.016155</v>
      </c>
      <c r="K9" s="9">
        <f>VLOOKUP(E9,Debuff!$A$2:$C$11,3,FALSE())</f>
        <v>0</v>
      </c>
      <c r="L9" s="10">
        <f t="shared" si="4"/>
        <v>1473.016155</v>
      </c>
    </row>
    <row r="10">
      <c r="A10" s="4">
        <f t="shared" si="1"/>
        <v>9</v>
      </c>
      <c r="B10" s="4">
        <f t="shared" si="2"/>
        <v>15</v>
      </c>
      <c r="C10" s="4">
        <f t="shared" si="3"/>
        <v>6</v>
      </c>
      <c r="D10" s="5" t="s">
        <v>26</v>
      </c>
      <c r="E10" s="5" t="s">
        <v>13</v>
      </c>
      <c r="F10" s="5" t="s">
        <v>14</v>
      </c>
      <c r="G10" s="5" t="s">
        <v>27</v>
      </c>
      <c r="H10" s="6">
        <v>2.36475569E8</v>
      </c>
      <c r="I10" s="7">
        <v>3134.92</v>
      </c>
      <c r="J10" s="8">
        <f>Model!$B$2 + Model!$B$3*LOG10(H10) + Model!$B$4*LOG10(I10)</f>
        <v>1472.478461</v>
      </c>
      <c r="K10" s="9">
        <f>VLOOKUP(E10,Debuff!$A$2:$C$11,3,FALSE())</f>
        <v>0</v>
      </c>
      <c r="L10" s="10">
        <f t="shared" si="4"/>
        <v>1472.478461</v>
      </c>
    </row>
    <row r="11">
      <c r="A11" s="4">
        <f t="shared" si="1"/>
        <v>10</v>
      </c>
      <c r="B11" s="4">
        <f t="shared" si="2"/>
        <v>16</v>
      </c>
      <c r="C11" s="4">
        <f t="shared" si="3"/>
        <v>6</v>
      </c>
      <c r="D11" s="5" t="s">
        <v>28</v>
      </c>
      <c r="E11" s="5" t="s">
        <v>13</v>
      </c>
      <c r="F11" s="5" t="s">
        <v>14</v>
      </c>
      <c r="G11" s="5" t="s">
        <v>27</v>
      </c>
      <c r="H11" s="6">
        <v>7.1957346E7</v>
      </c>
      <c r="I11" s="7">
        <v>10992.06</v>
      </c>
      <c r="J11" s="8">
        <f>Model!$B$2 + Model!$B$3*LOG10(H11) + Model!$B$4*LOG10(I11)</f>
        <v>1470.539487</v>
      </c>
      <c r="K11" s="9">
        <f>VLOOKUP(E11,Debuff!$A$2:$C$11,3,FALSE())</f>
        <v>0</v>
      </c>
      <c r="L11" s="10">
        <f t="shared" si="4"/>
        <v>1470.539487</v>
      </c>
    </row>
    <row r="12">
      <c r="A12" s="4">
        <f t="shared" si="1"/>
        <v>11</v>
      </c>
      <c r="B12" s="4">
        <f t="shared" si="2"/>
        <v>18</v>
      </c>
      <c r="C12" s="4">
        <f t="shared" si="3"/>
        <v>7</v>
      </c>
      <c r="D12" s="5" t="s">
        <v>29</v>
      </c>
      <c r="E12" s="5" t="s">
        <v>13</v>
      </c>
      <c r="F12" s="5" t="s">
        <v>14</v>
      </c>
      <c r="G12" s="5" t="s">
        <v>20</v>
      </c>
      <c r="H12" s="6">
        <v>1.43972723E8</v>
      </c>
      <c r="I12" s="7">
        <v>5000.0</v>
      </c>
      <c r="J12" s="8">
        <f>Model!$B$2 + Model!$B$3*LOG10(H12) + Model!$B$4*LOG10(I12)</f>
        <v>1467.213161</v>
      </c>
      <c r="K12" s="9">
        <f>VLOOKUP(E12,Debuff!$A$2:$C$11,3,FALSE())</f>
        <v>0</v>
      </c>
      <c r="L12" s="10">
        <f t="shared" si="4"/>
        <v>1467.213161</v>
      </c>
    </row>
    <row r="13">
      <c r="A13" s="4">
        <f t="shared" si="1"/>
        <v>12</v>
      </c>
      <c r="B13" s="4">
        <f t="shared" si="2"/>
        <v>6</v>
      </c>
      <c r="C13" s="4">
        <f t="shared" si="3"/>
        <v>-6</v>
      </c>
      <c r="D13" s="5" t="s">
        <v>30</v>
      </c>
      <c r="E13" s="5" t="s">
        <v>31</v>
      </c>
      <c r="F13" s="5" t="s">
        <v>32</v>
      </c>
      <c r="G13" s="5" t="s">
        <v>15</v>
      </c>
      <c r="H13" s="6">
        <v>7.4667447E7</v>
      </c>
      <c r="I13" s="7">
        <v>35396.83</v>
      </c>
      <c r="J13" s="8">
        <f>Model!$B$2 + Model!$B$3*LOG10(H13) + Model!$B$4*LOG10(I13)</f>
        <v>1566.066691</v>
      </c>
      <c r="K13" s="9">
        <f>VLOOKUP(E13,Debuff!$A$2:$C$11,3,FALSE())</f>
        <v>100</v>
      </c>
      <c r="L13" s="10">
        <f t="shared" si="4"/>
        <v>1466.066691</v>
      </c>
    </row>
    <row r="14">
      <c r="A14" s="4">
        <f t="shared" si="1"/>
        <v>13</v>
      </c>
      <c r="B14" s="4">
        <f t="shared" si="2"/>
        <v>19</v>
      </c>
      <c r="C14" s="4">
        <f t="shared" si="3"/>
        <v>6</v>
      </c>
      <c r="D14" s="5" t="s">
        <v>33</v>
      </c>
      <c r="E14" s="5" t="s">
        <v>13</v>
      </c>
      <c r="F14" s="5" t="s">
        <v>14</v>
      </c>
      <c r="G14" s="5" t="s">
        <v>17</v>
      </c>
      <c r="H14" s="6">
        <v>3.9335005E7</v>
      </c>
      <c r="I14" s="7">
        <v>19087.3</v>
      </c>
      <c r="J14" s="8">
        <f>Model!$B$2 + Model!$B$3*LOG10(H14) + Model!$B$4*LOG10(I14)</f>
        <v>1462.840012</v>
      </c>
      <c r="K14" s="9">
        <f>VLOOKUP(E14,Debuff!$A$2:$C$11,3,FALSE())</f>
        <v>0</v>
      </c>
      <c r="L14" s="10">
        <f t="shared" si="4"/>
        <v>1462.840012</v>
      </c>
    </row>
    <row r="15">
      <c r="A15" s="4">
        <f t="shared" si="1"/>
        <v>14</v>
      </c>
      <c r="B15" s="4">
        <f t="shared" si="2"/>
        <v>20</v>
      </c>
      <c r="C15" s="4">
        <f t="shared" si="3"/>
        <v>6</v>
      </c>
      <c r="D15" s="5" t="s">
        <v>34</v>
      </c>
      <c r="E15" s="5" t="s">
        <v>13</v>
      </c>
      <c r="F15" s="5" t="s">
        <v>14</v>
      </c>
      <c r="G15" s="5" t="s">
        <v>17</v>
      </c>
      <c r="H15" s="6">
        <v>1.37992638E8</v>
      </c>
      <c r="I15" s="7">
        <v>4920.63</v>
      </c>
      <c r="J15" s="8">
        <f>Model!$B$2 + Model!$B$3*LOG10(H15) + Model!$B$4*LOG10(I15)</f>
        <v>1462.345893</v>
      </c>
      <c r="K15" s="9">
        <f>VLOOKUP(E15,Debuff!$A$2:$C$11,3,FALSE())</f>
        <v>0</v>
      </c>
      <c r="L15" s="10">
        <f t="shared" si="4"/>
        <v>1462.345893</v>
      </c>
    </row>
    <row r="16">
      <c r="A16" s="4">
        <f t="shared" si="1"/>
        <v>15</v>
      </c>
      <c r="B16" s="4">
        <f t="shared" si="2"/>
        <v>21</v>
      </c>
      <c r="C16" s="4">
        <f t="shared" si="3"/>
        <v>6</v>
      </c>
      <c r="D16" s="5" t="s">
        <v>35</v>
      </c>
      <c r="E16" s="5" t="s">
        <v>13</v>
      </c>
      <c r="F16" s="5" t="s">
        <v>14</v>
      </c>
      <c r="G16" s="5" t="s">
        <v>17</v>
      </c>
      <c r="H16" s="6">
        <v>2.991365E7</v>
      </c>
      <c r="I16" s="7">
        <v>25000.0</v>
      </c>
      <c r="J16" s="8">
        <f>Model!$B$2 + Model!$B$3*LOG10(H16) + Model!$B$4*LOG10(I16)</f>
        <v>1460.903912</v>
      </c>
      <c r="K16" s="9">
        <f>VLOOKUP(E16,Debuff!$A$2:$C$11,3,FALSE())</f>
        <v>0</v>
      </c>
      <c r="L16" s="10">
        <f t="shared" si="4"/>
        <v>1460.903912</v>
      </c>
    </row>
    <row r="17">
      <c r="A17" s="4">
        <f t="shared" si="1"/>
        <v>16</v>
      </c>
      <c r="B17" s="4">
        <f t="shared" si="2"/>
        <v>23</v>
      </c>
      <c r="C17" s="4">
        <f t="shared" si="3"/>
        <v>7</v>
      </c>
      <c r="D17" s="5" t="s">
        <v>36</v>
      </c>
      <c r="E17" s="5" t="s">
        <v>13</v>
      </c>
      <c r="F17" s="5" t="s">
        <v>14</v>
      </c>
      <c r="G17" s="5" t="s">
        <v>37</v>
      </c>
      <c r="H17" s="6">
        <v>3.8792291E7</v>
      </c>
      <c r="I17" s="7">
        <v>15277.78</v>
      </c>
      <c r="J17" s="8">
        <f>Model!$B$2 + Model!$B$3*LOG10(H17) + Model!$B$4*LOG10(I17)</f>
        <v>1444.072608</v>
      </c>
      <c r="K17" s="9">
        <f>VLOOKUP(E17,Debuff!$A$2:$C$11,3,FALSE())</f>
        <v>0</v>
      </c>
      <c r="L17" s="10">
        <f t="shared" si="4"/>
        <v>1444.072608</v>
      </c>
    </row>
    <row r="18">
      <c r="A18" s="4">
        <f t="shared" si="1"/>
        <v>17</v>
      </c>
      <c r="B18" s="4">
        <f t="shared" si="2"/>
        <v>24</v>
      </c>
      <c r="C18" s="4">
        <f t="shared" si="3"/>
        <v>7</v>
      </c>
      <c r="D18" s="5" t="s">
        <v>38</v>
      </c>
      <c r="E18" s="5" t="s">
        <v>13</v>
      </c>
      <c r="F18" s="5" t="s">
        <v>14</v>
      </c>
      <c r="G18" s="5" t="s">
        <v>17</v>
      </c>
      <c r="H18" s="6">
        <v>3.922775E7</v>
      </c>
      <c r="I18" s="7">
        <v>14166.67</v>
      </c>
      <c r="J18" s="8">
        <f>Model!$B$2 + Model!$B$3*LOG10(H18) + Model!$B$4*LOG10(I18)</f>
        <v>1439.055568</v>
      </c>
      <c r="K18" s="9">
        <f>VLOOKUP(E18,Debuff!$A$2:$C$11,3,FALSE())</f>
        <v>0</v>
      </c>
      <c r="L18" s="10">
        <f t="shared" si="4"/>
        <v>1439.055568</v>
      </c>
    </row>
    <row r="19">
      <c r="A19" s="4">
        <f t="shared" si="1"/>
        <v>18</v>
      </c>
      <c r="B19" s="4">
        <f t="shared" si="2"/>
        <v>1</v>
      </c>
      <c r="C19" s="4">
        <f t="shared" si="3"/>
        <v>-17</v>
      </c>
      <c r="D19" s="5" t="s">
        <v>39</v>
      </c>
      <c r="E19" s="5" t="s">
        <v>40</v>
      </c>
      <c r="F19" s="5" t="s">
        <v>41</v>
      </c>
      <c r="G19" s="5" t="s">
        <v>37</v>
      </c>
      <c r="H19" s="6">
        <v>8.90601322E8</v>
      </c>
      <c r="I19" s="7">
        <v>10754.97</v>
      </c>
      <c r="J19" s="8">
        <f>Model!$B$2 + Model!$B$3*LOG10(H19) + Model!$B$4*LOG10(I19)</f>
        <v>1682.493003</v>
      </c>
      <c r="K19" s="9">
        <f>VLOOKUP(E19,Debuff!$A$2:$C$11,3,FALSE())</f>
        <v>250</v>
      </c>
      <c r="L19" s="10">
        <f t="shared" si="4"/>
        <v>1432.493003</v>
      </c>
    </row>
    <row r="20">
      <c r="A20" s="4">
        <f t="shared" si="1"/>
        <v>19</v>
      </c>
      <c r="B20" s="4">
        <f t="shared" si="2"/>
        <v>26</v>
      </c>
      <c r="C20" s="4">
        <f t="shared" si="3"/>
        <v>7</v>
      </c>
      <c r="D20" s="5" t="s">
        <v>42</v>
      </c>
      <c r="E20" s="5" t="s">
        <v>13</v>
      </c>
      <c r="F20" s="5" t="s">
        <v>14</v>
      </c>
      <c r="G20" s="5" t="s">
        <v>37</v>
      </c>
      <c r="H20" s="6">
        <v>4.4529546E7</v>
      </c>
      <c r="I20" s="7">
        <v>10634.92</v>
      </c>
      <c r="J20" s="8">
        <f>Model!$B$2 + Model!$B$3*LOG10(H20) + Model!$B$4*LOG10(I20)</f>
        <v>1427.169034</v>
      </c>
      <c r="K20" s="9">
        <f>VLOOKUP(E20,Debuff!$A$2:$C$11,3,FALSE())</f>
        <v>0</v>
      </c>
      <c r="L20" s="10">
        <f t="shared" si="4"/>
        <v>1427.169034</v>
      </c>
    </row>
    <row r="21" ht="15.75" customHeight="1">
      <c r="A21" s="4">
        <f t="shared" si="1"/>
        <v>20</v>
      </c>
      <c r="B21" s="4">
        <f t="shared" si="2"/>
        <v>27</v>
      </c>
      <c r="C21" s="4">
        <f t="shared" si="3"/>
        <v>7</v>
      </c>
      <c r="D21" s="5" t="s">
        <v>43</v>
      </c>
      <c r="E21" s="5" t="s">
        <v>13</v>
      </c>
      <c r="F21" s="5" t="s">
        <v>14</v>
      </c>
      <c r="G21" s="5" t="s">
        <v>37</v>
      </c>
      <c r="H21" s="6">
        <v>2.1374692E7</v>
      </c>
      <c r="I21" s="7">
        <v>22896.83</v>
      </c>
      <c r="J21" s="8">
        <f>Model!$B$2 + Model!$B$3*LOG10(H21) + Model!$B$4*LOG10(I21)</f>
        <v>1425.414986</v>
      </c>
      <c r="K21" s="9">
        <f>VLOOKUP(E21,Debuff!$A$2:$C$11,3,FALSE())</f>
        <v>0</v>
      </c>
      <c r="L21" s="10">
        <f t="shared" si="4"/>
        <v>1425.414986</v>
      </c>
    </row>
    <row r="22" ht="15.75" customHeight="1">
      <c r="A22" s="4">
        <f t="shared" si="1"/>
        <v>21</v>
      </c>
      <c r="B22" s="4">
        <f t="shared" si="2"/>
        <v>29</v>
      </c>
      <c r="C22" s="4">
        <f t="shared" si="3"/>
        <v>8</v>
      </c>
      <c r="D22" s="5" t="s">
        <v>44</v>
      </c>
      <c r="E22" s="5" t="s">
        <v>13</v>
      </c>
      <c r="F22" s="5" t="s">
        <v>14</v>
      </c>
      <c r="G22" s="5" t="s">
        <v>27</v>
      </c>
      <c r="H22" s="6">
        <v>2.7844193E7</v>
      </c>
      <c r="I22" s="7">
        <v>15515.87</v>
      </c>
      <c r="J22" s="8">
        <f>Model!$B$2 + Model!$B$3*LOG10(H22) + Model!$B$4*LOG10(I22)</f>
        <v>1417.130765</v>
      </c>
      <c r="K22" s="9">
        <f>VLOOKUP(E22,Debuff!$A$2:$C$11,3,FALSE())</f>
        <v>0</v>
      </c>
      <c r="L22" s="10">
        <f t="shared" si="4"/>
        <v>1417.130765</v>
      </c>
    </row>
    <row r="23" ht="15.75" customHeight="1">
      <c r="A23" s="4">
        <f t="shared" si="1"/>
        <v>22</v>
      </c>
      <c r="B23" s="4">
        <f t="shared" si="2"/>
        <v>30</v>
      </c>
      <c r="C23" s="4">
        <f t="shared" si="3"/>
        <v>8</v>
      </c>
      <c r="D23" s="5" t="s">
        <v>45</v>
      </c>
      <c r="E23" s="5" t="s">
        <v>13</v>
      </c>
      <c r="F23" s="5" t="s">
        <v>14</v>
      </c>
      <c r="G23" s="5" t="s">
        <v>37</v>
      </c>
      <c r="H23" s="6">
        <v>1.21753072E8</v>
      </c>
      <c r="I23" s="7">
        <v>3099.21</v>
      </c>
      <c r="J23" s="8">
        <f>Model!$B$2 + Model!$B$3*LOG10(H23) + Model!$B$4*LOG10(I23)</f>
        <v>1415.190708</v>
      </c>
      <c r="K23" s="9">
        <f>VLOOKUP(E23,Debuff!$A$2:$C$11,3,FALSE())</f>
        <v>0</v>
      </c>
      <c r="L23" s="10">
        <f t="shared" si="4"/>
        <v>1415.190708</v>
      </c>
    </row>
    <row r="24" ht="15.75" customHeight="1">
      <c r="A24" s="4">
        <f t="shared" si="1"/>
        <v>23</v>
      </c>
      <c r="B24" s="4">
        <f t="shared" si="2"/>
        <v>32</v>
      </c>
      <c r="C24" s="4">
        <f t="shared" si="3"/>
        <v>9</v>
      </c>
      <c r="D24" s="5" t="s">
        <v>46</v>
      </c>
      <c r="E24" s="5" t="s">
        <v>13</v>
      </c>
      <c r="F24" s="5" t="s">
        <v>14</v>
      </c>
      <c r="G24" s="5" t="s">
        <v>47</v>
      </c>
      <c r="H24" s="6">
        <v>7.4091042E7</v>
      </c>
      <c r="I24" s="7">
        <v>4880.95</v>
      </c>
      <c r="J24" s="8">
        <f>Model!$B$2 + Model!$B$3*LOG10(H24) + Model!$B$4*LOG10(I24)</f>
        <v>1408.886002</v>
      </c>
      <c r="K24" s="9">
        <f>VLOOKUP(E24,Debuff!$A$2:$C$11,3,FALSE())</f>
        <v>0</v>
      </c>
      <c r="L24" s="10">
        <f t="shared" si="4"/>
        <v>1408.886002</v>
      </c>
    </row>
    <row r="25" ht="15.75" customHeight="1">
      <c r="A25" s="4">
        <f t="shared" si="1"/>
        <v>24</v>
      </c>
      <c r="B25" s="4">
        <f t="shared" si="2"/>
        <v>34</v>
      </c>
      <c r="C25" s="4">
        <f t="shared" si="3"/>
        <v>10</v>
      </c>
      <c r="D25" s="5" t="s">
        <v>48</v>
      </c>
      <c r="E25" s="5" t="s">
        <v>13</v>
      </c>
      <c r="F25" s="5" t="s">
        <v>14</v>
      </c>
      <c r="G25" s="5" t="s">
        <v>20</v>
      </c>
      <c r="H25" s="6">
        <v>1.40080976E8</v>
      </c>
      <c r="I25" s="7">
        <v>2226.19</v>
      </c>
      <c r="J25" s="8">
        <f>Model!$B$2 + Model!$B$3*LOG10(H25) + Model!$B$4*LOG10(I25)</f>
        <v>1400.962685</v>
      </c>
      <c r="K25" s="9">
        <f>VLOOKUP(E25,Debuff!$A$2:$C$11,3,FALSE())</f>
        <v>0</v>
      </c>
      <c r="L25" s="10">
        <f t="shared" si="4"/>
        <v>1400.962685</v>
      </c>
    </row>
    <row r="26" ht="15.75" customHeight="1">
      <c r="A26" s="4">
        <f t="shared" si="1"/>
        <v>25</v>
      </c>
      <c r="B26" s="4">
        <f t="shared" si="2"/>
        <v>35</v>
      </c>
      <c r="C26" s="4">
        <f t="shared" si="3"/>
        <v>10</v>
      </c>
      <c r="D26" s="5" t="s">
        <v>49</v>
      </c>
      <c r="E26" s="5" t="s">
        <v>13</v>
      </c>
      <c r="F26" s="5" t="s">
        <v>14</v>
      </c>
      <c r="G26" s="5" t="s">
        <v>20</v>
      </c>
      <c r="H26" s="6">
        <v>3.174542E7</v>
      </c>
      <c r="I26" s="7">
        <v>10793.65</v>
      </c>
      <c r="J26" s="8">
        <f>Model!$B$2 + Model!$B$3*LOG10(H26) + Model!$B$4*LOG10(I26)</f>
        <v>1399.597765</v>
      </c>
      <c r="K26" s="9">
        <f>VLOOKUP(E26,Debuff!$A$2:$C$11,3,FALSE())</f>
        <v>0</v>
      </c>
      <c r="L26" s="10">
        <f t="shared" si="4"/>
        <v>1399.597765</v>
      </c>
    </row>
    <row r="27" ht="15.75" customHeight="1">
      <c r="A27" s="4">
        <f t="shared" si="1"/>
        <v>26</v>
      </c>
      <c r="B27" s="4">
        <f t="shared" si="2"/>
        <v>36</v>
      </c>
      <c r="C27" s="4">
        <f t="shared" si="3"/>
        <v>10</v>
      </c>
      <c r="D27" s="5" t="s">
        <v>50</v>
      </c>
      <c r="E27" s="5" t="s">
        <v>13</v>
      </c>
      <c r="F27" s="5" t="s">
        <v>14</v>
      </c>
      <c r="G27" s="5" t="s">
        <v>27</v>
      </c>
      <c r="H27" s="6">
        <v>9.5001457E7</v>
      </c>
      <c r="I27" s="7">
        <v>3297.62</v>
      </c>
      <c r="J27" s="8">
        <f>Model!$B$2 + Model!$B$3*LOG10(H27) + Model!$B$4*LOG10(I27)</f>
        <v>1399.020908</v>
      </c>
      <c r="K27" s="9">
        <f>VLOOKUP(E27,Debuff!$A$2:$C$11,3,FALSE())</f>
        <v>0</v>
      </c>
      <c r="L27" s="10">
        <f t="shared" si="4"/>
        <v>1399.020908</v>
      </c>
    </row>
    <row r="28" ht="15.75" customHeight="1">
      <c r="A28" s="4">
        <f t="shared" si="1"/>
        <v>27</v>
      </c>
      <c r="B28" s="4">
        <f t="shared" si="2"/>
        <v>37</v>
      </c>
      <c r="C28" s="4">
        <f t="shared" si="3"/>
        <v>10</v>
      </c>
      <c r="D28" s="5" t="s">
        <v>51</v>
      </c>
      <c r="E28" s="5" t="s">
        <v>13</v>
      </c>
      <c r="F28" s="5" t="s">
        <v>14</v>
      </c>
      <c r="G28" s="5" t="s">
        <v>17</v>
      </c>
      <c r="H28" s="6">
        <v>1.8401158E7</v>
      </c>
      <c r="I28" s="7">
        <v>18492.06</v>
      </c>
      <c r="J28" s="8">
        <f>Model!$B$2 + Model!$B$3*LOG10(H28) + Model!$B$4*LOG10(I28)</f>
        <v>1395.813516</v>
      </c>
      <c r="K28" s="9">
        <f>VLOOKUP(E28,Debuff!$A$2:$C$11,3,FALSE())</f>
        <v>0</v>
      </c>
      <c r="L28" s="10">
        <f t="shared" si="4"/>
        <v>1395.813516</v>
      </c>
    </row>
    <row r="29" ht="15.75" customHeight="1">
      <c r="A29" s="4">
        <f t="shared" si="1"/>
        <v>28</v>
      </c>
      <c r="B29" s="4">
        <f t="shared" si="2"/>
        <v>38</v>
      </c>
      <c r="C29" s="4">
        <f t="shared" si="3"/>
        <v>10</v>
      </c>
      <c r="D29" s="5" t="s">
        <v>52</v>
      </c>
      <c r="E29" s="5" t="s">
        <v>13</v>
      </c>
      <c r="F29" s="5" t="s">
        <v>14</v>
      </c>
      <c r="G29" s="5" t="s">
        <v>17</v>
      </c>
      <c r="H29" s="6">
        <v>2.3361657E7</v>
      </c>
      <c r="I29" s="7">
        <v>14206.35</v>
      </c>
      <c r="J29" s="8">
        <f>Model!$B$2 + Model!$B$3*LOG10(H29) + Model!$B$4*LOG10(I29)</f>
        <v>1395.256811</v>
      </c>
      <c r="K29" s="9">
        <f>VLOOKUP(E29,Debuff!$A$2:$C$11,3,FALSE())</f>
        <v>0</v>
      </c>
      <c r="L29" s="10">
        <f t="shared" si="4"/>
        <v>1395.256811</v>
      </c>
    </row>
    <row r="30" ht="15.75" customHeight="1">
      <c r="A30" s="4">
        <f t="shared" si="1"/>
        <v>29</v>
      </c>
      <c r="B30" s="4">
        <f t="shared" si="2"/>
        <v>39</v>
      </c>
      <c r="C30" s="4">
        <f t="shared" si="3"/>
        <v>10</v>
      </c>
      <c r="D30" s="5" t="s">
        <v>53</v>
      </c>
      <c r="E30" s="5" t="s">
        <v>13</v>
      </c>
      <c r="F30" s="5" t="s">
        <v>14</v>
      </c>
      <c r="G30" s="5" t="s">
        <v>20</v>
      </c>
      <c r="H30" s="6">
        <v>4.2672208E7</v>
      </c>
      <c r="I30" s="7">
        <v>7341.27</v>
      </c>
      <c r="J30" s="8">
        <f>Model!$B$2 + Model!$B$3*LOG10(H30) + Model!$B$4*LOG10(I30)</f>
        <v>1394.270385</v>
      </c>
      <c r="K30" s="9">
        <f>VLOOKUP(E30,Debuff!$A$2:$C$11,3,FALSE())</f>
        <v>0</v>
      </c>
      <c r="L30" s="10">
        <f t="shared" si="4"/>
        <v>1394.270385</v>
      </c>
    </row>
    <row r="31" ht="15.75" customHeight="1">
      <c r="A31" s="4">
        <f t="shared" si="1"/>
        <v>30</v>
      </c>
      <c r="B31" s="4">
        <f t="shared" si="2"/>
        <v>40</v>
      </c>
      <c r="C31" s="4">
        <f t="shared" si="3"/>
        <v>10</v>
      </c>
      <c r="D31" s="5" t="s">
        <v>54</v>
      </c>
      <c r="E31" s="5" t="s">
        <v>13</v>
      </c>
      <c r="F31" s="5" t="s">
        <v>14</v>
      </c>
      <c r="G31" s="5" t="s">
        <v>23</v>
      </c>
      <c r="H31" s="6">
        <v>3.3245174E7</v>
      </c>
      <c r="I31" s="7">
        <v>8769.84</v>
      </c>
      <c r="J31" s="8">
        <f>Model!$B$2 + Model!$B$3*LOG10(H31) + Model!$B$4*LOG10(I31)</f>
        <v>1387.114726</v>
      </c>
      <c r="K31" s="9">
        <f>VLOOKUP(E31,Debuff!$A$2:$C$11,3,FALSE())</f>
        <v>0</v>
      </c>
      <c r="L31" s="10">
        <f t="shared" si="4"/>
        <v>1387.114726</v>
      </c>
    </row>
    <row r="32" ht="15.75" customHeight="1">
      <c r="A32" s="4">
        <f t="shared" si="1"/>
        <v>31</v>
      </c>
      <c r="B32" s="4">
        <f t="shared" si="2"/>
        <v>41</v>
      </c>
      <c r="C32" s="4">
        <f t="shared" si="3"/>
        <v>10</v>
      </c>
      <c r="D32" s="5" t="s">
        <v>55</v>
      </c>
      <c r="E32" s="5" t="s">
        <v>13</v>
      </c>
      <c r="F32" s="5" t="s">
        <v>14</v>
      </c>
      <c r="G32" s="5" t="s">
        <v>15</v>
      </c>
      <c r="H32" s="6">
        <v>1.5795087E7</v>
      </c>
      <c r="I32" s="7">
        <v>18650.79</v>
      </c>
      <c r="J32" s="8">
        <f>Model!$B$2 + Model!$B$3*LOG10(H32) + Model!$B$4*LOG10(I32)</f>
        <v>1383.518241</v>
      </c>
      <c r="K32" s="9">
        <f>VLOOKUP(E32,Debuff!$A$2:$C$11,3,FALSE())</f>
        <v>0</v>
      </c>
      <c r="L32" s="10">
        <f t="shared" si="4"/>
        <v>1383.518241</v>
      </c>
    </row>
    <row r="33" ht="15.75" customHeight="1">
      <c r="A33" s="4">
        <f t="shared" si="1"/>
        <v>32</v>
      </c>
      <c r="B33" s="4">
        <f t="shared" si="2"/>
        <v>42</v>
      </c>
      <c r="C33" s="4">
        <f t="shared" si="3"/>
        <v>10</v>
      </c>
      <c r="D33" s="5" t="s">
        <v>56</v>
      </c>
      <c r="E33" s="5" t="s">
        <v>13</v>
      </c>
      <c r="F33" s="5" t="s">
        <v>14</v>
      </c>
      <c r="G33" s="5" t="s">
        <v>37</v>
      </c>
      <c r="H33" s="6">
        <v>3.1491757E7</v>
      </c>
      <c r="I33" s="7">
        <v>8055.56</v>
      </c>
      <c r="J33" s="8">
        <f>Model!$B$2 + Model!$B$3*LOG10(H33) + Model!$B$4*LOG10(I33)</f>
        <v>1375.801163</v>
      </c>
      <c r="K33" s="9">
        <f>VLOOKUP(E33,Debuff!$A$2:$C$11,3,FALSE())</f>
        <v>0</v>
      </c>
      <c r="L33" s="10">
        <f t="shared" si="4"/>
        <v>1375.801163</v>
      </c>
    </row>
    <row r="34" ht="15.75" customHeight="1">
      <c r="A34" s="4">
        <f t="shared" si="1"/>
        <v>33</v>
      </c>
      <c r="B34" s="4">
        <f t="shared" si="2"/>
        <v>43</v>
      </c>
      <c r="C34" s="4">
        <f t="shared" si="3"/>
        <v>10</v>
      </c>
      <c r="D34" s="5" t="s">
        <v>57</v>
      </c>
      <c r="E34" s="5" t="s">
        <v>13</v>
      </c>
      <c r="F34" s="5" t="s">
        <v>14</v>
      </c>
      <c r="G34" s="5" t="s">
        <v>47</v>
      </c>
      <c r="H34" s="6">
        <v>8.8057485E7</v>
      </c>
      <c r="I34" s="7">
        <v>2559.52</v>
      </c>
      <c r="J34" s="8">
        <f>Model!$B$2 + Model!$B$3*LOG10(H34) + Model!$B$4*LOG10(I34)</f>
        <v>1372.557028</v>
      </c>
      <c r="K34" s="9">
        <f>VLOOKUP(E34,Debuff!$A$2:$C$11,3,FALSE())</f>
        <v>0</v>
      </c>
      <c r="L34" s="10">
        <f t="shared" si="4"/>
        <v>1372.557028</v>
      </c>
    </row>
    <row r="35" ht="15.75" customHeight="1">
      <c r="A35" s="4">
        <f t="shared" si="1"/>
        <v>34</v>
      </c>
      <c r="B35" s="4">
        <f t="shared" si="2"/>
        <v>44</v>
      </c>
      <c r="C35" s="4">
        <f t="shared" si="3"/>
        <v>10</v>
      </c>
      <c r="D35" s="5" t="s">
        <v>58</v>
      </c>
      <c r="E35" s="5" t="s">
        <v>13</v>
      </c>
      <c r="F35" s="5" t="s">
        <v>14</v>
      </c>
      <c r="G35" s="5" t="s">
        <v>20</v>
      </c>
      <c r="H35" s="6">
        <v>2.1768597E7</v>
      </c>
      <c r="I35" s="7">
        <v>10753.97</v>
      </c>
      <c r="J35" s="8">
        <f>Model!$B$2 + Model!$B$3*LOG10(H35) + Model!$B$4*LOG10(I35)</f>
        <v>1367.263323</v>
      </c>
      <c r="K35" s="9">
        <f>VLOOKUP(E35,Debuff!$A$2:$C$11,3,FALSE())</f>
        <v>0</v>
      </c>
      <c r="L35" s="10">
        <f t="shared" si="4"/>
        <v>1367.263323</v>
      </c>
    </row>
    <row r="36" ht="15.75" customHeight="1">
      <c r="A36" s="4">
        <f t="shared" si="1"/>
        <v>35</v>
      </c>
      <c r="B36" s="4">
        <f t="shared" si="2"/>
        <v>45</v>
      </c>
      <c r="C36" s="4">
        <f t="shared" si="3"/>
        <v>10</v>
      </c>
      <c r="D36" s="5" t="s">
        <v>59</v>
      </c>
      <c r="E36" s="5" t="s">
        <v>13</v>
      </c>
      <c r="F36" s="5" t="s">
        <v>14</v>
      </c>
      <c r="G36" s="5" t="s">
        <v>17</v>
      </c>
      <c r="H36" s="6">
        <v>1.967848E7</v>
      </c>
      <c r="I36" s="7">
        <v>11230.16</v>
      </c>
      <c r="J36" s="8">
        <f>Model!$B$2 + Model!$B$3*LOG10(H36) + Model!$B$4*LOG10(I36)</f>
        <v>1362.112902</v>
      </c>
      <c r="K36" s="9">
        <f>VLOOKUP(E36,Debuff!$A$2:$C$11,3,FALSE())</f>
        <v>0</v>
      </c>
      <c r="L36" s="10">
        <f t="shared" si="4"/>
        <v>1362.112902</v>
      </c>
    </row>
    <row r="37" ht="15.75" customHeight="1">
      <c r="A37" s="4">
        <f t="shared" si="1"/>
        <v>36</v>
      </c>
      <c r="B37" s="4">
        <f t="shared" si="2"/>
        <v>46</v>
      </c>
      <c r="C37" s="4">
        <f t="shared" si="3"/>
        <v>10</v>
      </c>
      <c r="D37" s="5" t="s">
        <v>60</v>
      </c>
      <c r="E37" s="5" t="s">
        <v>13</v>
      </c>
      <c r="F37" s="5" t="s">
        <v>14</v>
      </c>
      <c r="G37" s="5" t="s">
        <v>27</v>
      </c>
      <c r="H37" s="6">
        <v>1.3815053E7</v>
      </c>
      <c r="I37" s="7">
        <v>16269.84</v>
      </c>
      <c r="J37" s="8">
        <f>Model!$B$2 + Model!$B$3*LOG10(H37) + Model!$B$4*LOG10(I37)</f>
        <v>1361.352778</v>
      </c>
      <c r="K37" s="9">
        <f>VLOOKUP(E37,Debuff!$A$2:$C$11,3,FALSE())</f>
        <v>0</v>
      </c>
      <c r="L37" s="10">
        <f t="shared" si="4"/>
        <v>1361.352778</v>
      </c>
    </row>
    <row r="38" ht="15.75" customHeight="1">
      <c r="A38" s="4">
        <f t="shared" si="1"/>
        <v>37</v>
      </c>
      <c r="B38" s="4">
        <f t="shared" si="2"/>
        <v>48</v>
      </c>
      <c r="C38" s="4">
        <f t="shared" si="3"/>
        <v>11</v>
      </c>
      <c r="D38" s="5" t="s">
        <v>61</v>
      </c>
      <c r="E38" s="5" t="s">
        <v>13</v>
      </c>
      <c r="F38" s="5" t="s">
        <v>14</v>
      </c>
      <c r="G38" s="5" t="s">
        <v>20</v>
      </c>
      <c r="H38" s="6">
        <v>9.0945636E7</v>
      </c>
      <c r="I38" s="7">
        <v>1817.46</v>
      </c>
      <c r="J38" s="8">
        <f>Model!$B$2 + Model!$B$3*LOG10(H38) + Model!$B$4*LOG10(I38)</f>
        <v>1348.249778</v>
      </c>
      <c r="K38" s="9">
        <f>VLOOKUP(E38,Debuff!$A$2:$C$11,3,FALSE())</f>
        <v>0</v>
      </c>
      <c r="L38" s="10">
        <f t="shared" si="4"/>
        <v>1348.249778</v>
      </c>
    </row>
    <row r="39" ht="15.75" customHeight="1">
      <c r="A39" s="4">
        <f t="shared" si="1"/>
        <v>38</v>
      </c>
      <c r="B39" s="4">
        <f t="shared" si="2"/>
        <v>49</v>
      </c>
      <c r="C39" s="4">
        <f t="shared" si="3"/>
        <v>11</v>
      </c>
      <c r="D39" s="5" t="s">
        <v>62</v>
      </c>
      <c r="E39" s="5" t="s">
        <v>13</v>
      </c>
      <c r="F39" s="5" t="s">
        <v>14</v>
      </c>
      <c r="G39" s="5" t="s">
        <v>15</v>
      </c>
      <c r="H39" s="6">
        <v>9533900.0</v>
      </c>
      <c r="I39" s="7">
        <v>19642.86</v>
      </c>
      <c r="J39" s="8">
        <f>Model!$B$2 + Model!$B$3*LOG10(H39) + Model!$B$4*LOG10(I39)</f>
        <v>1344.73453</v>
      </c>
      <c r="K39" s="9">
        <f>VLOOKUP(E39,Debuff!$A$2:$C$11,3,FALSE())</f>
        <v>0</v>
      </c>
      <c r="L39" s="10">
        <f t="shared" si="4"/>
        <v>1344.73453</v>
      </c>
    </row>
    <row r="40" ht="15.75" customHeight="1">
      <c r="A40" s="4">
        <f t="shared" si="1"/>
        <v>39</v>
      </c>
      <c r="B40" s="4">
        <f t="shared" si="2"/>
        <v>50</v>
      </c>
      <c r="C40" s="4">
        <f t="shared" si="3"/>
        <v>11</v>
      </c>
      <c r="D40" s="5" t="s">
        <v>63</v>
      </c>
      <c r="E40" s="5" t="s">
        <v>13</v>
      </c>
      <c r="F40" s="5" t="s">
        <v>14</v>
      </c>
      <c r="G40" s="5" t="s">
        <v>23</v>
      </c>
      <c r="H40" s="6">
        <v>4.4277194E7</v>
      </c>
      <c r="I40" s="7">
        <v>3694.44</v>
      </c>
      <c r="J40" s="8">
        <f>Model!$B$2 + Model!$B$3*LOG10(H40) + Model!$B$4*LOG10(I40)</f>
        <v>1343.15791</v>
      </c>
      <c r="K40" s="9">
        <f>VLOOKUP(E40,Debuff!$A$2:$C$11,3,FALSE())</f>
        <v>0</v>
      </c>
      <c r="L40" s="10">
        <f t="shared" si="4"/>
        <v>1343.15791</v>
      </c>
    </row>
    <row r="41" ht="15.75" customHeight="1">
      <c r="A41" s="4">
        <f t="shared" si="1"/>
        <v>40</v>
      </c>
      <c r="B41" s="4">
        <f t="shared" si="2"/>
        <v>51</v>
      </c>
      <c r="C41" s="4">
        <f t="shared" si="3"/>
        <v>11</v>
      </c>
      <c r="D41" s="5" t="s">
        <v>64</v>
      </c>
      <c r="E41" s="5" t="s">
        <v>13</v>
      </c>
      <c r="F41" s="5" t="s">
        <v>14</v>
      </c>
      <c r="G41" s="5" t="s">
        <v>37</v>
      </c>
      <c r="H41" s="6">
        <v>1.7079116E7</v>
      </c>
      <c r="I41" s="7">
        <v>9325.4</v>
      </c>
      <c r="J41" s="8">
        <f>Model!$B$2 + Model!$B$3*LOG10(H41) + Model!$B$4*LOG10(I41)</f>
        <v>1335.397383</v>
      </c>
      <c r="K41" s="9">
        <f>VLOOKUP(E41,Debuff!$A$2:$C$11,3,FALSE())</f>
        <v>0</v>
      </c>
      <c r="L41" s="10">
        <f t="shared" si="4"/>
        <v>1335.397383</v>
      </c>
    </row>
    <row r="42" ht="15.75" customHeight="1">
      <c r="A42" s="4">
        <f t="shared" si="1"/>
        <v>41</v>
      </c>
      <c r="B42" s="4">
        <f t="shared" si="2"/>
        <v>53</v>
      </c>
      <c r="C42" s="4">
        <f t="shared" si="3"/>
        <v>12</v>
      </c>
      <c r="D42" s="5" t="s">
        <v>65</v>
      </c>
      <c r="E42" s="5" t="s">
        <v>13</v>
      </c>
      <c r="F42" s="5" t="s">
        <v>14</v>
      </c>
      <c r="G42" s="5" t="s">
        <v>15</v>
      </c>
      <c r="H42" s="6">
        <v>6524522.0</v>
      </c>
      <c r="I42" s="7">
        <v>24722.22</v>
      </c>
      <c r="J42" s="8">
        <f>Model!$B$2 + Model!$B$3*LOG10(H42) + Model!$B$4*LOG10(I42)</f>
        <v>1330.689891</v>
      </c>
      <c r="K42" s="9">
        <f>VLOOKUP(E42,Debuff!$A$2:$C$11,3,FALSE())</f>
        <v>0</v>
      </c>
      <c r="L42" s="10">
        <f t="shared" si="4"/>
        <v>1330.689891</v>
      </c>
    </row>
    <row r="43" ht="15.75" customHeight="1">
      <c r="A43" s="4">
        <f t="shared" si="1"/>
        <v>42</v>
      </c>
      <c r="B43" s="4">
        <f t="shared" si="2"/>
        <v>55</v>
      </c>
      <c r="C43" s="4">
        <f t="shared" si="3"/>
        <v>13</v>
      </c>
      <c r="D43" s="5" t="s">
        <v>66</v>
      </c>
      <c r="E43" s="5" t="s">
        <v>13</v>
      </c>
      <c r="F43" s="5" t="s">
        <v>14</v>
      </c>
      <c r="G43" s="5" t="s">
        <v>20</v>
      </c>
      <c r="H43" s="6">
        <v>1.7219177E7</v>
      </c>
      <c r="I43" s="7">
        <v>7380.95</v>
      </c>
      <c r="J43" s="8">
        <f>Model!$B$2 + Model!$B$3*LOG10(H43) + Model!$B$4*LOG10(I43)</f>
        <v>1317.617592</v>
      </c>
      <c r="K43" s="9">
        <f>VLOOKUP(E43,Debuff!$A$2:$C$11,3,FALSE())</f>
        <v>0</v>
      </c>
      <c r="L43" s="10">
        <f t="shared" si="4"/>
        <v>1317.617592</v>
      </c>
    </row>
    <row r="44" ht="15.75" customHeight="1">
      <c r="A44" s="4">
        <f t="shared" si="1"/>
        <v>43</v>
      </c>
      <c r="B44" s="4">
        <f t="shared" si="2"/>
        <v>56</v>
      </c>
      <c r="C44" s="4">
        <f t="shared" si="3"/>
        <v>13</v>
      </c>
      <c r="D44" s="5" t="s">
        <v>67</v>
      </c>
      <c r="E44" s="5" t="s">
        <v>13</v>
      </c>
      <c r="F44" s="5" t="s">
        <v>14</v>
      </c>
      <c r="G44" s="5" t="s">
        <v>15</v>
      </c>
      <c r="H44" s="6">
        <v>7438559.0</v>
      </c>
      <c r="I44" s="7">
        <v>18174.6</v>
      </c>
      <c r="J44" s="8">
        <f>Model!$B$2 + Model!$B$3*LOG10(H44) + Model!$B$4*LOG10(I44)</f>
        <v>1317.518695</v>
      </c>
      <c r="K44" s="9">
        <f>VLOOKUP(E44,Debuff!$A$2:$C$11,3,FALSE())</f>
        <v>0</v>
      </c>
      <c r="L44" s="10">
        <f t="shared" si="4"/>
        <v>1317.518695</v>
      </c>
    </row>
    <row r="45" ht="15.75" customHeight="1">
      <c r="A45" s="4">
        <f t="shared" si="1"/>
        <v>44</v>
      </c>
      <c r="B45" s="4">
        <f t="shared" si="2"/>
        <v>57</v>
      </c>
      <c r="C45" s="4">
        <f t="shared" si="3"/>
        <v>13</v>
      </c>
      <c r="D45" s="5" t="s">
        <v>68</v>
      </c>
      <c r="E45" s="5" t="s">
        <v>13</v>
      </c>
      <c r="F45" s="5" t="s">
        <v>14</v>
      </c>
      <c r="G45" s="5" t="s">
        <v>17</v>
      </c>
      <c r="H45" s="6">
        <v>1.4469041E7</v>
      </c>
      <c r="I45" s="7">
        <v>8849.21</v>
      </c>
      <c r="J45" s="8">
        <f>Model!$B$2 + Model!$B$3*LOG10(H45) + Model!$B$4*LOG10(I45)</f>
        <v>1317.170963</v>
      </c>
      <c r="K45" s="9">
        <f>VLOOKUP(E45,Debuff!$A$2:$C$11,3,FALSE())</f>
        <v>0</v>
      </c>
      <c r="L45" s="10">
        <f t="shared" si="4"/>
        <v>1317.170963</v>
      </c>
    </row>
    <row r="46" ht="15.75" customHeight="1">
      <c r="A46" s="4">
        <f t="shared" si="1"/>
        <v>45</v>
      </c>
      <c r="B46" s="4">
        <f t="shared" si="2"/>
        <v>58</v>
      </c>
      <c r="C46" s="4">
        <f t="shared" si="3"/>
        <v>13</v>
      </c>
      <c r="D46" s="5" t="s">
        <v>69</v>
      </c>
      <c r="E46" s="5" t="s">
        <v>13</v>
      </c>
      <c r="F46" s="5" t="s">
        <v>14</v>
      </c>
      <c r="G46" s="5" t="s">
        <v>17</v>
      </c>
      <c r="H46" s="6">
        <v>1.8995781E7</v>
      </c>
      <c r="I46" s="7">
        <v>6468.25</v>
      </c>
      <c r="J46" s="8">
        <f>Model!$B$2 + Model!$B$3*LOG10(H46) + Model!$B$4*LOG10(I46)</f>
        <v>1315.529601</v>
      </c>
      <c r="K46" s="9">
        <f>VLOOKUP(E46,Debuff!$A$2:$C$11,3,FALSE())</f>
        <v>0</v>
      </c>
      <c r="L46" s="10">
        <f t="shared" si="4"/>
        <v>1315.529601</v>
      </c>
    </row>
    <row r="47" ht="15.75" customHeight="1">
      <c r="A47" s="4">
        <f t="shared" si="1"/>
        <v>46</v>
      </c>
      <c r="B47" s="4">
        <f t="shared" si="2"/>
        <v>59</v>
      </c>
      <c r="C47" s="4">
        <f t="shared" si="3"/>
        <v>13</v>
      </c>
      <c r="D47" s="5" t="s">
        <v>70</v>
      </c>
      <c r="E47" s="5" t="s">
        <v>13</v>
      </c>
      <c r="F47" s="5" t="s">
        <v>14</v>
      </c>
      <c r="G47" s="5" t="s">
        <v>37</v>
      </c>
      <c r="H47" s="6">
        <v>1.09675E7</v>
      </c>
      <c r="I47" s="7">
        <v>10515.87</v>
      </c>
      <c r="J47" s="8">
        <f>Model!$B$2 + Model!$B$3*LOG10(H47) + Model!$B$4*LOG10(I47)</f>
        <v>1307.270325</v>
      </c>
      <c r="K47" s="9">
        <f>VLOOKUP(E47,Debuff!$A$2:$C$11,3,FALSE())</f>
        <v>0</v>
      </c>
      <c r="L47" s="10">
        <f t="shared" si="4"/>
        <v>1307.270325</v>
      </c>
    </row>
    <row r="48" ht="15.75" customHeight="1">
      <c r="A48" s="4">
        <f t="shared" si="1"/>
        <v>47</v>
      </c>
      <c r="B48" s="4">
        <f t="shared" si="2"/>
        <v>60</v>
      </c>
      <c r="C48" s="4">
        <f t="shared" si="3"/>
        <v>13</v>
      </c>
      <c r="D48" s="5" t="s">
        <v>71</v>
      </c>
      <c r="E48" s="5" t="s">
        <v>13</v>
      </c>
      <c r="F48" s="5" t="s">
        <v>14</v>
      </c>
      <c r="G48" s="5" t="s">
        <v>17</v>
      </c>
      <c r="H48" s="6">
        <v>1.2299328E7</v>
      </c>
      <c r="I48" s="7">
        <v>9206.35</v>
      </c>
      <c r="J48" s="8">
        <f>Model!$B$2 + Model!$B$3*LOG10(H48) + Model!$B$4*LOG10(I48)</f>
        <v>1306.497883</v>
      </c>
      <c r="K48" s="9">
        <f>VLOOKUP(E48,Debuff!$A$2:$C$11,3,FALSE())</f>
        <v>0</v>
      </c>
      <c r="L48" s="10">
        <f t="shared" si="4"/>
        <v>1306.497883</v>
      </c>
    </row>
    <row r="49" ht="15.75" customHeight="1">
      <c r="A49" s="4">
        <f t="shared" si="1"/>
        <v>48</v>
      </c>
      <c r="B49" s="4">
        <f t="shared" si="2"/>
        <v>63</v>
      </c>
      <c r="C49" s="4">
        <f t="shared" si="3"/>
        <v>15</v>
      </c>
      <c r="D49" s="5" t="s">
        <v>72</v>
      </c>
      <c r="E49" s="5" t="s">
        <v>13</v>
      </c>
      <c r="F49" s="5" t="s">
        <v>14</v>
      </c>
      <c r="G49" s="5" t="s">
        <v>47</v>
      </c>
      <c r="H49" s="6">
        <v>1.1203256E7</v>
      </c>
      <c r="I49" s="7">
        <v>8333.33</v>
      </c>
      <c r="J49" s="8">
        <f>Model!$B$2 + Model!$B$3*LOG10(H49) + Model!$B$4*LOG10(I49)</f>
        <v>1290.699376</v>
      </c>
      <c r="K49" s="9">
        <f>VLOOKUP(E49,Debuff!$A$2:$C$11,3,FALSE())</f>
        <v>0</v>
      </c>
      <c r="L49" s="10">
        <f t="shared" si="4"/>
        <v>1290.699376</v>
      </c>
    </row>
    <row r="50" ht="15.75" customHeight="1">
      <c r="A50" s="4">
        <f t="shared" si="1"/>
        <v>49</v>
      </c>
      <c r="B50" s="4">
        <f t="shared" si="2"/>
        <v>64</v>
      </c>
      <c r="C50" s="4">
        <f t="shared" si="3"/>
        <v>15</v>
      </c>
      <c r="D50" s="5" t="s">
        <v>73</v>
      </c>
      <c r="E50" s="5" t="s">
        <v>13</v>
      </c>
      <c r="F50" s="5" t="s">
        <v>14</v>
      </c>
      <c r="G50" s="5" t="s">
        <v>23</v>
      </c>
      <c r="H50" s="6">
        <v>1.2783095E7</v>
      </c>
      <c r="I50" s="7">
        <v>7222.22</v>
      </c>
      <c r="J50" s="8">
        <f>Model!$B$2 + Model!$B$3*LOG10(H50) + Model!$B$4*LOG10(I50)</f>
        <v>1290.598605</v>
      </c>
      <c r="K50" s="9">
        <f>VLOOKUP(E50,Debuff!$A$2:$C$11,3,FALSE())</f>
        <v>0</v>
      </c>
      <c r="L50" s="10">
        <f t="shared" si="4"/>
        <v>1290.598605</v>
      </c>
    </row>
    <row r="51" ht="15.75" customHeight="1">
      <c r="A51" s="4">
        <f t="shared" si="1"/>
        <v>50</v>
      </c>
      <c r="B51" s="4">
        <f t="shared" si="2"/>
        <v>65</v>
      </c>
      <c r="C51" s="4">
        <f t="shared" si="3"/>
        <v>15</v>
      </c>
      <c r="D51" s="5" t="s">
        <v>74</v>
      </c>
      <c r="E51" s="5" t="s">
        <v>13</v>
      </c>
      <c r="F51" s="5" t="s">
        <v>14</v>
      </c>
      <c r="G51" s="5" t="s">
        <v>15</v>
      </c>
      <c r="H51" s="6">
        <v>6585930.0</v>
      </c>
      <c r="I51" s="7">
        <v>14603.17</v>
      </c>
      <c r="J51" s="8">
        <f>Model!$B$2 + Model!$B$3*LOG10(H51) + Model!$B$4*LOG10(I51)</f>
        <v>1289.894575</v>
      </c>
      <c r="K51" s="9">
        <f>VLOOKUP(E51,Debuff!$A$2:$C$11,3,FALSE())</f>
        <v>0</v>
      </c>
      <c r="L51" s="10">
        <f t="shared" si="4"/>
        <v>1289.894575</v>
      </c>
    </row>
    <row r="52" ht="15.75" customHeight="1">
      <c r="A52" s="4">
        <f t="shared" si="1"/>
        <v>51</v>
      </c>
      <c r="B52" s="4">
        <f t="shared" si="2"/>
        <v>66</v>
      </c>
      <c r="C52" s="4">
        <f t="shared" si="3"/>
        <v>15</v>
      </c>
      <c r="D52" s="5" t="s">
        <v>75</v>
      </c>
      <c r="E52" s="5" t="s">
        <v>13</v>
      </c>
      <c r="F52" s="5" t="s">
        <v>14</v>
      </c>
      <c r="G52" s="5" t="s">
        <v>17</v>
      </c>
      <c r="H52" s="6">
        <v>3254988.0</v>
      </c>
      <c r="I52" s="7">
        <v>29484.13</v>
      </c>
      <c r="J52" s="8">
        <f>Model!$B$2 + Model!$B$3*LOG10(H52) + Model!$B$4*LOG10(I52)</f>
        <v>1285.545269</v>
      </c>
      <c r="K52" s="9">
        <f>VLOOKUP(E52,Debuff!$A$2:$C$11,3,FALSE())</f>
        <v>0</v>
      </c>
      <c r="L52" s="10">
        <f t="shared" si="4"/>
        <v>1285.545269</v>
      </c>
    </row>
    <row r="53" ht="15.75" customHeight="1">
      <c r="A53" s="4">
        <f t="shared" si="1"/>
        <v>52</v>
      </c>
      <c r="B53" s="4">
        <f t="shared" si="2"/>
        <v>67</v>
      </c>
      <c r="C53" s="4">
        <f t="shared" si="3"/>
        <v>15</v>
      </c>
      <c r="D53" s="5" t="s">
        <v>76</v>
      </c>
      <c r="E53" s="5" t="s">
        <v>13</v>
      </c>
      <c r="F53" s="5" t="s">
        <v>14</v>
      </c>
      <c r="G53" s="5" t="s">
        <v>27</v>
      </c>
      <c r="H53" s="6">
        <v>2.1995119E7</v>
      </c>
      <c r="I53" s="7">
        <v>3702.38</v>
      </c>
      <c r="J53" s="8">
        <f>Model!$B$2 + Model!$B$3*LOG10(H53) + Model!$B$4*LOG10(I53)</f>
        <v>1283.90429</v>
      </c>
      <c r="K53" s="9">
        <f>VLOOKUP(E53,Debuff!$A$2:$C$11,3,FALSE())</f>
        <v>0</v>
      </c>
      <c r="L53" s="10">
        <f t="shared" si="4"/>
        <v>1283.90429</v>
      </c>
    </row>
    <row r="54" ht="15.75" customHeight="1">
      <c r="A54" s="4">
        <f t="shared" si="1"/>
        <v>53</v>
      </c>
      <c r="B54" s="4">
        <f t="shared" si="2"/>
        <v>68</v>
      </c>
      <c r="C54" s="4">
        <f t="shared" si="3"/>
        <v>15</v>
      </c>
      <c r="D54" s="5" t="s">
        <v>77</v>
      </c>
      <c r="E54" s="5" t="s">
        <v>13</v>
      </c>
      <c r="F54" s="5" t="s">
        <v>14</v>
      </c>
      <c r="G54" s="5" t="s">
        <v>27</v>
      </c>
      <c r="H54" s="6">
        <v>2.1611863E7</v>
      </c>
      <c r="I54" s="7">
        <v>3650.79</v>
      </c>
      <c r="J54" s="8">
        <f>Model!$B$2 + Model!$B$3*LOG10(H54) + Model!$B$4*LOG10(I54)</f>
        <v>1281.302766</v>
      </c>
      <c r="K54" s="9">
        <f>VLOOKUP(E54,Debuff!$A$2:$C$11,3,FALSE())</f>
        <v>0</v>
      </c>
      <c r="L54" s="10">
        <f t="shared" si="4"/>
        <v>1281.302766</v>
      </c>
    </row>
    <row r="55" ht="15.75" customHeight="1">
      <c r="A55" s="4">
        <f t="shared" si="1"/>
        <v>54</v>
      </c>
      <c r="B55" s="4">
        <f t="shared" si="2"/>
        <v>69</v>
      </c>
      <c r="C55" s="4">
        <f t="shared" si="3"/>
        <v>15</v>
      </c>
      <c r="D55" s="5" t="s">
        <v>78</v>
      </c>
      <c r="E55" s="5" t="s">
        <v>13</v>
      </c>
      <c r="F55" s="5" t="s">
        <v>14</v>
      </c>
      <c r="G55" s="5" t="s">
        <v>23</v>
      </c>
      <c r="H55" s="6">
        <v>2.2501433E7</v>
      </c>
      <c r="I55" s="7">
        <v>3253.97</v>
      </c>
      <c r="J55" s="8">
        <f>Model!$B$2 + Model!$B$3*LOG10(H55) + Model!$B$4*LOG10(I55)</f>
        <v>1275.638247</v>
      </c>
      <c r="K55" s="9">
        <f>VLOOKUP(E55,Debuff!$A$2:$C$11,3,FALSE())</f>
        <v>0</v>
      </c>
      <c r="L55" s="10">
        <f t="shared" si="4"/>
        <v>1275.638247</v>
      </c>
    </row>
    <row r="56" ht="15.75" customHeight="1">
      <c r="A56" s="4">
        <f t="shared" si="1"/>
        <v>55</v>
      </c>
      <c r="B56" s="4">
        <f t="shared" si="2"/>
        <v>70</v>
      </c>
      <c r="C56" s="4">
        <f t="shared" si="3"/>
        <v>15</v>
      </c>
      <c r="D56" s="5" t="s">
        <v>79</v>
      </c>
      <c r="E56" s="5" t="s">
        <v>13</v>
      </c>
      <c r="F56" s="5" t="s">
        <v>14</v>
      </c>
      <c r="G56" s="5" t="s">
        <v>23</v>
      </c>
      <c r="H56" s="6">
        <v>1.2307247E7</v>
      </c>
      <c r="I56" s="7">
        <v>6031.75</v>
      </c>
      <c r="J56" s="8">
        <f>Model!$B$2 + Model!$B$3*LOG10(H56) + Model!$B$4*LOG10(I56)</f>
        <v>1273.14665</v>
      </c>
      <c r="K56" s="9">
        <f>VLOOKUP(E56,Debuff!$A$2:$C$11,3,FALSE())</f>
        <v>0</v>
      </c>
      <c r="L56" s="10">
        <f t="shared" si="4"/>
        <v>1273.14665</v>
      </c>
    </row>
    <row r="57" ht="15.75" customHeight="1">
      <c r="A57" s="4">
        <f t="shared" si="1"/>
        <v>56</v>
      </c>
      <c r="B57" s="4">
        <f t="shared" si="2"/>
        <v>3</v>
      </c>
      <c r="C57" s="4">
        <f t="shared" si="3"/>
        <v>-53</v>
      </c>
      <c r="D57" s="5" t="s">
        <v>80</v>
      </c>
      <c r="E57" s="5" t="s">
        <v>81</v>
      </c>
      <c r="F57" s="5" t="s">
        <v>82</v>
      </c>
      <c r="G57" s="5" t="s">
        <v>47</v>
      </c>
      <c r="H57" s="6">
        <v>5.79087437E8</v>
      </c>
      <c r="I57" s="7">
        <v>7936.51</v>
      </c>
      <c r="J57" s="8">
        <f>Model!$B$2 + Model!$B$3*LOG10(H57) + Model!$B$4*LOG10(I57)</f>
        <v>1621.926367</v>
      </c>
      <c r="K57" s="9">
        <f>VLOOKUP(E57,Debuff!$A$2:$C$11,3,FALSE())</f>
        <v>350</v>
      </c>
      <c r="L57" s="10">
        <f t="shared" si="4"/>
        <v>1271.926367</v>
      </c>
    </row>
    <row r="58" ht="15.75" customHeight="1">
      <c r="A58" s="4">
        <f t="shared" si="1"/>
        <v>57</v>
      </c>
      <c r="B58" s="4">
        <f t="shared" si="2"/>
        <v>71</v>
      </c>
      <c r="C58" s="4">
        <f t="shared" si="3"/>
        <v>14</v>
      </c>
      <c r="D58" s="5" t="s">
        <v>83</v>
      </c>
      <c r="E58" s="5" t="s">
        <v>13</v>
      </c>
      <c r="F58" s="5" t="s">
        <v>14</v>
      </c>
      <c r="G58" s="5" t="s">
        <v>17</v>
      </c>
      <c r="H58" s="6">
        <v>2.283376E7</v>
      </c>
      <c r="I58" s="7">
        <v>2936.51</v>
      </c>
      <c r="J58" s="8">
        <f>Model!$B$2 + Model!$B$3*LOG10(H58) + Model!$B$4*LOG10(I58)</f>
        <v>1268.773734</v>
      </c>
      <c r="K58" s="9">
        <f>VLOOKUP(E58,Debuff!$A$2:$C$11,3,FALSE())</f>
        <v>0</v>
      </c>
      <c r="L58" s="10">
        <f t="shared" si="4"/>
        <v>1268.773734</v>
      </c>
    </row>
    <row r="59" ht="15.75" customHeight="1">
      <c r="A59" s="4">
        <f t="shared" si="1"/>
        <v>58</v>
      </c>
      <c r="B59" s="4">
        <f t="shared" si="2"/>
        <v>72</v>
      </c>
      <c r="C59" s="4">
        <f t="shared" si="3"/>
        <v>14</v>
      </c>
      <c r="D59" s="5" t="s">
        <v>84</v>
      </c>
      <c r="E59" s="5" t="s">
        <v>13</v>
      </c>
      <c r="F59" s="5" t="s">
        <v>14</v>
      </c>
      <c r="G59" s="5" t="s">
        <v>17</v>
      </c>
      <c r="H59" s="6">
        <v>5393380.0</v>
      </c>
      <c r="I59" s="7">
        <v>13769.84</v>
      </c>
      <c r="J59" s="8">
        <f>Model!$B$2 + Model!$B$3*LOG10(H59) + Model!$B$4*LOG10(I59)</f>
        <v>1268.286191</v>
      </c>
      <c r="K59" s="9">
        <f>VLOOKUP(E59,Debuff!$A$2:$C$11,3,FALSE())</f>
        <v>0</v>
      </c>
      <c r="L59" s="10">
        <f t="shared" si="4"/>
        <v>1268.286191</v>
      </c>
    </row>
    <row r="60" ht="15.75" customHeight="1">
      <c r="A60" s="4">
        <f t="shared" si="1"/>
        <v>59</v>
      </c>
      <c r="B60" s="4">
        <f t="shared" si="2"/>
        <v>74</v>
      </c>
      <c r="C60" s="4">
        <f t="shared" si="3"/>
        <v>15</v>
      </c>
      <c r="D60" s="5" t="s">
        <v>85</v>
      </c>
      <c r="E60" s="5" t="s">
        <v>13</v>
      </c>
      <c r="F60" s="5" t="s">
        <v>14</v>
      </c>
      <c r="G60" s="5" t="s">
        <v>23</v>
      </c>
      <c r="H60" s="6">
        <v>1.1019227E7</v>
      </c>
      <c r="I60" s="7">
        <v>6309.52</v>
      </c>
      <c r="J60" s="8">
        <f>Model!$B$2 + Model!$B$3*LOG10(H60) + Model!$B$4*LOG10(I60)</f>
        <v>1267.314405</v>
      </c>
      <c r="K60" s="9">
        <f>VLOOKUP(E60,Debuff!$A$2:$C$11,3,FALSE())</f>
        <v>0</v>
      </c>
      <c r="L60" s="10">
        <f t="shared" si="4"/>
        <v>1267.314405</v>
      </c>
    </row>
    <row r="61" ht="15.75" customHeight="1">
      <c r="A61" s="4">
        <f t="shared" si="1"/>
        <v>60</v>
      </c>
      <c r="B61" s="4">
        <f t="shared" si="2"/>
        <v>75</v>
      </c>
      <c r="C61" s="4">
        <f t="shared" si="3"/>
        <v>15</v>
      </c>
      <c r="D61" s="5" t="s">
        <v>86</v>
      </c>
      <c r="E61" s="5" t="s">
        <v>13</v>
      </c>
      <c r="F61" s="5" t="s">
        <v>14</v>
      </c>
      <c r="G61" s="5" t="s">
        <v>47</v>
      </c>
      <c r="H61" s="6">
        <v>8871251.0</v>
      </c>
      <c r="I61" s="7">
        <v>7619.05</v>
      </c>
      <c r="J61" s="8">
        <f>Model!$B$2 + Model!$B$3*LOG10(H61) + Model!$B$4*LOG10(I61)</f>
        <v>1263.797649</v>
      </c>
      <c r="K61" s="9">
        <f>VLOOKUP(E61,Debuff!$A$2:$C$11,3,FALSE())</f>
        <v>0</v>
      </c>
      <c r="L61" s="10">
        <f t="shared" si="4"/>
        <v>1263.797649</v>
      </c>
    </row>
    <row r="62" ht="15.75" customHeight="1">
      <c r="A62" s="4">
        <f t="shared" si="1"/>
        <v>61</v>
      </c>
      <c r="B62" s="4">
        <f t="shared" si="2"/>
        <v>77</v>
      </c>
      <c r="C62" s="4">
        <f t="shared" si="3"/>
        <v>16</v>
      </c>
      <c r="D62" s="5" t="s">
        <v>87</v>
      </c>
      <c r="E62" s="5" t="s">
        <v>13</v>
      </c>
      <c r="F62" s="5" t="s">
        <v>14</v>
      </c>
      <c r="G62" s="5" t="s">
        <v>47</v>
      </c>
      <c r="H62" s="6">
        <v>3.0642963E7</v>
      </c>
      <c r="I62" s="7">
        <v>1821.43</v>
      </c>
      <c r="J62" s="8">
        <f>Model!$B$2 + Model!$B$3*LOG10(H62) + Model!$B$4*LOG10(I62)</f>
        <v>1256.027161</v>
      </c>
      <c r="K62" s="9">
        <f>VLOOKUP(E62,Debuff!$A$2:$C$11,3,FALSE())</f>
        <v>0</v>
      </c>
      <c r="L62" s="10">
        <f t="shared" si="4"/>
        <v>1256.027161</v>
      </c>
    </row>
    <row r="63" ht="15.75" customHeight="1">
      <c r="A63" s="4">
        <f t="shared" si="1"/>
        <v>62</v>
      </c>
      <c r="B63" s="4">
        <f t="shared" si="2"/>
        <v>78</v>
      </c>
      <c r="C63" s="4">
        <f t="shared" si="3"/>
        <v>16</v>
      </c>
      <c r="D63" s="5" t="s">
        <v>88</v>
      </c>
      <c r="E63" s="5" t="s">
        <v>13</v>
      </c>
      <c r="F63" s="5" t="s">
        <v>14</v>
      </c>
      <c r="G63" s="5" t="s">
        <v>27</v>
      </c>
      <c r="H63" s="6">
        <v>3.5956798E7</v>
      </c>
      <c r="I63" s="7">
        <v>1492.06</v>
      </c>
      <c r="J63" s="8">
        <f>Model!$B$2 + Model!$B$3*LOG10(H63) + Model!$B$4*LOG10(I63)</f>
        <v>1253.851423</v>
      </c>
      <c r="K63" s="9">
        <f>VLOOKUP(E63,Debuff!$A$2:$C$11,3,FALSE())</f>
        <v>0</v>
      </c>
      <c r="L63" s="10">
        <f t="shared" si="4"/>
        <v>1253.851423</v>
      </c>
    </row>
    <row r="64" ht="15.75" customHeight="1">
      <c r="A64" s="4">
        <f t="shared" si="1"/>
        <v>63</v>
      </c>
      <c r="B64" s="4">
        <f t="shared" si="2"/>
        <v>79</v>
      </c>
      <c r="C64" s="4">
        <f t="shared" si="3"/>
        <v>16</v>
      </c>
      <c r="D64" s="5" t="s">
        <v>89</v>
      </c>
      <c r="E64" s="5" t="s">
        <v>13</v>
      </c>
      <c r="F64" s="5" t="s">
        <v>14</v>
      </c>
      <c r="G64" s="5" t="s">
        <v>37</v>
      </c>
      <c r="H64" s="6">
        <v>9164021.0</v>
      </c>
      <c r="I64" s="7">
        <v>6428.57</v>
      </c>
      <c r="J64" s="8">
        <f>Model!$B$2 + Model!$B$3*LOG10(H64) + Model!$B$4*LOG10(I64)</f>
        <v>1253.133186</v>
      </c>
      <c r="K64" s="9">
        <f>VLOOKUP(E64,Debuff!$A$2:$C$11,3,FALSE())</f>
        <v>0</v>
      </c>
      <c r="L64" s="10">
        <f t="shared" si="4"/>
        <v>1253.133186</v>
      </c>
    </row>
    <row r="65" ht="15.75" customHeight="1">
      <c r="A65" s="4">
        <f t="shared" si="1"/>
        <v>64</v>
      </c>
      <c r="B65" s="4">
        <f t="shared" si="2"/>
        <v>80</v>
      </c>
      <c r="C65" s="4">
        <f t="shared" si="3"/>
        <v>16</v>
      </c>
      <c r="D65" s="5" t="s">
        <v>90</v>
      </c>
      <c r="E65" s="5" t="s">
        <v>13</v>
      </c>
      <c r="F65" s="5" t="s">
        <v>14</v>
      </c>
      <c r="G65" s="5" t="s">
        <v>23</v>
      </c>
      <c r="H65" s="6">
        <v>1.630296E7</v>
      </c>
      <c r="I65" s="7">
        <v>3373.02</v>
      </c>
      <c r="J65" s="8">
        <f>Model!$B$2 + Model!$B$3*LOG10(H65) + Model!$B$4*LOG10(I65)</f>
        <v>1251.108831</v>
      </c>
      <c r="K65" s="9">
        <f>VLOOKUP(E65,Debuff!$A$2:$C$11,3,FALSE())</f>
        <v>0</v>
      </c>
      <c r="L65" s="10">
        <f t="shared" si="4"/>
        <v>1251.108831</v>
      </c>
    </row>
    <row r="66" ht="15.75" customHeight="1">
      <c r="A66" s="4">
        <f t="shared" si="1"/>
        <v>65</v>
      </c>
      <c r="B66" s="4">
        <f t="shared" si="2"/>
        <v>81</v>
      </c>
      <c r="C66" s="4">
        <f t="shared" si="3"/>
        <v>16</v>
      </c>
      <c r="D66" s="5" t="s">
        <v>91</v>
      </c>
      <c r="E66" s="5" t="s">
        <v>13</v>
      </c>
      <c r="F66" s="5" t="s">
        <v>14</v>
      </c>
      <c r="G66" s="5" t="s">
        <v>23</v>
      </c>
      <c r="H66" s="6">
        <v>1.510509E7</v>
      </c>
      <c r="I66" s="7">
        <v>3642.86</v>
      </c>
      <c r="J66" s="8">
        <f>Model!$B$2 + Model!$B$3*LOG10(H66) + Model!$B$4*LOG10(I66)</f>
        <v>1250.707119</v>
      </c>
      <c r="K66" s="9">
        <f>VLOOKUP(E66,Debuff!$A$2:$C$11,3,FALSE())</f>
        <v>0</v>
      </c>
      <c r="L66" s="10">
        <f t="shared" si="4"/>
        <v>1250.707119</v>
      </c>
    </row>
    <row r="67" ht="15.75" customHeight="1">
      <c r="A67" s="4">
        <f t="shared" si="1"/>
        <v>66</v>
      </c>
      <c r="B67" s="4">
        <f t="shared" si="2"/>
        <v>82</v>
      </c>
      <c r="C67" s="4">
        <f t="shared" si="3"/>
        <v>16</v>
      </c>
      <c r="D67" s="5" t="s">
        <v>92</v>
      </c>
      <c r="E67" s="5" t="s">
        <v>13</v>
      </c>
      <c r="F67" s="5" t="s">
        <v>14</v>
      </c>
      <c r="G67" s="5" t="s">
        <v>15</v>
      </c>
      <c r="H67" s="6">
        <v>4620320.0</v>
      </c>
      <c r="I67" s="7">
        <v>12857.14</v>
      </c>
      <c r="J67" s="8">
        <f>Model!$B$2 + Model!$B$3*LOG10(H67) + Model!$B$4*LOG10(I67)</f>
        <v>1249.728396</v>
      </c>
      <c r="K67" s="9">
        <f>VLOOKUP(E67,Debuff!$A$2:$C$11,3,FALSE())</f>
        <v>0</v>
      </c>
      <c r="L67" s="10">
        <f t="shared" si="4"/>
        <v>1249.728396</v>
      </c>
    </row>
    <row r="68" ht="15.75" customHeight="1">
      <c r="A68" s="4">
        <f t="shared" si="1"/>
        <v>67</v>
      </c>
      <c r="B68" s="4">
        <f t="shared" si="2"/>
        <v>83</v>
      </c>
      <c r="C68" s="4">
        <f t="shared" si="3"/>
        <v>16</v>
      </c>
      <c r="D68" s="5" t="s">
        <v>93</v>
      </c>
      <c r="E68" s="5" t="s">
        <v>13</v>
      </c>
      <c r="F68" s="5" t="s">
        <v>14</v>
      </c>
      <c r="G68" s="5" t="s">
        <v>37</v>
      </c>
      <c r="H68" s="6">
        <v>3.0764253E7</v>
      </c>
      <c r="I68" s="7">
        <v>1658.73</v>
      </c>
      <c r="J68" s="8">
        <f>Model!$B$2 + Model!$B$3*LOG10(H68) + Model!$B$4*LOG10(I68)</f>
        <v>1248.970617</v>
      </c>
      <c r="K68" s="9">
        <f>VLOOKUP(E68,Debuff!$A$2:$C$11,3,FALSE())</f>
        <v>0</v>
      </c>
      <c r="L68" s="10">
        <f t="shared" si="4"/>
        <v>1248.970617</v>
      </c>
    </row>
    <row r="69" ht="15.75" customHeight="1">
      <c r="A69" s="4">
        <f t="shared" si="1"/>
        <v>68</v>
      </c>
      <c r="B69" s="4">
        <f t="shared" si="2"/>
        <v>84</v>
      </c>
      <c r="C69" s="4">
        <f t="shared" si="3"/>
        <v>16</v>
      </c>
      <c r="D69" s="5" t="s">
        <v>94</v>
      </c>
      <c r="E69" s="5" t="s">
        <v>13</v>
      </c>
      <c r="F69" s="5" t="s">
        <v>14</v>
      </c>
      <c r="G69" s="5" t="s">
        <v>15</v>
      </c>
      <c r="H69" s="6">
        <v>2.7120468E7</v>
      </c>
      <c r="I69" s="7">
        <v>1865.08</v>
      </c>
      <c r="J69" s="8">
        <f>Model!$B$2 + Model!$B$3*LOG10(H69) + Model!$B$4*LOG10(I69)</f>
        <v>1247.526534</v>
      </c>
      <c r="K69" s="9">
        <f>VLOOKUP(E69,Debuff!$A$2:$C$11,3,FALSE())</f>
        <v>0</v>
      </c>
      <c r="L69" s="10">
        <f t="shared" si="4"/>
        <v>1247.526534</v>
      </c>
    </row>
    <row r="70" ht="15.75" customHeight="1">
      <c r="A70" s="4">
        <f t="shared" si="1"/>
        <v>69</v>
      </c>
      <c r="B70" s="4">
        <f t="shared" si="2"/>
        <v>86</v>
      </c>
      <c r="C70" s="4">
        <f t="shared" si="3"/>
        <v>17</v>
      </c>
      <c r="D70" s="5" t="s">
        <v>95</v>
      </c>
      <c r="E70" s="5" t="s">
        <v>13</v>
      </c>
      <c r="F70" s="5" t="s">
        <v>14</v>
      </c>
      <c r="G70" s="5" t="s">
        <v>23</v>
      </c>
      <c r="H70" s="6">
        <v>6835852.0</v>
      </c>
      <c r="I70" s="7">
        <v>7222.22</v>
      </c>
      <c r="J70" s="8">
        <f>Model!$B$2 + Model!$B$3*LOG10(H70) + Model!$B$4*LOG10(I70)</f>
        <v>1237.435503</v>
      </c>
      <c r="K70" s="9">
        <f>VLOOKUP(E70,Debuff!$A$2:$C$11,3,FALSE())</f>
        <v>0</v>
      </c>
      <c r="L70" s="10">
        <f t="shared" si="4"/>
        <v>1237.435503</v>
      </c>
    </row>
    <row r="71" ht="15.75" customHeight="1">
      <c r="A71" s="4">
        <f t="shared" si="1"/>
        <v>70</v>
      </c>
      <c r="B71" s="4">
        <f t="shared" si="2"/>
        <v>87</v>
      </c>
      <c r="C71" s="4">
        <f t="shared" si="3"/>
        <v>17</v>
      </c>
      <c r="D71" s="5" t="s">
        <v>96</v>
      </c>
      <c r="E71" s="5" t="s">
        <v>13</v>
      </c>
      <c r="F71" s="5" t="s">
        <v>14</v>
      </c>
      <c r="G71" s="5" t="s">
        <v>15</v>
      </c>
      <c r="H71" s="6">
        <v>4523613.0</v>
      </c>
      <c r="I71" s="7">
        <v>11230.16</v>
      </c>
      <c r="J71" s="8">
        <f>Model!$B$2 + Model!$B$3*LOG10(H71) + Model!$B$4*LOG10(I71)</f>
        <v>1237.243327</v>
      </c>
      <c r="K71" s="9">
        <f>VLOOKUP(E71,Debuff!$A$2:$C$11,3,FALSE())</f>
        <v>0</v>
      </c>
      <c r="L71" s="10">
        <f t="shared" si="4"/>
        <v>1237.243327</v>
      </c>
    </row>
    <row r="72" ht="15.75" customHeight="1">
      <c r="A72" s="4">
        <f t="shared" si="1"/>
        <v>71</v>
      </c>
      <c r="B72" s="4">
        <f t="shared" si="2"/>
        <v>88</v>
      </c>
      <c r="C72" s="4">
        <f t="shared" si="3"/>
        <v>17</v>
      </c>
      <c r="D72" s="5" t="s">
        <v>97</v>
      </c>
      <c r="E72" s="5" t="s">
        <v>13</v>
      </c>
      <c r="F72" s="5" t="s">
        <v>14</v>
      </c>
      <c r="G72" s="5" t="s">
        <v>27</v>
      </c>
      <c r="H72" s="6">
        <v>2.5083674E7</v>
      </c>
      <c r="I72" s="7">
        <v>1742.06</v>
      </c>
      <c r="J72" s="8">
        <f>Model!$B$2 + Model!$B$3*LOG10(H72) + Model!$B$4*LOG10(I72)</f>
        <v>1235.505039</v>
      </c>
      <c r="K72" s="9">
        <f>VLOOKUP(E72,Debuff!$A$2:$C$11,3,FALSE())</f>
        <v>0</v>
      </c>
      <c r="L72" s="10">
        <f t="shared" si="4"/>
        <v>1235.505039</v>
      </c>
    </row>
    <row r="73" ht="15.75" customHeight="1">
      <c r="A73" s="4">
        <f t="shared" si="1"/>
        <v>72</v>
      </c>
      <c r="B73" s="4">
        <f t="shared" si="2"/>
        <v>89</v>
      </c>
      <c r="C73" s="4">
        <f t="shared" si="3"/>
        <v>17</v>
      </c>
      <c r="D73" s="5" t="s">
        <v>98</v>
      </c>
      <c r="E73" s="5" t="s">
        <v>13</v>
      </c>
      <c r="F73" s="5" t="s">
        <v>14</v>
      </c>
      <c r="G73" s="5" t="s">
        <v>20</v>
      </c>
      <c r="H73" s="6">
        <v>1.2224862E7</v>
      </c>
      <c r="I73" s="7">
        <v>3674.6</v>
      </c>
      <c r="J73" s="8">
        <f>Model!$B$2 + Model!$B$3*LOG10(H73) + Model!$B$4*LOG10(I73)</f>
        <v>1233.424061</v>
      </c>
      <c r="K73" s="9">
        <f>VLOOKUP(E73,Debuff!$A$2:$C$11,3,FALSE())</f>
        <v>0</v>
      </c>
      <c r="L73" s="10">
        <f t="shared" si="4"/>
        <v>1233.424061</v>
      </c>
    </row>
    <row r="74" ht="15.75" customHeight="1">
      <c r="A74" s="4">
        <f t="shared" si="1"/>
        <v>73</v>
      </c>
      <c r="B74" s="4">
        <f t="shared" si="2"/>
        <v>90</v>
      </c>
      <c r="C74" s="4">
        <f t="shared" si="3"/>
        <v>17</v>
      </c>
      <c r="D74" s="5" t="s">
        <v>99</v>
      </c>
      <c r="E74" s="5" t="s">
        <v>13</v>
      </c>
      <c r="F74" s="5" t="s">
        <v>14</v>
      </c>
      <c r="G74" s="5" t="s">
        <v>47</v>
      </c>
      <c r="H74" s="6">
        <v>3.6356117E7</v>
      </c>
      <c r="I74" s="7">
        <v>1111.11</v>
      </c>
      <c r="J74" s="8">
        <f>Model!$B$2 + Model!$B$3*LOG10(H74) + Model!$B$4*LOG10(I74)</f>
        <v>1231.500214</v>
      </c>
      <c r="K74" s="9">
        <f>VLOOKUP(E74,Debuff!$A$2:$C$11,3,FALSE())</f>
        <v>0</v>
      </c>
      <c r="L74" s="10">
        <f t="shared" si="4"/>
        <v>1231.500214</v>
      </c>
    </row>
    <row r="75" ht="15.75" customHeight="1">
      <c r="A75" s="4">
        <f t="shared" si="1"/>
        <v>74</v>
      </c>
      <c r="B75" s="4">
        <f t="shared" si="2"/>
        <v>92</v>
      </c>
      <c r="C75" s="4">
        <f t="shared" si="3"/>
        <v>18</v>
      </c>
      <c r="D75" s="5" t="s">
        <v>100</v>
      </c>
      <c r="E75" s="5" t="s">
        <v>13</v>
      </c>
      <c r="F75" s="5" t="s">
        <v>14</v>
      </c>
      <c r="G75" s="5" t="s">
        <v>47</v>
      </c>
      <c r="H75" s="6">
        <v>3626297.0</v>
      </c>
      <c r="I75" s="7">
        <v>12936.51</v>
      </c>
      <c r="J75" s="8">
        <f>Model!$B$2 + Model!$B$3*LOG10(H75) + Model!$B$4*LOG10(I75)</f>
        <v>1229.639428</v>
      </c>
      <c r="K75" s="9">
        <f>VLOOKUP(E75,Debuff!$A$2:$C$11,3,FALSE())</f>
        <v>0</v>
      </c>
      <c r="L75" s="10">
        <f t="shared" si="4"/>
        <v>1229.639428</v>
      </c>
    </row>
    <row r="76" ht="15.75" customHeight="1">
      <c r="A76" s="4">
        <f t="shared" si="1"/>
        <v>75</v>
      </c>
      <c r="B76" s="4">
        <f t="shared" si="2"/>
        <v>5</v>
      </c>
      <c r="C76" s="4">
        <f t="shared" si="3"/>
        <v>-70</v>
      </c>
      <c r="D76" s="5" t="s">
        <v>101</v>
      </c>
      <c r="E76" s="5" t="s">
        <v>102</v>
      </c>
      <c r="F76" s="5" t="s">
        <v>103</v>
      </c>
      <c r="G76" s="5" t="s">
        <v>17</v>
      </c>
      <c r="H76" s="6">
        <v>2.60844816E8</v>
      </c>
      <c r="I76" s="7">
        <v>10753.97</v>
      </c>
      <c r="J76" s="8">
        <f>Model!$B$2 + Model!$B$3*LOG10(H76) + Model!$B$4*LOG10(I76)</f>
        <v>1578.190515</v>
      </c>
      <c r="K76" s="9">
        <f>VLOOKUP(E76,Debuff!$A$2:$C$11,3,FALSE())</f>
        <v>350</v>
      </c>
      <c r="L76" s="10">
        <f t="shared" si="4"/>
        <v>1228.190515</v>
      </c>
    </row>
    <row r="77" ht="15.75" customHeight="1">
      <c r="A77" s="4">
        <f t="shared" si="1"/>
        <v>76</v>
      </c>
      <c r="B77" s="4">
        <f t="shared" si="2"/>
        <v>95</v>
      </c>
      <c r="C77" s="4">
        <f t="shared" si="3"/>
        <v>19</v>
      </c>
      <c r="D77" s="5" t="s">
        <v>104</v>
      </c>
      <c r="E77" s="5" t="s">
        <v>13</v>
      </c>
      <c r="F77" s="5" t="s">
        <v>14</v>
      </c>
      <c r="G77" s="5" t="s">
        <v>17</v>
      </c>
      <c r="H77" s="6">
        <v>3123402.0</v>
      </c>
      <c r="I77" s="7">
        <v>14841.27</v>
      </c>
      <c r="J77" s="8">
        <f>Model!$B$2 + Model!$B$3*LOG10(H77) + Model!$B$4*LOG10(I77)</f>
        <v>1227.811248</v>
      </c>
      <c r="K77" s="9">
        <f>VLOOKUP(E77,Debuff!$A$2:$C$11,3,FALSE())</f>
        <v>0</v>
      </c>
      <c r="L77" s="10">
        <f t="shared" si="4"/>
        <v>1227.811248</v>
      </c>
    </row>
    <row r="78" ht="15.75" customHeight="1">
      <c r="A78" s="4">
        <f t="shared" si="1"/>
        <v>77</v>
      </c>
      <c r="B78" s="4">
        <f t="shared" si="2"/>
        <v>96</v>
      </c>
      <c r="C78" s="4">
        <f t="shared" si="3"/>
        <v>19</v>
      </c>
      <c r="D78" s="5" t="s">
        <v>105</v>
      </c>
      <c r="E78" s="5" t="s">
        <v>13</v>
      </c>
      <c r="F78" s="5" t="s">
        <v>14</v>
      </c>
      <c r="G78" s="5" t="s">
        <v>47</v>
      </c>
      <c r="H78" s="6">
        <v>2.942179E7</v>
      </c>
      <c r="I78" s="7">
        <v>1198.41</v>
      </c>
      <c r="J78" s="8">
        <f>Model!$B$2 + Model!$B$3*LOG10(H78) + Model!$B$4*LOG10(I78)</f>
        <v>1219.501431</v>
      </c>
      <c r="K78" s="9">
        <f>VLOOKUP(E78,Debuff!$A$2:$C$11,3,FALSE())</f>
        <v>0</v>
      </c>
      <c r="L78" s="10">
        <f t="shared" si="4"/>
        <v>1219.501431</v>
      </c>
    </row>
    <row r="79" ht="15.75" customHeight="1">
      <c r="A79" s="4">
        <f t="shared" si="1"/>
        <v>78</v>
      </c>
      <c r="B79" s="4">
        <f t="shared" si="2"/>
        <v>97</v>
      </c>
      <c r="C79" s="4">
        <f t="shared" si="3"/>
        <v>19</v>
      </c>
      <c r="D79" s="5" t="s">
        <v>106</v>
      </c>
      <c r="E79" s="5" t="s">
        <v>13</v>
      </c>
      <c r="F79" s="5" t="s">
        <v>14</v>
      </c>
      <c r="G79" s="5" t="s">
        <v>27</v>
      </c>
      <c r="H79" s="6">
        <v>3.6478307E7</v>
      </c>
      <c r="I79" s="7">
        <v>928.57</v>
      </c>
      <c r="J79" s="8">
        <f>Model!$B$2 + Model!$B$3*LOG10(H79) + Model!$B$4*LOG10(I79)</f>
        <v>1217.607028</v>
      </c>
      <c r="K79" s="9">
        <f>VLOOKUP(E79,Debuff!$A$2:$C$11,3,FALSE())</f>
        <v>0</v>
      </c>
      <c r="L79" s="10">
        <f t="shared" si="4"/>
        <v>1217.607028</v>
      </c>
    </row>
    <row r="80" ht="15.75" customHeight="1">
      <c r="A80" s="4">
        <f t="shared" si="1"/>
        <v>79</v>
      </c>
      <c r="B80" s="4">
        <f t="shared" si="2"/>
        <v>98</v>
      </c>
      <c r="C80" s="4">
        <f t="shared" si="3"/>
        <v>19</v>
      </c>
      <c r="D80" s="5" t="s">
        <v>107</v>
      </c>
      <c r="E80" s="5" t="s">
        <v>13</v>
      </c>
      <c r="F80" s="5" t="s">
        <v>14</v>
      </c>
      <c r="G80" s="5" t="s">
        <v>20</v>
      </c>
      <c r="H80" s="6">
        <v>1.0233103E7</v>
      </c>
      <c r="I80" s="7">
        <v>3634.92</v>
      </c>
      <c r="J80" s="8">
        <f>Model!$B$2 + Model!$B$3*LOG10(H80) + Model!$B$4*LOG10(I80)</f>
        <v>1217.461542</v>
      </c>
      <c r="K80" s="9">
        <f>VLOOKUP(E80,Debuff!$A$2:$C$11,3,FALSE())</f>
        <v>0</v>
      </c>
      <c r="L80" s="10">
        <f t="shared" si="4"/>
        <v>1217.461542</v>
      </c>
    </row>
    <row r="81" ht="15.75" customHeight="1">
      <c r="A81" s="4">
        <f t="shared" si="1"/>
        <v>80</v>
      </c>
      <c r="B81" s="4">
        <f t="shared" si="2"/>
        <v>99</v>
      </c>
      <c r="C81" s="4">
        <f t="shared" si="3"/>
        <v>19</v>
      </c>
      <c r="D81" s="5" t="s">
        <v>108</v>
      </c>
      <c r="E81" s="5" t="s">
        <v>13</v>
      </c>
      <c r="F81" s="5" t="s">
        <v>14</v>
      </c>
      <c r="G81" s="5" t="s">
        <v>47</v>
      </c>
      <c r="H81" s="6">
        <v>1.258452E7</v>
      </c>
      <c r="I81" s="7">
        <v>2904.76</v>
      </c>
      <c r="J81" s="8">
        <f>Model!$B$2 + Model!$B$3*LOG10(H81) + Model!$B$4*LOG10(I81)</f>
        <v>1217.314224</v>
      </c>
      <c r="K81" s="9">
        <f>VLOOKUP(E81,Debuff!$A$2:$C$11,3,FALSE())</f>
        <v>0</v>
      </c>
      <c r="L81" s="10">
        <f t="shared" si="4"/>
        <v>1217.314224</v>
      </c>
    </row>
    <row r="82" ht="15.75" customHeight="1">
      <c r="A82" s="4">
        <f t="shared" si="1"/>
        <v>81</v>
      </c>
      <c r="B82" s="4">
        <f t="shared" si="2"/>
        <v>100</v>
      </c>
      <c r="C82" s="4">
        <f t="shared" si="3"/>
        <v>19</v>
      </c>
      <c r="D82" s="5" t="s">
        <v>109</v>
      </c>
      <c r="E82" s="5" t="s">
        <v>13</v>
      </c>
      <c r="F82" s="5" t="s">
        <v>14</v>
      </c>
      <c r="G82" s="5" t="s">
        <v>47</v>
      </c>
      <c r="H82" s="6">
        <v>3.0421695E7</v>
      </c>
      <c r="I82" s="7">
        <v>1087.3</v>
      </c>
      <c r="J82" s="8">
        <f>Model!$B$2 + Model!$B$3*LOG10(H82) + Model!$B$4*LOG10(I82)</f>
        <v>1214.653317</v>
      </c>
      <c r="K82" s="9">
        <f>VLOOKUP(E82,Debuff!$A$2:$C$11,3,FALSE())</f>
        <v>0</v>
      </c>
      <c r="L82" s="10">
        <f t="shared" si="4"/>
        <v>1214.653317</v>
      </c>
    </row>
    <row r="83" ht="15.75" customHeight="1">
      <c r="A83" s="4">
        <f t="shared" si="1"/>
        <v>82</v>
      </c>
      <c r="B83" s="4">
        <f t="shared" si="2"/>
        <v>101</v>
      </c>
      <c r="C83" s="4">
        <f t="shared" si="3"/>
        <v>19</v>
      </c>
      <c r="D83" s="5" t="s">
        <v>110</v>
      </c>
      <c r="E83" s="5" t="s">
        <v>13</v>
      </c>
      <c r="F83" s="5" t="s">
        <v>14</v>
      </c>
      <c r="G83" s="5" t="s">
        <v>37</v>
      </c>
      <c r="H83" s="6">
        <v>2.2386666E7</v>
      </c>
      <c r="I83" s="7">
        <v>1511.9</v>
      </c>
      <c r="J83" s="8">
        <f>Model!$B$2 + Model!$B$3*LOG10(H83) + Model!$B$4*LOG10(I83)</f>
        <v>1214.649302</v>
      </c>
      <c r="K83" s="9">
        <f>VLOOKUP(E83,Debuff!$A$2:$C$11,3,FALSE())</f>
        <v>0</v>
      </c>
      <c r="L83" s="10">
        <f t="shared" si="4"/>
        <v>1214.649302</v>
      </c>
    </row>
    <row r="84" ht="15.75" customHeight="1">
      <c r="A84" s="4">
        <f t="shared" si="1"/>
        <v>83</v>
      </c>
      <c r="B84" s="4">
        <f t="shared" si="2"/>
        <v>4</v>
      </c>
      <c r="C84" s="4">
        <f t="shared" si="3"/>
        <v>-79</v>
      </c>
      <c r="D84" s="5" t="s">
        <v>111</v>
      </c>
      <c r="E84" s="5" t="s">
        <v>112</v>
      </c>
      <c r="F84" s="5" t="s">
        <v>113</v>
      </c>
      <c r="G84" s="5" t="s">
        <v>27</v>
      </c>
      <c r="H84" s="6">
        <v>3.47520587E8</v>
      </c>
      <c r="I84" s="7">
        <v>11861.11</v>
      </c>
      <c r="J84" s="8">
        <f>Model!$B$2 + Model!$B$3*LOG10(H84) + Model!$B$4*LOG10(I84)</f>
        <v>1610.29888</v>
      </c>
      <c r="K84" s="9">
        <f>VLOOKUP(E84,Debuff!$A$2:$C$11,3,FALSE())</f>
        <v>400</v>
      </c>
      <c r="L84" s="10">
        <f t="shared" si="4"/>
        <v>1210.29888</v>
      </c>
    </row>
    <row r="85" ht="15.75" customHeight="1">
      <c r="A85" s="4">
        <f t="shared" si="1"/>
        <v>84</v>
      </c>
      <c r="B85" s="4">
        <f t="shared" si="2"/>
        <v>103</v>
      </c>
      <c r="C85" s="4">
        <f t="shared" si="3"/>
        <v>19</v>
      </c>
      <c r="D85" s="5" t="s">
        <v>114</v>
      </c>
      <c r="E85" s="5" t="s">
        <v>13</v>
      </c>
      <c r="F85" s="5" t="s">
        <v>14</v>
      </c>
      <c r="G85" s="5" t="s">
        <v>15</v>
      </c>
      <c r="H85" s="6">
        <v>3347590.0</v>
      </c>
      <c r="I85" s="7">
        <v>10436.51</v>
      </c>
      <c r="J85" s="8">
        <f>Model!$B$2 + Model!$B$3*LOG10(H85) + Model!$B$4*LOG10(I85)</f>
        <v>1205.882382</v>
      </c>
      <c r="K85" s="9">
        <f>VLOOKUP(E85,Debuff!$A$2:$C$11,3,FALSE())</f>
        <v>0</v>
      </c>
      <c r="L85" s="10">
        <f t="shared" si="4"/>
        <v>1205.882382</v>
      </c>
    </row>
    <row r="86" ht="15.75" customHeight="1">
      <c r="A86" s="4">
        <f t="shared" si="1"/>
        <v>85</v>
      </c>
      <c r="B86" s="4">
        <f t="shared" si="2"/>
        <v>104</v>
      </c>
      <c r="C86" s="4">
        <f t="shared" si="3"/>
        <v>19</v>
      </c>
      <c r="D86" s="5" t="s">
        <v>115</v>
      </c>
      <c r="E86" s="5" t="s">
        <v>13</v>
      </c>
      <c r="F86" s="5" t="s">
        <v>14</v>
      </c>
      <c r="G86" s="5" t="s">
        <v>37</v>
      </c>
      <c r="H86" s="6">
        <v>1.1838201E7</v>
      </c>
      <c r="I86" s="7">
        <v>2662.7</v>
      </c>
      <c r="J86" s="8">
        <f>Model!$B$2 + Model!$B$3*LOG10(H86) + Model!$B$4*LOG10(I86)</f>
        <v>1205.247931</v>
      </c>
      <c r="K86" s="9">
        <f>VLOOKUP(E86,Debuff!$A$2:$C$11,3,FALSE())</f>
        <v>0</v>
      </c>
      <c r="L86" s="10">
        <f t="shared" si="4"/>
        <v>1205.247931</v>
      </c>
    </row>
    <row r="87" ht="15.75" customHeight="1">
      <c r="A87" s="4">
        <f t="shared" si="1"/>
        <v>86</v>
      </c>
      <c r="B87" s="4">
        <f t="shared" si="2"/>
        <v>106</v>
      </c>
      <c r="C87" s="4">
        <f t="shared" si="3"/>
        <v>20</v>
      </c>
      <c r="D87" s="5" t="s">
        <v>116</v>
      </c>
      <c r="E87" s="5" t="s">
        <v>13</v>
      </c>
      <c r="F87" s="5" t="s">
        <v>14</v>
      </c>
      <c r="G87" s="5" t="s">
        <v>17</v>
      </c>
      <c r="H87" s="6">
        <v>9819273.0</v>
      </c>
      <c r="I87" s="7">
        <v>2896.83</v>
      </c>
      <c r="J87" s="8">
        <f>Model!$B$2 + Model!$B$3*LOG10(H87) + Model!$B$4*LOG10(I87)</f>
        <v>1196.024676</v>
      </c>
      <c r="K87" s="9">
        <f>VLOOKUP(E87,Debuff!$A$2:$C$11,3,FALSE())</f>
        <v>0</v>
      </c>
      <c r="L87" s="10">
        <f t="shared" si="4"/>
        <v>1196.024676</v>
      </c>
    </row>
    <row r="88" ht="15.75" customHeight="1">
      <c r="A88" s="4">
        <f t="shared" si="1"/>
        <v>87</v>
      </c>
      <c r="B88" s="4">
        <f t="shared" si="2"/>
        <v>107</v>
      </c>
      <c r="C88" s="4">
        <f t="shared" si="3"/>
        <v>20</v>
      </c>
      <c r="D88" s="5" t="s">
        <v>117</v>
      </c>
      <c r="E88" s="5" t="s">
        <v>13</v>
      </c>
      <c r="F88" s="5" t="s">
        <v>14</v>
      </c>
      <c r="G88" s="5" t="s">
        <v>27</v>
      </c>
      <c r="H88" s="6">
        <v>1.6057397E7</v>
      </c>
      <c r="I88" s="7">
        <v>1559.52</v>
      </c>
      <c r="J88" s="8">
        <f>Model!$B$2 + Model!$B$3*LOG10(H88) + Model!$B$4*LOG10(I88)</f>
        <v>1188.876335</v>
      </c>
      <c r="K88" s="9">
        <f>VLOOKUP(E88,Debuff!$A$2:$C$11,3,FALSE())</f>
        <v>0</v>
      </c>
      <c r="L88" s="10">
        <f t="shared" si="4"/>
        <v>1188.876335</v>
      </c>
    </row>
    <row r="89" ht="15.75" customHeight="1">
      <c r="A89" s="4">
        <f t="shared" si="1"/>
        <v>88</v>
      </c>
      <c r="B89" s="4">
        <f t="shared" si="2"/>
        <v>108</v>
      </c>
      <c r="C89" s="4">
        <f t="shared" si="3"/>
        <v>20</v>
      </c>
      <c r="D89" s="5" t="s">
        <v>118</v>
      </c>
      <c r="E89" s="5" t="s">
        <v>13</v>
      </c>
      <c r="F89" s="5" t="s">
        <v>14</v>
      </c>
      <c r="G89" s="5" t="s">
        <v>27</v>
      </c>
      <c r="H89" s="6">
        <v>2162677.0</v>
      </c>
      <c r="I89" s="7">
        <v>13214.29</v>
      </c>
      <c r="J89" s="8">
        <f>Model!$B$2 + Model!$B$3*LOG10(H89) + Model!$B$4*LOG10(I89)</f>
        <v>1187.418962</v>
      </c>
      <c r="K89" s="9">
        <f>VLOOKUP(E89,Debuff!$A$2:$C$11,3,FALSE())</f>
        <v>0</v>
      </c>
      <c r="L89" s="10">
        <f t="shared" si="4"/>
        <v>1187.418962</v>
      </c>
    </row>
    <row r="90" ht="15.75" customHeight="1">
      <c r="A90" s="4">
        <f t="shared" si="1"/>
        <v>89</v>
      </c>
      <c r="B90" s="4">
        <f t="shared" si="2"/>
        <v>109</v>
      </c>
      <c r="C90" s="4">
        <f t="shared" si="3"/>
        <v>20</v>
      </c>
      <c r="D90" s="5" t="s">
        <v>119</v>
      </c>
      <c r="E90" s="5" t="s">
        <v>13</v>
      </c>
      <c r="F90" s="5" t="s">
        <v>14</v>
      </c>
      <c r="G90" s="5" t="s">
        <v>47</v>
      </c>
      <c r="H90" s="6">
        <v>7181169.0</v>
      </c>
      <c r="I90" s="7">
        <v>3531.75</v>
      </c>
      <c r="J90" s="8">
        <f>Model!$B$2 + Model!$B$3*LOG10(H90) + Model!$B$4*LOG10(I90)</f>
        <v>1185.106517</v>
      </c>
      <c r="K90" s="9">
        <f>VLOOKUP(E90,Debuff!$A$2:$C$11,3,FALSE())</f>
        <v>0</v>
      </c>
      <c r="L90" s="10">
        <f t="shared" si="4"/>
        <v>1185.106517</v>
      </c>
    </row>
    <row r="91" ht="15.75" customHeight="1">
      <c r="A91" s="4">
        <f t="shared" si="1"/>
        <v>90</v>
      </c>
      <c r="B91" s="4">
        <f t="shared" si="2"/>
        <v>110</v>
      </c>
      <c r="C91" s="4">
        <f t="shared" si="3"/>
        <v>20</v>
      </c>
      <c r="D91" s="5" t="s">
        <v>120</v>
      </c>
      <c r="E91" s="5" t="s">
        <v>13</v>
      </c>
      <c r="F91" s="5" t="s">
        <v>14</v>
      </c>
      <c r="G91" s="5" t="s">
        <v>47</v>
      </c>
      <c r="H91" s="6">
        <v>1.7339111E7</v>
      </c>
      <c r="I91" s="7">
        <v>1337.3</v>
      </c>
      <c r="J91" s="8">
        <f>Model!$B$2 + Model!$B$3*LOG10(H91) + Model!$B$4*LOG10(I91)</f>
        <v>1183.254363</v>
      </c>
      <c r="K91" s="9">
        <f>VLOOKUP(E91,Debuff!$A$2:$C$11,3,FALSE())</f>
        <v>0</v>
      </c>
      <c r="L91" s="10">
        <f t="shared" si="4"/>
        <v>1183.254363</v>
      </c>
    </row>
    <row r="92" ht="15.75" customHeight="1">
      <c r="A92" s="4">
        <f t="shared" si="1"/>
        <v>91</v>
      </c>
      <c r="B92" s="4">
        <f t="shared" si="2"/>
        <v>111</v>
      </c>
      <c r="C92" s="4">
        <f t="shared" si="3"/>
        <v>20</v>
      </c>
      <c r="D92" s="5" t="s">
        <v>121</v>
      </c>
      <c r="E92" s="5" t="s">
        <v>13</v>
      </c>
      <c r="F92" s="5" t="s">
        <v>14</v>
      </c>
      <c r="G92" s="5" t="s">
        <v>27</v>
      </c>
      <c r="H92" s="6">
        <v>2051970.0</v>
      </c>
      <c r="I92" s="7">
        <v>13055.56</v>
      </c>
      <c r="J92" s="8">
        <f>Model!$B$2 + Model!$B$3*LOG10(H92) + Model!$B$4*LOG10(I92)</f>
        <v>1182.001336</v>
      </c>
      <c r="K92" s="9">
        <f>VLOOKUP(E92,Debuff!$A$2:$C$11,3,FALSE())</f>
        <v>0</v>
      </c>
      <c r="L92" s="10">
        <f t="shared" si="4"/>
        <v>1182.001336</v>
      </c>
    </row>
    <row r="93" ht="15.75" customHeight="1">
      <c r="A93" s="4">
        <f t="shared" si="1"/>
        <v>92</v>
      </c>
      <c r="B93" s="4">
        <f t="shared" si="2"/>
        <v>112</v>
      </c>
      <c r="C93" s="4">
        <f t="shared" si="3"/>
        <v>20</v>
      </c>
      <c r="D93" s="5" t="s">
        <v>122</v>
      </c>
      <c r="E93" s="5" t="s">
        <v>13</v>
      </c>
      <c r="F93" s="5" t="s">
        <v>14</v>
      </c>
      <c r="G93" s="5" t="s">
        <v>37</v>
      </c>
      <c r="H93" s="6">
        <v>6257140.0</v>
      </c>
      <c r="I93" s="7">
        <v>3654.76</v>
      </c>
      <c r="J93" s="8">
        <f>Model!$B$2 + Model!$B$3*LOG10(H93) + Model!$B$4*LOG10(I93)</f>
        <v>1176.112686</v>
      </c>
      <c r="K93" s="9">
        <f>VLOOKUP(E93,Debuff!$A$2:$C$11,3,FALSE())</f>
        <v>0</v>
      </c>
      <c r="L93" s="10">
        <f t="shared" si="4"/>
        <v>1176.112686</v>
      </c>
    </row>
    <row r="94" ht="15.75" customHeight="1">
      <c r="A94" s="4">
        <f t="shared" si="1"/>
        <v>93</v>
      </c>
      <c r="B94" s="4">
        <f t="shared" si="2"/>
        <v>113</v>
      </c>
      <c r="C94" s="4">
        <f t="shared" si="3"/>
        <v>20</v>
      </c>
      <c r="D94" s="5" t="s">
        <v>123</v>
      </c>
      <c r="E94" s="5" t="s">
        <v>13</v>
      </c>
      <c r="F94" s="5" t="s">
        <v>14</v>
      </c>
      <c r="G94" s="5" t="s">
        <v>27</v>
      </c>
      <c r="H94" s="6">
        <v>1.124766E7</v>
      </c>
      <c r="I94" s="7">
        <v>1781.75</v>
      </c>
      <c r="J94" s="8">
        <f>Model!$B$2 + Model!$B$3*LOG10(H94) + Model!$B$4*LOG10(I94)</f>
        <v>1169.163717</v>
      </c>
      <c r="K94" s="9">
        <f>VLOOKUP(E94,Debuff!$A$2:$C$11,3,FALSE())</f>
        <v>0</v>
      </c>
      <c r="L94" s="10">
        <f t="shared" si="4"/>
        <v>1169.163717</v>
      </c>
    </row>
    <row r="95" ht="15.75" customHeight="1">
      <c r="A95" s="4">
        <f t="shared" si="1"/>
        <v>94</v>
      </c>
      <c r="B95" s="4">
        <f t="shared" si="2"/>
        <v>73</v>
      </c>
      <c r="C95" s="4">
        <f t="shared" si="3"/>
        <v>-21</v>
      </c>
      <c r="D95" s="5" t="s">
        <v>124</v>
      </c>
      <c r="E95" s="5" t="s">
        <v>31</v>
      </c>
      <c r="F95" s="5" t="s">
        <v>32</v>
      </c>
      <c r="G95" s="5" t="s">
        <v>15</v>
      </c>
      <c r="H95" s="6">
        <v>1.3705584E7</v>
      </c>
      <c r="I95" s="7">
        <v>5039.68</v>
      </c>
      <c r="J95" s="8">
        <f>Model!$B$2 + Model!$B$3*LOG10(H95) + Model!$B$4*LOG10(I95)</f>
        <v>1268.090728</v>
      </c>
      <c r="K95" s="9">
        <f>VLOOKUP(E95,Debuff!$A$2:$C$11,3,FALSE())</f>
        <v>100</v>
      </c>
      <c r="L95" s="10">
        <f t="shared" si="4"/>
        <v>1168.090728</v>
      </c>
    </row>
    <row r="96" ht="15.75" customHeight="1">
      <c r="A96" s="4">
        <f t="shared" si="1"/>
        <v>95</v>
      </c>
      <c r="B96" s="4">
        <f t="shared" si="2"/>
        <v>114</v>
      </c>
      <c r="C96" s="4">
        <f t="shared" si="3"/>
        <v>19</v>
      </c>
      <c r="D96" s="5" t="s">
        <v>125</v>
      </c>
      <c r="E96" s="5" t="s">
        <v>13</v>
      </c>
      <c r="F96" s="5" t="s">
        <v>14</v>
      </c>
      <c r="G96" s="5" t="s">
        <v>23</v>
      </c>
      <c r="H96" s="6">
        <v>3146473.0</v>
      </c>
      <c r="I96" s="7">
        <v>6111.11</v>
      </c>
      <c r="J96" s="8">
        <f>Model!$B$2 + Model!$B$3*LOG10(H96) + Model!$B$4*LOG10(I96)</f>
        <v>1158.338801</v>
      </c>
      <c r="K96" s="9">
        <f>VLOOKUP(E96,Debuff!$A$2:$C$11,3,FALSE())</f>
        <v>0</v>
      </c>
      <c r="L96" s="10">
        <f t="shared" si="4"/>
        <v>1158.338801</v>
      </c>
    </row>
    <row r="97" ht="15.75" customHeight="1">
      <c r="A97" s="4">
        <f t="shared" si="1"/>
        <v>96</v>
      </c>
      <c r="B97" s="4">
        <f t="shared" si="2"/>
        <v>115</v>
      </c>
      <c r="C97" s="4">
        <f t="shared" si="3"/>
        <v>19</v>
      </c>
      <c r="D97" s="5" t="s">
        <v>126</v>
      </c>
      <c r="E97" s="5" t="s">
        <v>13</v>
      </c>
      <c r="F97" s="5" t="s">
        <v>14</v>
      </c>
      <c r="G97" s="5" t="s">
        <v>37</v>
      </c>
      <c r="H97" s="6">
        <v>3.1948027E7</v>
      </c>
      <c r="I97" s="7">
        <v>492.06</v>
      </c>
      <c r="J97" s="8">
        <f>Model!$B$2 + Model!$B$3*LOG10(H97) + Model!$B$4*LOG10(I97)</f>
        <v>1156.175361</v>
      </c>
      <c r="K97" s="9">
        <f>VLOOKUP(E97,Debuff!$A$2:$C$11,3,FALSE())</f>
        <v>0</v>
      </c>
      <c r="L97" s="10">
        <f t="shared" si="4"/>
        <v>1156.175361</v>
      </c>
    </row>
    <row r="98" ht="15.75" customHeight="1">
      <c r="A98" s="4">
        <f t="shared" si="1"/>
        <v>97</v>
      </c>
      <c r="B98" s="4">
        <f t="shared" si="2"/>
        <v>116</v>
      </c>
      <c r="C98" s="4">
        <f t="shared" si="3"/>
        <v>19</v>
      </c>
      <c r="D98" s="5" t="s">
        <v>127</v>
      </c>
      <c r="E98" s="5" t="s">
        <v>13</v>
      </c>
      <c r="F98" s="5" t="s">
        <v>14</v>
      </c>
      <c r="G98" s="5" t="s">
        <v>15</v>
      </c>
      <c r="H98" s="6">
        <v>1158763.0</v>
      </c>
      <c r="I98" s="7">
        <v>16785.71</v>
      </c>
      <c r="J98" s="8">
        <f>Model!$B$2 + Model!$B$3*LOG10(H98) + Model!$B$4*LOG10(I98)</f>
        <v>1153.320615</v>
      </c>
      <c r="K98" s="9">
        <f>VLOOKUP(E98,Debuff!$A$2:$C$11,3,FALSE())</f>
        <v>0</v>
      </c>
      <c r="L98" s="10">
        <f t="shared" si="4"/>
        <v>1153.320615</v>
      </c>
    </row>
    <row r="99" ht="15.75" customHeight="1">
      <c r="A99" s="4">
        <f t="shared" si="1"/>
        <v>98</v>
      </c>
      <c r="B99" s="4">
        <f t="shared" si="2"/>
        <v>117</v>
      </c>
      <c r="C99" s="4">
        <f t="shared" si="3"/>
        <v>19</v>
      </c>
      <c r="D99" s="5" t="s">
        <v>128</v>
      </c>
      <c r="E99" s="5" t="s">
        <v>13</v>
      </c>
      <c r="F99" s="5" t="s">
        <v>14</v>
      </c>
      <c r="G99" s="5" t="s">
        <v>15</v>
      </c>
      <c r="H99" s="6">
        <v>1300163.0</v>
      </c>
      <c r="I99" s="7">
        <v>14563.49</v>
      </c>
      <c r="J99" s="8">
        <f>Model!$B$2 + Model!$B$3*LOG10(H99) + Model!$B$4*LOG10(I99)</f>
        <v>1151.880605</v>
      </c>
      <c r="K99" s="9">
        <f>VLOOKUP(E99,Debuff!$A$2:$C$11,3,FALSE())</f>
        <v>0</v>
      </c>
      <c r="L99" s="10">
        <f t="shared" si="4"/>
        <v>1151.880605</v>
      </c>
    </row>
    <row r="100" ht="15.75" customHeight="1">
      <c r="A100" s="4">
        <f t="shared" si="1"/>
        <v>99</v>
      </c>
      <c r="B100" s="4">
        <f t="shared" si="2"/>
        <v>118</v>
      </c>
      <c r="C100" s="4">
        <f t="shared" si="3"/>
        <v>19</v>
      </c>
      <c r="D100" s="5" t="s">
        <v>129</v>
      </c>
      <c r="E100" s="5" t="s">
        <v>13</v>
      </c>
      <c r="F100" s="5" t="s">
        <v>14</v>
      </c>
      <c r="G100" s="5" t="s">
        <v>15</v>
      </c>
      <c r="H100" s="6">
        <v>2170550.0</v>
      </c>
      <c r="I100" s="7">
        <v>8333.33</v>
      </c>
      <c r="J100" s="8">
        <f>Model!$B$2 + Model!$B$3*LOG10(H100) + Model!$B$4*LOG10(I100)</f>
        <v>1151.305496</v>
      </c>
      <c r="K100" s="9">
        <f>VLOOKUP(E100,Debuff!$A$2:$C$11,3,FALSE())</f>
        <v>0</v>
      </c>
      <c r="L100" s="10">
        <f t="shared" si="4"/>
        <v>1151.305496</v>
      </c>
    </row>
    <row r="101" ht="15.75" customHeight="1">
      <c r="A101" s="4">
        <f t="shared" si="1"/>
        <v>100</v>
      </c>
      <c r="B101" s="4">
        <f t="shared" si="2"/>
        <v>119</v>
      </c>
      <c r="C101" s="4">
        <f t="shared" si="3"/>
        <v>19</v>
      </c>
      <c r="D101" s="5" t="s">
        <v>130</v>
      </c>
      <c r="E101" s="5" t="s">
        <v>13</v>
      </c>
      <c r="F101" s="5" t="s">
        <v>14</v>
      </c>
      <c r="G101" s="5" t="s">
        <v>23</v>
      </c>
      <c r="H101" s="6">
        <v>730203.0</v>
      </c>
      <c r="I101" s="7">
        <v>24603.17</v>
      </c>
      <c r="J101" s="8">
        <f>Model!$B$2 + Model!$B$3*LOG10(H101) + Model!$B$4*LOG10(I101)</f>
        <v>1144.305488</v>
      </c>
      <c r="K101" s="9">
        <f>VLOOKUP(E101,Debuff!$A$2:$C$11,3,FALSE())</f>
        <v>0</v>
      </c>
      <c r="L101" s="10">
        <f t="shared" si="4"/>
        <v>1144.305488</v>
      </c>
    </row>
    <row r="102" ht="15.75" customHeight="1">
      <c r="A102" s="4">
        <f t="shared" si="1"/>
        <v>101</v>
      </c>
      <c r="B102" s="4">
        <f t="shared" si="2"/>
        <v>120</v>
      </c>
      <c r="C102" s="4">
        <f t="shared" si="3"/>
        <v>19</v>
      </c>
      <c r="D102" s="5" t="s">
        <v>131</v>
      </c>
      <c r="E102" s="5" t="s">
        <v>13</v>
      </c>
      <c r="F102" s="5" t="s">
        <v>14</v>
      </c>
      <c r="G102" s="5" t="s">
        <v>20</v>
      </c>
      <c r="H102" s="6">
        <v>8714286.0</v>
      </c>
      <c r="I102" s="7">
        <v>1706.35</v>
      </c>
      <c r="J102" s="8">
        <f>Model!$B$2 + Model!$B$3*LOG10(H102) + Model!$B$4*LOG10(I102)</f>
        <v>1144.073212</v>
      </c>
      <c r="K102" s="9">
        <f>VLOOKUP(E102,Debuff!$A$2:$C$11,3,FALSE())</f>
        <v>0</v>
      </c>
      <c r="L102" s="10">
        <f t="shared" si="4"/>
        <v>1144.073212</v>
      </c>
    </row>
    <row r="103" ht="15.75" customHeight="1">
      <c r="A103" s="4">
        <f t="shared" si="1"/>
        <v>102</v>
      </c>
      <c r="B103" s="4">
        <f t="shared" si="2"/>
        <v>121</v>
      </c>
      <c r="C103" s="4">
        <f t="shared" si="3"/>
        <v>19</v>
      </c>
      <c r="D103" s="5" t="s">
        <v>132</v>
      </c>
      <c r="E103" s="5" t="s">
        <v>13</v>
      </c>
      <c r="F103" s="5" t="s">
        <v>14</v>
      </c>
      <c r="G103" s="5" t="s">
        <v>27</v>
      </c>
      <c r="H103" s="6">
        <v>7898975.0</v>
      </c>
      <c r="I103" s="7">
        <v>1753.97</v>
      </c>
      <c r="J103" s="8">
        <f>Model!$B$2 + Model!$B$3*LOG10(H103) + Model!$B$4*LOG10(I103)</f>
        <v>1137.904699</v>
      </c>
      <c r="K103" s="9">
        <f>VLOOKUP(E103,Debuff!$A$2:$C$11,3,FALSE())</f>
        <v>0</v>
      </c>
      <c r="L103" s="10">
        <f t="shared" si="4"/>
        <v>1137.904699</v>
      </c>
    </row>
    <row r="104" ht="15.75" customHeight="1">
      <c r="A104" s="4">
        <f t="shared" si="1"/>
        <v>103</v>
      </c>
      <c r="B104" s="4">
        <f t="shared" si="2"/>
        <v>122</v>
      </c>
      <c r="C104" s="4">
        <f t="shared" si="3"/>
        <v>19</v>
      </c>
      <c r="D104" s="5" t="s">
        <v>133</v>
      </c>
      <c r="E104" s="5" t="s">
        <v>13</v>
      </c>
      <c r="F104" s="5" t="s">
        <v>14</v>
      </c>
      <c r="G104" s="5" t="s">
        <v>20</v>
      </c>
      <c r="H104" s="6">
        <v>1638021.0</v>
      </c>
      <c r="I104" s="7">
        <v>9404.76</v>
      </c>
      <c r="J104" s="8">
        <f>Model!$B$2 + Model!$B$3*LOG10(H104) + Model!$B$4*LOG10(I104)</f>
        <v>1136.95293</v>
      </c>
      <c r="K104" s="9">
        <f>VLOOKUP(E104,Debuff!$A$2:$C$11,3,FALSE())</f>
        <v>0</v>
      </c>
      <c r="L104" s="10">
        <f t="shared" si="4"/>
        <v>1136.95293</v>
      </c>
    </row>
    <row r="105" ht="15.75" customHeight="1">
      <c r="A105" s="4">
        <f t="shared" si="1"/>
        <v>104</v>
      </c>
      <c r="B105" s="4">
        <f t="shared" si="2"/>
        <v>125</v>
      </c>
      <c r="C105" s="4">
        <f t="shared" si="3"/>
        <v>21</v>
      </c>
      <c r="D105" s="5" t="s">
        <v>134</v>
      </c>
      <c r="E105" s="5" t="s">
        <v>13</v>
      </c>
      <c r="F105" s="5" t="s">
        <v>14</v>
      </c>
      <c r="G105" s="5" t="s">
        <v>47</v>
      </c>
      <c r="H105" s="6">
        <v>4.5062542E7</v>
      </c>
      <c r="I105" s="7">
        <v>234.13</v>
      </c>
      <c r="J105" s="8">
        <f>Model!$B$2 + Model!$B$3*LOG10(H105) + Model!$B$4*LOG10(I105)</f>
        <v>1126.711605</v>
      </c>
      <c r="K105" s="9">
        <f>VLOOKUP(E105,Debuff!$A$2:$C$11,3,FALSE())</f>
        <v>0</v>
      </c>
      <c r="L105" s="10">
        <f t="shared" si="4"/>
        <v>1126.711605</v>
      </c>
    </row>
    <row r="106" ht="15.75" customHeight="1">
      <c r="A106" s="4">
        <f t="shared" si="1"/>
        <v>105</v>
      </c>
      <c r="B106" s="4">
        <f t="shared" si="2"/>
        <v>126</v>
      </c>
      <c r="C106" s="4">
        <f t="shared" si="3"/>
        <v>21</v>
      </c>
      <c r="D106" s="5" t="s">
        <v>135</v>
      </c>
      <c r="E106" s="5" t="s">
        <v>13</v>
      </c>
      <c r="F106" s="5" t="s">
        <v>14</v>
      </c>
      <c r="G106" s="5" t="s">
        <v>15</v>
      </c>
      <c r="H106" s="6">
        <v>833491.0</v>
      </c>
      <c r="I106" s="7">
        <v>16785.71</v>
      </c>
      <c r="J106" s="8">
        <f>Model!$B$2 + Model!$B$3*LOG10(H106) + Model!$B$4*LOG10(I106)</f>
        <v>1125.336466</v>
      </c>
      <c r="K106" s="9">
        <f>VLOOKUP(E106,Debuff!$A$2:$C$11,3,FALSE())</f>
        <v>0</v>
      </c>
      <c r="L106" s="10">
        <f t="shared" si="4"/>
        <v>1125.336466</v>
      </c>
    </row>
    <row r="107" ht="15.75" customHeight="1">
      <c r="A107" s="4">
        <f t="shared" si="1"/>
        <v>106</v>
      </c>
      <c r="B107" s="4">
        <f t="shared" si="2"/>
        <v>127</v>
      </c>
      <c r="C107" s="4">
        <f t="shared" si="3"/>
        <v>21</v>
      </c>
      <c r="D107" s="5" t="s">
        <v>136</v>
      </c>
      <c r="E107" s="5" t="s">
        <v>13</v>
      </c>
      <c r="F107" s="5" t="s">
        <v>14</v>
      </c>
      <c r="G107" s="5" t="s">
        <v>47</v>
      </c>
      <c r="H107" s="6">
        <v>1.3153004E7</v>
      </c>
      <c r="I107" s="7">
        <v>857.14</v>
      </c>
      <c r="J107" s="8">
        <f>Model!$B$2 + Model!$B$3*LOG10(H107) + Model!$B$4*LOG10(I107)</f>
        <v>1124.646179</v>
      </c>
      <c r="K107" s="9">
        <f>VLOOKUP(E107,Debuff!$A$2:$C$11,3,FALSE())</f>
        <v>0</v>
      </c>
      <c r="L107" s="10">
        <f t="shared" si="4"/>
        <v>1124.646179</v>
      </c>
    </row>
    <row r="108" ht="15.75" customHeight="1">
      <c r="A108" s="4">
        <f t="shared" si="1"/>
        <v>107</v>
      </c>
      <c r="B108" s="4">
        <f t="shared" si="2"/>
        <v>129</v>
      </c>
      <c r="C108" s="4">
        <f t="shared" si="3"/>
        <v>22</v>
      </c>
      <c r="D108" s="5" t="s">
        <v>137</v>
      </c>
      <c r="E108" s="5" t="s">
        <v>13</v>
      </c>
      <c r="F108" s="5" t="s">
        <v>14</v>
      </c>
      <c r="G108" s="5" t="s">
        <v>23</v>
      </c>
      <c r="H108" s="6">
        <v>945980.0</v>
      </c>
      <c r="I108" s="7">
        <v>11892.86</v>
      </c>
      <c r="J108" s="8">
        <f>Model!$B$2 + Model!$B$3*LOG10(H108) + Model!$B$4*LOG10(I108)</f>
        <v>1108.86605</v>
      </c>
      <c r="K108" s="9">
        <f>VLOOKUP(E108,Debuff!$A$2:$C$11,3,FALSE())</f>
        <v>0</v>
      </c>
      <c r="L108" s="10">
        <f t="shared" si="4"/>
        <v>1108.86605</v>
      </c>
    </row>
    <row r="109" ht="15.75" customHeight="1">
      <c r="A109" s="4">
        <f t="shared" si="1"/>
        <v>108</v>
      </c>
      <c r="B109" s="4">
        <f t="shared" si="2"/>
        <v>130</v>
      </c>
      <c r="C109" s="4">
        <f t="shared" si="3"/>
        <v>22</v>
      </c>
      <c r="D109" s="5" t="s">
        <v>138</v>
      </c>
      <c r="E109" s="5" t="s">
        <v>13</v>
      </c>
      <c r="F109" s="5" t="s">
        <v>14</v>
      </c>
      <c r="G109" s="5" t="s">
        <v>47</v>
      </c>
      <c r="H109" s="6">
        <v>2.7332521E7</v>
      </c>
      <c r="I109" s="7">
        <v>301.59</v>
      </c>
      <c r="J109" s="8">
        <f>Model!$B$2 + Model!$B$3*LOG10(H109) + Model!$B$4*LOG10(I109)</f>
        <v>1104.249677</v>
      </c>
      <c r="K109" s="9">
        <f>VLOOKUP(E109,Debuff!$A$2:$C$11,3,FALSE())</f>
        <v>0</v>
      </c>
      <c r="L109" s="10">
        <f t="shared" si="4"/>
        <v>1104.249677</v>
      </c>
    </row>
    <row r="110" ht="15.75" customHeight="1">
      <c r="A110" s="4">
        <f t="shared" si="1"/>
        <v>109</v>
      </c>
      <c r="B110" s="4">
        <f t="shared" si="2"/>
        <v>131</v>
      </c>
      <c r="C110" s="4">
        <f t="shared" si="3"/>
        <v>22</v>
      </c>
      <c r="D110" s="5" t="s">
        <v>139</v>
      </c>
      <c r="E110" s="5" t="s">
        <v>13</v>
      </c>
      <c r="F110" s="5" t="s">
        <v>14</v>
      </c>
      <c r="G110" s="5" t="s">
        <v>27</v>
      </c>
      <c r="H110" s="6">
        <v>9975075.0</v>
      </c>
      <c r="I110" s="7">
        <v>888.89</v>
      </c>
      <c r="J110" s="8">
        <f>Model!$B$2 + Model!$B$3*LOG10(H110) + Model!$B$4*LOG10(I110)</f>
        <v>1104.030509</v>
      </c>
      <c r="K110" s="9">
        <f>VLOOKUP(E110,Debuff!$A$2:$C$11,3,FALSE())</f>
        <v>0</v>
      </c>
      <c r="L110" s="10">
        <f t="shared" si="4"/>
        <v>1104.030509</v>
      </c>
    </row>
    <row r="111" ht="15.75" customHeight="1">
      <c r="A111" s="4">
        <f t="shared" si="1"/>
        <v>110</v>
      </c>
      <c r="B111" s="4">
        <f t="shared" si="2"/>
        <v>132</v>
      </c>
      <c r="C111" s="4">
        <f t="shared" si="3"/>
        <v>22</v>
      </c>
      <c r="D111" s="5" t="s">
        <v>140</v>
      </c>
      <c r="E111" s="5" t="s">
        <v>13</v>
      </c>
      <c r="F111" s="5" t="s">
        <v>14</v>
      </c>
      <c r="G111" s="5" t="s">
        <v>15</v>
      </c>
      <c r="H111" s="6">
        <v>1405387.0</v>
      </c>
      <c r="I111" s="7">
        <v>7261.9</v>
      </c>
      <c r="J111" s="8">
        <f>Model!$B$2 + Model!$B$3*LOG10(H111) + Model!$B$4*LOG10(I111)</f>
        <v>1103.515706</v>
      </c>
      <c r="K111" s="9">
        <f>VLOOKUP(E111,Debuff!$A$2:$C$11,3,FALSE())</f>
        <v>0</v>
      </c>
      <c r="L111" s="10">
        <f t="shared" si="4"/>
        <v>1103.515706</v>
      </c>
    </row>
    <row r="112" ht="15.75" customHeight="1">
      <c r="A112" s="4">
        <f t="shared" si="1"/>
        <v>111</v>
      </c>
      <c r="B112" s="4">
        <f t="shared" si="2"/>
        <v>133</v>
      </c>
      <c r="C112" s="4">
        <f t="shared" si="3"/>
        <v>22</v>
      </c>
      <c r="D112" s="5" t="s">
        <v>141</v>
      </c>
      <c r="E112" s="5" t="s">
        <v>13</v>
      </c>
      <c r="F112" s="5" t="s">
        <v>14</v>
      </c>
      <c r="G112" s="5" t="s">
        <v>37</v>
      </c>
      <c r="H112" s="6">
        <v>4070555.0</v>
      </c>
      <c r="I112" s="7">
        <v>2111.11</v>
      </c>
      <c r="J112" s="8">
        <f>Model!$B$2 + Model!$B$3*LOG10(H112) + Model!$B$4*LOG10(I112)</f>
        <v>1096.239477</v>
      </c>
      <c r="K112" s="9">
        <f>VLOOKUP(E112,Debuff!$A$2:$C$11,3,FALSE())</f>
        <v>0</v>
      </c>
      <c r="L112" s="10">
        <f t="shared" si="4"/>
        <v>1096.239477</v>
      </c>
    </row>
    <row r="113" ht="15.75" customHeight="1">
      <c r="A113" s="4">
        <f t="shared" si="1"/>
        <v>112</v>
      </c>
      <c r="B113" s="4">
        <f t="shared" si="2"/>
        <v>134</v>
      </c>
      <c r="C113" s="4">
        <f t="shared" si="3"/>
        <v>22</v>
      </c>
      <c r="D113" s="5" t="s">
        <v>142</v>
      </c>
      <c r="E113" s="5" t="s">
        <v>13</v>
      </c>
      <c r="F113" s="5" t="s">
        <v>14</v>
      </c>
      <c r="G113" s="5" t="s">
        <v>15</v>
      </c>
      <c r="H113" s="6">
        <v>2166683.0</v>
      </c>
      <c r="I113" s="7">
        <v>4007.94</v>
      </c>
      <c r="J113" s="8">
        <f>Model!$B$2 + Model!$B$3*LOG10(H113) + Model!$B$4*LOG10(I113)</f>
        <v>1093.326735</v>
      </c>
      <c r="K113" s="9">
        <f>VLOOKUP(E113,Debuff!$A$2:$C$11,3,FALSE())</f>
        <v>0</v>
      </c>
      <c r="L113" s="10">
        <f t="shared" si="4"/>
        <v>1093.326735</v>
      </c>
    </row>
    <row r="114" ht="15.75" customHeight="1">
      <c r="A114" s="4">
        <f t="shared" si="1"/>
        <v>113</v>
      </c>
      <c r="B114" s="4">
        <f t="shared" si="2"/>
        <v>135</v>
      </c>
      <c r="C114" s="4">
        <f t="shared" si="3"/>
        <v>22</v>
      </c>
      <c r="D114" s="5" t="s">
        <v>143</v>
      </c>
      <c r="E114" s="5" t="s">
        <v>13</v>
      </c>
      <c r="F114" s="5" t="s">
        <v>14</v>
      </c>
      <c r="G114" s="5" t="s">
        <v>47</v>
      </c>
      <c r="H114" s="6">
        <v>7437017.0</v>
      </c>
      <c r="I114" s="7">
        <v>1059.52</v>
      </c>
      <c r="J114" s="8">
        <f>Model!$B$2 + Model!$B$3*LOG10(H114) + Model!$B$4*LOG10(I114)</f>
        <v>1092.964872</v>
      </c>
      <c r="K114" s="9">
        <f>VLOOKUP(E114,Debuff!$A$2:$C$11,3,FALSE())</f>
        <v>0</v>
      </c>
      <c r="L114" s="10">
        <f t="shared" si="4"/>
        <v>1092.964872</v>
      </c>
    </row>
    <row r="115" ht="15.75" customHeight="1">
      <c r="A115" s="4">
        <f t="shared" si="1"/>
        <v>114</v>
      </c>
      <c r="B115" s="4">
        <f t="shared" si="2"/>
        <v>11</v>
      </c>
      <c r="C115" s="4">
        <f t="shared" si="3"/>
        <v>-103</v>
      </c>
      <c r="D115" s="5" t="s">
        <v>144</v>
      </c>
      <c r="E115" s="5" t="s">
        <v>112</v>
      </c>
      <c r="F115" s="5" t="s">
        <v>113</v>
      </c>
      <c r="G115" s="5" t="s">
        <v>27</v>
      </c>
      <c r="H115" s="6">
        <v>7.9558877E7</v>
      </c>
      <c r="I115" s="7">
        <v>12579.37</v>
      </c>
      <c r="J115" s="8">
        <f>Model!$B$2 + Model!$B$3*LOG10(H115) + Model!$B$4*LOG10(I115)</f>
        <v>1489.724765</v>
      </c>
      <c r="K115" s="9">
        <f>VLOOKUP(E115,Debuff!$A$2:$C$11,3,FALSE())</f>
        <v>400</v>
      </c>
      <c r="L115" s="10">
        <f t="shared" si="4"/>
        <v>1089.724765</v>
      </c>
    </row>
    <row r="116" ht="15.75" customHeight="1">
      <c r="A116" s="4">
        <f t="shared" si="1"/>
        <v>115</v>
      </c>
      <c r="B116" s="4">
        <f t="shared" si="2"/>
        <v>137</v>
      </c>
      <c r="C116" s="4">
        <f t="shared" si="3"/>
        <v>22</v>
      </c>
      <c r="D116" s="5" t="s">
        <v>145</v>
      </c>
      <c r="E116" s="5" t="s">
        <v>13</v>
      </c>
      <c r="F116" s="5" t="s">
        <v>14</v>
      </c>
      <c r="G116" s="5" t="s">
        <v>23</v>
      </c>
      <c r="H116" s="6">
        <v>447879.0</v>
      </c>
      <c r="I116" s="7">
        <v>18492.06</v>
      </c>
      <c r="J116" s="8">
        <f>Model!$B$2 + Model!$B$3*LOG10(H116) + Model!$B$4*LOG10(I116)</f>
        <v>1080.232993</v>
      </c>
      <c r="K116" s="9">
        <f>VLOOKUP(E116,Debuff!$A$2:$C$11,3,FALSE())</f>
        <v>0</v>
      </c>
      <c r="L116" s="10">
        <f t="shared" si="4"/>
        <v>1080.232993</v>
      </c>
    </row>
    <row r="117" ht="15.75" customHeight="1">
      <c r="A117" s="4">
        <f t="shared" si="1"/>
        <v>116</v>
      </c>
      <c r="B117" s="4">
        <f t="shared" si="2"/>
        <v>138</v>
      </c>
      <c r="C117" s="4">
        <f t="shared" si="3"/>
        <v>22</v>
      </c>
      <c r="D117" s="5" t="s">
        <v>146</v>
      </c>
      <c r="E117" s="5" t="s">
        <v>13</v>
      </c>
      <c r="F117" s="5" t="s">
        <v>14</v>
      </c>
      <c r="G117" s="5" t="s">
        <v>47</v>
      </c>
      <c r="H117" s="6">
        <v>9388939.0</v>
      </c>
      <c r="I117" s="7">
        <v>666.67</v>
      </c>
      <c r="J117" s="8">
        <f>Model!$B$2 + Model!$B$3*LOG10(H117) + Model!$B$4*LOG10(I117)</f>
        <v>1076.160453</v>
      </c>
      <c r="K117" s="9">
        <f>VLOOKUP(E117,Debuff!$A$2:$C$11,3,FALSE())</f>
        <v>0</v>
      </c>
      <c r="L117" s="10">
        <f t="shared" si="4"/>
        <v>1076.160453</v>
      </c>
    </row>
    <row r="118" ht="15.75" customHeight="1">
      <c r="A118" s="4">
        <f t="shared" si="1"/>
        <v>117</v>
      </c>
      <c r="B118" s="4">
        <f t="shared" si="2"/>
        <v>17</v>
      </c>
      <c r="C118" s="4">
        <f t="shared" si="3"/>
        <v>-100</v>
      </c>
      <c r="D118" s="5" t="s">
        <v>147</v>
      </c>
      <c r="E118" s="5" t="s">
        <v>112</v>
      </c>
      <c r="F118" s="5" t="s">
        <v>113</v>
      </c>
      <c r="G118" s="5" t="s">
        <v>20</v>
      </c>
      <c r="H118" s="6">
        <v>6.2265521E7</v>
      </c>
      <c r="I118" s="7">
        <v>12738.1</v>
      </c>
      <c r="J118" s="8">
        <f>Model!$B$2 + Model!$B$3*LOG10(H118) + Model!$B$4*LOG10(I118)</f>
        <v>1469.899221</v>
      </c>
      <c r="K118" s="9">
        <f>VLOOKUP(E118,Debuff!$A$2:$C$11,3,FALSE())</f>
        <v>400</v>
      </c>
      <c r="L118" s="10">
        <f t="shared" si="4"/>
        <v>1069.899221</v>
      </c>
    </row>
    <row r="119" ht="15.75" customHeight="1">
      <c r="A119" s="4">
        <f t="shared" si="1"/>
        <v>118</v>
      </c>
      <c r="B119" s="4">
        <f t="shared" si="2"/>
        <v>140</v>
      </c>
      <c r="C119" s="4">
        <f t="shared" si="3"/>
        <v>22</v>
      </c>
      <c r="D119" s="5" t="s">
        <v>148</v>
      </c>
      <c r="E119" s="5" t="s">
        <v>13</v>
      </c>
      <c r="F119" s="5" t="s">
        <v>14</v>
      </c>
      <c r="G119" s="5" t="s">
        <v>23</v>
      </c>
      <c r="H119" s="6">
        <v>376609.0</v>
      </c>
      <c r="I119" s="7">
        <v>18968.25</v>
      </c>
      <c r="J119" s="8">
        <f>Model!$B$2 + Model!$B$3*LOG10(H119) + Model!$B$4*LOG10(I119)</f>
        <v>1067.521395</v>
      </c>
      <c r="K119" s="9">
        <f>VLOOKUP(E119,Debuff!$A$2:$C$11,3,FALSE())</f>
        <v>0</v>
      </c>
      <c r="L119" s="10">
        <f t="shared" si="4"/>
        <v>1067.521395</v>
      </c>
    </row>
    <row r="120" ht="15.75" customHeight="1">
      <c r="A120" s="4">
        <f t="shared" si="1"/>
        <v>119</v>
      </c>
      <c r="B120" s="4">
        <f t="shared" si="2"/>
        <v>141</v>
      </c>
      <c r="C120" s="4">
        <f t="shared" si="3"/>
        <v>22</v>
      </c>
      <c r="D120" s="5" t="s">
        <v>149</v>
      </c>
      <c r="E120" s="5" t="s">
        <v>13</v>
      </c>
      <c r="F120" s="5" t="s">
        <v>14</v>
      </c>
      <c r="G120" s="5" t="s">
        <v>37</v>
      </c>
      <c r="H120" s="6">
        <v>759043.0</v>
      </c>
      <c r="I120" s="7">
        <v>8492.06</v>
      </c>
      <c r="J120" s="8">
        <f>Model!$B$2 + Model!$B$3*LOG10(H120) + Model!$B$4*LOG10(I120)</f>
        <v>1063.559048</v>
      </c>
      <c r="K120" s="9">
        <f>VLOOKUP(E120,Debuff!$A$2:$C$11,3,FALSE())</f>
        <v>0</v>
      </c>
      <c r="L120" s="10">
        <f t="shared" si="4"/>
        <v>1063.559048</v>
      </c>
    </row>
    <row r="121" ht="15.75" customHeight="1">
      <c r="A121" s="4">
        <f t="shared" si="1"/>
        <v>120</v>
      </c>
      <c r="B121" s="4">
        <f t="shared" si="2"/>
        <v>142</v>
      </c>
      <c r="C121" s="4">
        <f t="shared" si="3"/>
        <v>22</v>
      </c>
      <c r="D121" s="5" t="s">
        <v>150</v>
      </c>
      <c r="E121" s="5" t="s">
        <v>13</v>
      </c>
      <c r="F121" s="5" t="s">
        <v>14</v>
      </c>
      <c r="G121" s="5" t="s">
        <v>37</v>
      </c>
      <c r="H121" s="6">
        <v>3307617.0</v>
      </c>
      <c r="I121" s="7">
        <v>1702.38</v>
      </c>
      <c r="J121" s="8">
        <f>Model!$B$2 + Model!$B$3*LOG10(H121) + Model!$B$4*LOG10(I121)</f>
        <v>1061.61167</v>
      </c>
      <c r="K121" s="9">
        <f>VLOOKUP(E121,Debuff!$A$2:$C$11,3,FALSE())</f>
        <v>0</v>
      </c>
      <c r="L121" s="10">
        <f t="shared" si="4"/>
        <v>1061.61167</v>
      </c>
    </row>
    <row r="122" ht="15.75" customHeight="1">
      <c r="A122" s="4">
        <f t="shared" si="1"/>
        <v>121</v>
      </c>
      <c r="B122" s="4">
        <f t="shared" si="2"/>
        <v>22</v>
      </c>
      <c r="C122" s="4">
        <f t="shared" si="3"/>
        <v>-99</v>
      </c>
      <c r="D122" s="5" t="s">
        <v>151</v>
      </c>
      <c r="E122" s="5" t="s">
        <v>112</v>
      </c>
      <c r="F122" s="5" t="s">
        <v>113</v>
      </c>
      <c r="G122" s="5" t="s">
        <v>27</v>
      </c>
      <c r="H122" s="6">
        <v>7.4436761E7</v>
      </c>
      <c r="I122" s="7">
        <v>8769.84</v>
      </c>
      <c r="J122" s="8">
        <f>Model!$B$2 + Model!$B$3*LOG10(H122) + Model!$B$4*LOG10(I122)</f>
        <v>1455.574056</v>
      </c>
      <c r="K122" s="9">
        <f>VLOOKUP(E122,Debuff!$A$2:$C$11,3,FALSE())</f>
        <v>400</v>
      </c>
      <c r="L122" s="10">
        <f t="shared" si="4"/>
        <v>1055.574056</v>
      </c>
    </row>
    <row r="123" ht="15.75" customHeight="1">
      <c r="A123" s="4">
        <f t="shared" si="1"/>
        <v>122</v>
      </c>
      <c r="B123" s="4">
        <f t="shared" si="2"/>
        <v>144</v>
      </c>
      <c r="C123" s="4">
        <f t="shared" si="3"/>
        <v>22</v>
      </c>
      <c r="D123" s="5" t="s">
        <v>152</v>
      </c>
      <c r="E123" s="5" t="s">
        <v>13</v>
      </c>
      <c r="F123" s="5" t="s">
        <v>14</v>
      </c>
      <c r="G123" s="5" t="s">
        <v>47</v>
      </c>
      <c r="H123" s="6">
        <v>2549416.0</v>
      </c>
      <c r="I123" s="7">
        <v>1904.76</v>
      </c>
      <c r="J123" s="8">
        <f>Model!$B$2 + Model!$B$3*LOG10(H123) + Model!$B$4*LOG10(I123)</f>
        <v>1048.372269</v>
      </c>
      <c r="K123" s="9">
        <f>VLOOKUP(E123,Debuff!$A$2:$C$11,3,FALSE())</f>
        <v>0</v>
      </c>
      <c r="L123" s="10">
        <f t="shared" si="4"/>
        <v>1048.372269</v>
      </c>
    </row>
    <row r="124" ht="15.75" customHeight="1">
      <c r="A124" s="4">
        <f t="shared" si="1"/>
        <v>123</v>
      </c>
      <c r="B124" s="4">
        <f t="shared" si="2"/>
        <v>145</v>
      </c>
      <c r="C124" s="4">
        <f t="shared" si="3"/>
        <v>22</v>
      </c>
      <c r="D124" s="5" t="s">
        <v>153</v>
      </c>
      <c r="E124" s="5" t="s">
        <v>13</v>
      </c>
      <c r="F124" s="5" t="s">
        <v>14</v>
      </c>
      <c r="G124" s="5" t="s">
        <v>37</v>
      </c>
      <c r="H124" s="6">
        <v>1.9674606E7</v>
      </c>
      <c r="I124" s="7">
        <v>195.24</v>
      </c>
      <c r="J124" s="8">
        <f>Model!$B$2 + Model!$B$3*LOG10(H124) + Model!$B$4*LOG10(I124)</f>
        <v>1041.975586</v>
      </c>
      <c r="K124" s="9">
        <f>VLOOKUP(E124,Debuff!$A$2:$C$11,3,FALSE())</f>
        <v>0</v>
      </c>
      <c r="L124" s="10">
        <f t="shared" si="4"/>
        <v>1041.975586</v>
      </c>
    </row>
    <row r="125" ht="15.75" customHeight="1">
      <c r="A125" s="4">
        <f t="shared" si="1"/>
        <v>124</v>
      </c>
      <c r="B125" s="4">
        <f t="shared" si="2"/>
        <v>146</v>
      </c>
      <c r="C125" s="4">
        <f t="shared" si="3"/>
        <v>22</v>
      </c>
      <c r="D125" s="5" t="s">
        <v>154</v>
      </c>
      <c r="E125" s="5" t="s">
        <v>13</v>
      </c>
      <c r="F125" s="5" t="s">
        <v>14</v>
      </c>
      <c r="G125" s="5" t="s">
        <v>17</v>
      </c>
      <c r="H125" s="6">
        <v>133065.0</v>
      </c>
      <c r="I125" s="7">
        <v>40873.02</v>
      </c>
      <c r="J125" s="8">
        <f>Model!$B$2 + Model!$B$3*LOG10(H125) + Model!$B$4*LOG10(I125)</f>
        <v>1039.808834</v>
      </c>
      <c r="K125" s="9">
        <f>VLOOKUP(E125,Debuff!$A$2:$C$11,3,FALSE())</f>
        <v>0</v>
      </c>
      <c r="L125" s="10">
        <f t="shared" si="4"/>
        <v>1039.808834</v>
      </c>
    </row>
    <row r="126" ht="15.75" customHeight="1">
      <c r="A126" s="4">
        <f t="shared" si="1"/>
        <v>125</v>
      </c>
      <c r="B126" s="4">
        <f t="shared" si="2"/>
        <v>147</v>
      </c>
      <c r="C126" s="4">
        <f t="shared" si="3"/>
        <v>22</v>
      </c>
      <c r="D126" s="5" t="s">
        <v>155</v>
      </c>
      <c r="E126" s="5" t="s">
        <v>13</v>
      </c>
      <c r="F126" s="5" t="s">
        <v>14</v>
      </c>
      <c r="G126" s="5" t="s">
        <v>27</v>
      </c>
      <c r="H126" s="6">
        <v>2236563.0</v>
      </c>
      <c r="I126" s="7">
        <v>1916.67</v>
      </c>
      <c r="J126" s="8">
        <f>Model!$B$2 + Model!$B$3*LOG10(H126) + Model!$B$4*LOG10(I126)</f>
        <v>1037.744949</v>
      </c>
      <c r="K126" s="9">
        <f>VLOOKUP(E126,Debuff!$A$2:$C$11,3,FALSE())</f>
        <v>0</v>
      </c>
      <c r="L126" s="10">
        <f t="shared" si="4"/>
        <v>1037.744949</v>
      </c>
    </row>
    <row r="127" ht="15.75" customHeight="1">
      <c r="A127" s="4">
        <f t="shared" si="1"/>
        <v>126</v>
      </c>
      <c r="B127" s="4">
        <f t="shared" si="2"/>
        <v>28</v>
      </c>
      <c r="C127" s="4">
        <f t="shared" si="3"/>
        <v>-98</v>
      </c>
      <c r="D127" s="5" t="s">
        <v>156</v>
      </c>
      <c r="E127" s="5" t="s">
        <v>112</v>
      </c>
      <c r="F127" s="5" t="s">
        <v>113</v>
      </c>
      <c r="G127" s="5" t="s">
        <v>20</v>
      </c>
      <c r="H127" s="6">
        <v>2.0712946E7</v>
      </c>
      <c r="I127" s="7">
        <v>23174.6</v>
      </c>
      <c r="J127" s="8">
        <f>Model!$B$2 + Model!$B$3*LOG10(H127) + Model!$B$4*LOG10(I127)</f>
        <v>1423.696577</v>
      </c>
      <c r="K127" s="9">
        <f>VLOOKUP(E127,Debuff!$A$2:$C$11,3,FALSE())</f>
        <v>400</v>
      </c>
      <c r="L127" s="10">
        <f t="shared" si="4"/>
        <v>1023.696577</v>
      </c>
    </row>
    <row r="128" ht="15.75" customHeight="1">
      <c r="A128" s="4">
        <f t="shared" si="1"/>
        <v>127</v>
      </c>
      <c r="B128" s="4">
        <f t="shared" si="2"/>
        <v>150</v>
      </c>
      <c r="C128" s="4">
        <f t="shared" si="3"/>
        <v>23</v>
      </c>
      <c r="D128" s="5" t="s">
        <v>157</v>
      </c>
      <c r="E128" s="5" t="s">
        <v>13</v>
      </c>
      <c r="F128" s="5" t="s">
        <v>14</v>
      </c>
      <c r="G128" s="5" t="s">
        <v>20</v>
      </c>
      <c r="H128" s="6">
        <v>7354910.0</v>
      </c>
      <c r="I128" s="7">
        <v>353.17</v>
      </c>
      <c r="J128" s="8">
        <f>Model!$B$2 + Model!$B$3*LOG10(H128) + Model!$B$4*LOG10(I128)</f>
        <v>1005.230198</v>
      </c>
      <c r="K128" s="9">
        <f>VLOOKUP(E128,Debuff!$A$2:$C$11,3,FALSE())</f>
        <v>0</v>
      </c>
      <c r="L128" s="10">
        <f t="shared" si="4"/>
        <v>1005.230198</v>
      </c>
    </row>
    <row r="129" ht="15.75" customHeight="1">
      <c r="A129" s="4">
        <f t="shared" si="1"/>
        <v>128</v>
      </c>
      <c r="B129" s="4">
        <f t="shared" si="2"/>
        <v>61</v>
      </c>
      <c r="C129" s="4">
        <f t="shared" si="3"/>
        <v>-67</v>
      </c>
      <c r="D129" s="5" t="s">
        <v>158</v>
      </c>
      <c r="E129" s="5" t="s">
        <v>159</v>
      </c>
      <c r="F129" s="5" t="s">
        <v>160</v>
      </c>
      <c r="G129" s="5" t="s">
        <v>161</v>
      </c>
      <c r="H129" s="6">
        <v>2.0605956E7</v>
      </c>
      <c r="I129" s="7">
        <v>4722.22</v>
      </c>
      <c r="J129" s="8">
        <f>Model!$B$2 + Model!$B$3*LOG10(H129) + Model!$B$4*LOG10(I129)</f>
        <v>1297.58433</v>
      </c>
      <c r="K129" s="9">
        <f>VLOOKUP(E129,Debuff!$A$2:$C$11,3,FALSE())</f>
        <v>300</v>
      </c>
      <c r="L129" s="10">
        <f t="shared" si="4"/>
        <v>997.5843305</v>
      </c>
    </row>
    <row r="130" ht="15.75" customHeight="1">
      <c r="A130" s="4">
        <f t="shared" si="1"/>
        <v>129</v>
      </c>
      <c r="B130" s="4">
        <f t="shared" si="2"/>
        <v>151</v>
      </c>
      <c r="C130" s="4">
        <f t="shared" si="3"/>
        <v>22</v>
      </c>
      <c r="D130" s="5" t="s">
        <v>162</v>
      </c>
      <c r="E130" s="5" t="s">
        <v>13</v>
      </c>
      <c r="F130" s="5" t="s">
        <v>14</v>
      </c>
      <c r="G130" s="5" t="s">
        <v>15</v>
      </c>
      <c r="H130" s="6">
        <v>635532.0</v>
      </c>
      <c r="I130" s="7">
        <v>4444.44</v>
      </c>
      <c r="J130" s="8">
        <f>Model!$B$2 + Model!$B$3*LOG10(H130) + Model!$B$4*LOG10(I130)</f>
        <v>997.3241795</v>
      </c>
      <c r="K130" s="9">
        <f>VLOOKUP(E130,Debuff!$A$2:$C$11,3,FALSE())</f>
        <v>0</v>
      </c>
      <c r="L130" s="10">
        <f t="shared" si="4"/>
        <v>997.3241795</v>
      </c>
    </row>
    <row r="131" ht="15.75" customHeight="1">
      <c r="A131" s="4">
        <f t="shared" si="1"/>
        <v>130</v>
      </c>
      <c r="B131" s="4">
        <f t="shared" si="2"/>
        <v>25</v>
      </c>
      <c r="C131" s="4">
        <f t="shared" si="3"/>
        <v>-105</v>
      </c>
      <c r="D131" s="5" t="s">
        <v>163</v>
      </c>
      <c r="E131" s="5" t="s">
        <v>164</v>
      </c>
      <c r="F131" s="5" t="s">
        <v>165</v>
      </c>
      <c r="G131" s="5" t="s">
        <v>20</v>
      </c>
      <c r="H131" s="6">
        <v>5.3302916E7</v>
      </c>
      <c r="I131" s="7">
        <v>10119.05</v>
      </c>
      <c r="J131" s="8">
        <f>Model!$B$2 + Model!$B$3*LOG10(H131) + Model!$B$4*LOG10(I131)</f>
        <v>1438.515046</v>
      </c>
      <c r="K131" s="9">
        <f>VLOOKUP(E131,Debuff!$A$2:$C$11,3,FALSE())</f>
        <v>450</v>
      </c>
      <c r="L131" s="10">
        <f t="shared" si="4"/>
        <v>988.5150463</v>
      </c>
    </row>
    <row r="132" ht="15.75" customHeight="1">
      <c r="A132" s="4">
        <f t="shared" si="1"/>
        <v>131</v>
      </c>
      <c r="B132" s="4">
        <f t="shared" si="2"/>
        <v>152</v>
      </c>
      <c r="C132" s="4">
        <f t="shared" si="3"/>
        <v>21</v>
      </c>
      <c r="D132" s="5" t="s">
        <v>166</v>
      </c>
      <c r="E132" s="5" t="s">
        <v>13</v>
      </c>
      <c r="F132" s="5" t="s">
        <v>14</v>
      </c>
      <c r="G132" s="5" t="s">
        <v>37</v>
      </c>
      <c r="H132" s="6">
        <v>6231859.0</v>
      </c>
      <c r="I132" s="7">
        <v>309.52</v>
      </c>
      <c r="J132" s="8">
        <f>Model!$B$2 + Model!$B$3*LOG10(H132) + Model!$B$4*LOG10(I132)</f>
        <v>980.7350789</v>
      </c>
      <c r="K132" s="9">
        <f>VLOOKUP(E132,Debuff!$A$2:$C$11,3,FALSE())</f>
        <v>0</v>
      </c>
      <c r="L132" s="10">
        <f t="shared" si="4"/>
        <v>980.7350789</v>
      </c>
    </row>
    <row r="133" ht="15.75" customHeight="1">
      <c r="A133" s="4">
        <f t="shared" si="1"/>
        <v>132</v>
      </c>
      <c r="B133" s="4">
        <f t="shared" si="2"/>
        <v>153</v>
      </c>
      <c r="C133" s="4">
        <f t="shared" si="3"/>
        <v>21</v>
      </c>
      <c r="D133" s="5" t="s">
        <v>167</v>
      </c>
      <c r="E133" s="5" t="s">
        <v>13</v>
      </c>
      <c r="F133" s="5" t="s">
        <v>14</v>
      </c>
      <c r="G133" s="5" t="s">
        <v>23</v>
      </c>
      <c r="H133" s="6">
        <v>189681.0</v>
      </c>
      <c r="I133" s="7">
        <v>10753.97</v>
      </c>
      <c r="J133" s="8">
        <f>Model!$B$2 + Model!$B$3*LOG10(H133) + Model!$B$4*LOG10(I133)</f>
        <v>964.4368313</v>
      </c>
      <c r="K133" s="9">
        <f>VLOOKUP(E133,Debuff!$A$2:$C$11,3,FALSE())</f>
        <v>0</v>
      </c>
      <c r="L133" s="10">
        <f t="shared" si="4"/>
        <v>964.4368313</v>
      </c>
    </row>
    <row r="134" ht="15.75" customHeight="1">
      <c r="A134" s="4">
        <f t="shared" si="1"/>
        <v>133</v>
      </c>
      <c r="B134" s="4">
        <f t="shared" si="2"/>
        <v>31</v>
      </c>
      <c r="C134" s="4">
        <f t="shared" si="3"/>
        <v>-102</v>
      </c>
      <c r="D134" s="5" t="s">
        <v>168</v>
      </c>
      <c r="E134" s="5" t="s">
        <v>164</v>
      </c>
      <c r="F134" s="5" t="s">
        <v>165</v>
      </c>
      <c r="G134" s="5" t="s">
        <v>20</v>
      </c>
      <c r="H134" s="6">
        <v>2.9182698E7</v>
      </c>
      <c r="I134" s="7">
        <v>14047.62</v>
      </c>
      <c r="J134" s="8">
        <f>Model!$B$2 + Model!$B$3*LOG10(H134) + Model!$B$4*LOG10(I134)</f>
        <v>1413.265017</v>
      </c>
      <c r="K134" s="9">
        <f>VLOOKUP(E134,Debuff!$A$2:$C$11,3,FALSE())</f>
        <v>450</v>
      </c>
      <c r="L134" s="10">
        <f t="shared" si="4"/>
        <v>963.2650168</v>
      </c>
    </row>
    <row r="135" ht="15.75" customHeight="1">
      <c r="A135" s="4">
        <f t="shared" si="1"/>
        <v>134</v>
      </c>
      <c r="B135" s="4">
        <f t="shared" si="2"/>
        <v>47</v>
      </c>
      <c r="C135" s="4">
        <f t="shared" si="3"/>
        <v>-87</v>
      </c>
      <c r="D135" s="5" t="s">
        <v>169</v>
      </c>
      <c r="E135" s="5" t="s">
        <v>112</v>
      </c>
      <c r="F135" s="5" t="s">
        <v>113</v>
      </c>
      <c r="G135" s="5" t="s">
        <v>27</v>
      </c>
      <c r="H135" s="6">
        <v>3.1644352E7</v>
      </c>
      <c r="I135" s="7">
        <v>6388.89</v>
      </c>
      <c r="J135" s="8">
        <f>Model!$B$2 + Model!$B$3*LOG10(H135) + Model!$B$4*LOG10(I135)</f>
        <v>1357.89922</v>
      </c>
      <c r="K135" s="9">
        <f>VLOOKUP(E135,Debuff!$A$2:$C$11,3,FALSE())</f>
        <v>400</v>
      </c>
      <c r="L135" s="10">
        <f t="shared" si="4"/>
        <v>957.8992203</v>
      </c>
    </row>
    <row r="136" ht="15.75" customHeight="1">
      <c r="A136" s="4">
        <f t="shared" si="1"/>
        <v>135</v>
      </c>
      <c r="B136" s="4">
        <f t="shared" si="2"/>
        <v>33</v>
      </c>
      <c r="C136" s="4">
        <f t="shared" si="3"/>
        <v>-102</v>
      </c>
      <c r="D136" s="5" t="s">
        <v>170</v>
      </c>
      <c r="E136" s="5" t="s">
        <v>171</v>
      </c>
      <c r="F136" s="5" t="s">
        <v>172</v>
      </c>
      <c r="G136" s="5" t="s">
        <v>37</v>
      </c>
      <c r="H136" s="6">
        <v>5.4705622E7</v>
      </c>
      <c r="I136" s="7">
        <v>6428.57</v>
      </c>
      <c r="J136" s="8">
        <f>Model!$B$2 + Model!$B$3*LOG10(H136) + Model!$B$4*LOG10(I136)</f>
        <v>1404.881199</v>
      </c>
      <c r="K136" s="9">
        <f>VLOOKUP(E136,Debuff!$A$2:$C$11,3,FALSE())</f>
        <v>450</v>
      </c>
      <c r="L136" s="10">
        <f t="shared" si="4"/>
        <v>954.8811986</v>
      </c>
    </row>
    <row r="137" ht="15.75" customHeight="1">
      <c r="A137" s="4">
        <f t="shared" si="1"/>
        <v>136</v>
      </c>
      <c r="B137" s="4">
        <f t="shared" si="2"/>
        <v>154</v>
      </c>
      <c r="C137" s="4">
        <f t="shared" si="3"/>
        <v>18</v>
      </c>
      <c r="D137" s="5" t="s">
        <v>173</v>
      </c>
      <c r="E137" s="5" t="s">
        <v>13</v>
      </c>
      <c r="F137" s="5" t="s">
        <v>14</v>
      </c>
      <c r="G137" s="5" t="s">
        <v>23</v>
      </c>
      <c r="H137" s="6">
        <v>828597.0</v>
      </c>
      <c r="I137" s="7">
        <v>1702.38</v>
      </c>
      <c r="J137" s="8">
        <f>Model!$B$2 + Model!$B$3*LOG10(H137) + Model!$B$4*LOG10(I137)</f>
        <v>944.043375</v>
      </c>
      <c r="K137" s="9">
        <f>VLOOKUP(E137,Debuff!$A$2:$C$11,3,FALSE())</f>
        <v>0</v>
      </c>
      <c r="L137" s="10">
        <f t="shared" si="4"/>
        <v>944.043375</v>
      </c>
    </row>
    <row r="138" ht="15.75" customHeight="1">
      <c r="A138" s="4">
        <f t="shared" si="1"/>
        <v>137</v>
      </c>
      <c r="B138" s="4">
        <f t="shared" si="2"/>
        <v>155</v>
      </c>
      <c r="C138" s="4">
        <f t="shared" si="3"/>
        <v>18</v>
      </c>
      <c r="D138" s="5" t="s">
        <v>174</v>
      </c>
      <c r="E138" s="5" t="s">
        <v>13</v>
      </c>
      <c r="F138" s="5" t="s">
        <v>14</v>
      </c>
      <c r="G138" s="5" t="s">
        <v>47</v>
      </c>
      <c r="H138" s="6">
        <v>233966.0</v>
      </c>
      <c r="I138" s="7">
        <v>6150.79</v>
      </c>
      <c r="J138" s="8">
        <f>Model!$B$2 + Model!$B$3*LOG10(H138) + Model!$B$4*LOG10(I138)</f>
        <v>938.1212801</v>
      </c>
      <c r="K138" s="9">
        <f>VLOOKUP(E138,Debuff!$A$2:$C$11,3,FALSE())</f>
        <v>0</v>
      </c>
      <c r="L138" s="10">
        <f t="shared" si="4"/>
        <v>938.1212801</v>
      </c>
    </row>
    <row r="139" ht="15.75" customHeight="1">
      <c r="A139" s="4">
        <f t="shared" si="1"/>
        <v>138</v>
      </c>
      <c r="B139" s="4">
        <f t="shared" si="2"/>
        <v>156</v>
      </c>
      <c r="C139" s="4">
        <f t="shared" si="3"/>
        <v>18</v>
      </c>
      <c r="D139" s="5" t="s">
        <v>175</v>
      </c>
      <c r="E139" s="5" t="s">
        <v>13</v>
      </c>
      <c r="F139" s="5" t="s">
        <v>14</v>
      </c>
      <c r="G139" s="5" t="s">
        <v>20</v>
      </c>
      <c r="H139" s="6">
        <v>2898502.0</v>
      </c>
      <c r="I139" s="7">
        <v>396.83</v>
      </c>
      <c r="J139" s="8">
        <f>Model!$B$2 + Model!$B$3*LOG10(H139) + Model!$B$4*LOG10(I139)</f>
        <v>935.3510836</v>
      </c>
      <c r="K139" s="9">
        <f>VLOOKUP(E139,Debuff!$A$2:$C$11,3,FALSE())</f>
        <v>0</v>
      </c>
      <c r="L139" s="10">
        <f t="shared" si="4"/>
        <v>935.3510836</v>
      </c>
    </row>
    <row r="140" ht="15.75" customHeight="1">
      <c r="A140" s="4">
        <f t="shared" si="1"/>
        <v>139</v>
      </c>
      <c r="B140" s="4">
        <f t="shared" si="2"/>
        <v>54</v>
      </c>
      <c r="C140" s="4">
        <f t="shared" si="3"/>
        <v>-85</v>
      </c>
      <c r="D140" s="5" t="s">
        <v>176</v>
      </c>
      <c r="E140" s="5" t="s">
        <v>112</v>
      </c>
      <c r="F140" s="5" t="s">
        <v>113</v>
      </c>
      <c r="G140" s="5" t="s">
        <v>27</v>
      </c>
      <c r="H140" s="6">
        <v>1.8288844E7</v>
      </c>
      <c r="I140" s="7">
        <v>7500.0</v>
      </c>
      <c r="J140" s="8">
        <f>Model!$B$2 + Model!$B$3*LOG10(H140) + Model!$B$4*LOG10(I140)</f>
        <v>1324.000352</v>
      </c>
      <c r="K140" s="9">
        <f>VLOOKUP(E140,Debuff!$A$2:$C$11,3,FALSE())</f>
        <v>400</v>
      </c>
      <c r="L140" s="10">
        <f t="shared" si="4"/>
        <v>924.0003516</v>
      </c>
    </row>
    <row r="141" ht="15.75" customHeight="1">
      <c r="A141" s="4">
        <f t="shared" si="1"/>
        <v>140</v>
      </c>
      <c r="B141" s="4">
        <f t="shared" si="2"/>
        <v>157</v>
      </c>
      <c r="C141" s="4">
        <f t="shared" si="3"/>
        <v>17</v>
      </c>
      <c r="D141" s="5" t="s">
        <v>177</v>
      </c>
      <c r="E141" s="5" t="s">
        <v>13</v>
      </c>
      <c r="F141" s="5" t="s">
        <v>14</v>
      </c>
      <c r="G141" s="5" t="s">
        <v>23</v>
      </c>
      <c r="H141" s="6">
        <v>495291.0</v>
      </c>
      <c r="I141" s="7">
        <v>2261.9</v>
      </c>
      <c r="J141" s="8">
        <f>Model!$B$2 + Model!$B$3*LOG10(H141) + Model!$B$4*LOG10(I141)</f>
        <v>922.7881168</v>
      </c>
      <c r="K141" s="9">
        <f>VLOOKUP(E141,Debuff!$A$2:$C$11,3,FALSE())</f>
        <v>0</v>
      </c>
      <c r="L141" s="10">
        <f t="shared" si="4"/>
        <v>922.7881168</v>
      </c>
    </row>
    <row r="142" ht="15.75" customHeight="1">
      <c r="A142" s="4">
        <f t="shared" si="1"/>
        <v>141</v>
      </c>
      <c r="B142" s="4">
        <f t="shared" si="2"/>
        <v>158</v>
      </c>
      <c r="C142" s="4">
        <f t="shared" si="3"/>
        <v>17</v>
      </c>
      <c r="D142" s="5" t="s">
        <v>178</v>
      </c>
      <c r="E142" s="5" t="s">
        <v>13</v>
      </c>
      <c r="F142" s="5" t="s">
        <v>14</v>
      </c>
      <c r="G142" s="5" t="s">
        <v>47</v>
      </c>
      <c r="H142" s="6">
        <v>5131190.0</v>
      </c>
      <c r="I142" s="7">
        <v>158.73</v>
      </c>
      <c r="J142" s="8">
        <f>Model!$B$2 + Model!$B$3*LOG10(H142) + Model!$B$4*LOG10(I142)</f>
        <v>911.4714428</v>
      </c>
      <c r="K142" s="9">
        <f>VLOOKUP(E142,Debuff!$A$2:$C$11,3,FALSE())</f>
        <v>0</v>
      </c>
      <c r="L142" s="10">
        <f t="shared" si="4"/>
        <v>911.4714428</v>
      </c>
    </row>
    <row r="143" ht="15.75" customHeight="1">
      <c r="A143" s="4">
        <f t="shared" si="1"/>
        <v>142</v>
      </c>
      <c r="B143" s="4">
        <f t="shared" si="2"/>
        <v>159</v>
      </c>
      <c r="C143" s="4">
        <f t="shared" si="3"/>
        <v>17</v>
      </c>
      <c r="D143" s="5" t="s">
        <v>179</v>
      </c>
      <c r="E143" s="5" t="s">
        <v>13</v>
      </c>
      <c r="F143" s="5" t="s">
        <v>14</v>
      </c>
      <c r="G143" s="5" t="s">
        <v>23</v>
      </c>
      <c r="H143" s="6">
        <v>324028.0</v>
      </c>
      <c r="I143" s="7">
        <v>2603.17</v>
      </c>
      <c r="J143" s="8">
        <f>Model!$B$2 + Model!$B$3*LOG10(H143) + Model!$B$4*LOG10(I143)</f>
        <v>897.8513137</v>
      </c>
      <c r="K143" s="9">
        <f>VLOOKUP(E143,Debuff!$A$2:$C$11,3,FALSE())</f>
        <v>0</v>
      </c>
      <c r="L143" s="10">
        <f t="shared" si="4"/>
        <v>897.8513137</v>
      </c>
    </row>
    <row r="144" ht="15.75" customHeight="1">
      <c r="A144" s="4">
        <f t="shared" si="1"/>
        <v>143</v>
      </c>
      <c r="B144" s="4">
        <f t="shared" si="2"/>
        <v>161</v>
      </c>
      <c r="C144" s="4">
        <f t="shared" si="3"/>
        <v>18</v>
      </c>
      <c r="D144" s="5" t="s">
        <v>180</v>
      </c>
      <c r="E144" s="5" t="s">
        <v>13</v>
      </c>
      <c r="F144" s="5" t="s">
        <v>14</v>
      </c>
      <c r="G144" s="5" t="s">
        <v>23</v>
      </c>
      <c r="H144" s="6">
        <v>239092.0</v>
      </c>
      <c r="I144" s="7">
        <v>3126.98</v>
      </c>
      <c r="J144" s="8">
        <f>Model!$B$2 + Model!$B$3*LOG10(H144) + Model!$B$4*LOG10(I144)</f>
        <v>886.5170778</v>
      </c>
      <c r="K144" s="9">
        <f>VLOOKUP(E144,Debuff!$A$2:$C$11,3,FALSE())</f>
        <v>0</v>
      </c>
      <c r="L144" s="10">
        <f t="shared" si="4"/>
        <v>886.5170778</v>
      </c>
    </row>
    <row r="145" ht="15.75" customHeight="1">
      <c r="A145" s="4">
        <f t="shared" si="1"/>
        <v>144</v>
      </c>
      <c r="B145" s="4">
        <f t="shared" si="2"/>
        <v>52</v>
      </c>
      <c r="C145" s="4">
        <f t="shared" si="3"/>
        <v>-92</v>
      </c>
      <c r="D145" s="5" t="s">
        <v>181</v>
      </c>
      <c r="E145" s="5" t="s">
        <v>164</v>
      </c>
      <c r="F145" s="5" t="s">
        <v>165</v>
      </c>
      <c r="G145" s="5" t="s">
        <v>20</v>
      </c>
      <c r="H145" s="6">
        <v>8002152.0</v>
      </c>
      <c r="I145" s="7">
        <v>20634.92</v>
      </c>
      <c r="J145" s="8">
        <f>Model!$B$2 + Model!$B$3*LOG10(H145) + Model!$B$4*LOG10(I145)</f>
        <v>1333.751527</v>
      </c>
      <c r="K145" s="9">
        <f>VLOOKUP(E145,Debuff!$A$2:$C$11,3,FALSE())</f>
        <v>450</v>
      </c>
      <c r="L145" s="10">
        <f t="shared" si="4"/>
        <v>883.751527</v>
      </c>
    </row>
    <row r="146" ht="15.75" customHeight="1">
      <c r="A146" s="4">
        <f t="shared" si="1"/>
        <v>145</v>
      </c>
      <c r="B146" s="4">
        <f t="shared" si="2"/>
        <v>102</v>
      </c>
      <c r="C146" s="4">
        <f t="shared" si="3"/>
        <v>-43</v>
      </c>
      <c r="D146" s="5" t="s">
        <v>182</v>
      </c>
      <c r="E146" s="5" t="s">
        <v>102</v>
      </c>
      <c r="F146" s="5" t="s">
        <v>103</v>
      </c>
      <c r="G146" s="5" t="s">
        <v>17</v>
      </c>
      <c r="H146" s="6">
        <v>5001934.0</v>
      </c>
      <c r="I146" s="7">
        <v>7301.59</v>
      </c>
      <c r="J146" s="8">
        <f>Model!$B$2 + Model!$B$3*LOG10(H146) + Model!$B$4*LOG10(I146)</f>
        <v>1211.769622</v>
      </c>
      <c r="K146" s="9">
        <f>VLOOKUP(E146,Debuff!$A$2:$C$11,3,FALSE())</f>
        <v>350</v>
      </c>
      <c r="L146" s="10">
        <f t="shared" si="4"/>
        <v>861.7696224</v>
      </c>
    </row>
    <row r="147" ht="15.75" customHeight="1">
      <c r="A147" s="4">
        <f t="shared" si="1"/>
        <v>146</v>
      </c>
      <c r="B147" s="4">
        <f t="shared" si="2"/>
        <v>162</v>
      </c>
      <c r="C147" s="4">
        <f t="shared" si="3"/>
        <v>16</v>
      </c>
      <c r="D147" s="5" t="s">
        <v>183</v>
      </c>
      <c r="E147" s="5" t="s">
        <v>13</v>
      </c>
      <c r="F147" s="5" t="s">
        <v>14</v>
      </c>
      <c r="G147" s="5" t="s">
        <v>37</v>
      </c>
      <c r="H147" s="6">
        <v>47933.0</v>
      </c>
      <c r="I147" s="7">
        <v>11269.84</v>
      </c>
      <c r="J147" s="8">
        <f>Model!$B$2 + Model!$B$3*LOG10(H147) + Model!$B$4*LOG10(I147)</f>
        <v>851.3098734</v>
      </c>
      <c r="K147" s="9">
        <f>VLOOKUP(E147,Debuff!$A$2:$C$11,3,FALSE())</f>
        <v>0</v>
      </c>
      <c r="L147" s="10">
        <f t="shared" si="4"/>
        <v>851.3098734</v>
      </c>
    </row>
    <row r="148" ht="15.75" customHeight="1">
      <c r="A148" s="4">
        <f t="shared" si="1"/>
        <v>147</v>
      </c>
      <c r="B148" s="4">
        <f t="shared" si="2"/>
        <v>163</v>
      </c>
      <c r="C148" s="4">
        <f t="shared" si="3"/>
        <v>16</v>
      </c>
      <c r="D148" s="5" t="s">
        <v>184</v>
      </c>
      <c r="E148" s="5" t="s">
        <v>13</v>
      </c>
      <c r="F148" s="5" t="s">
        <v>14</v>
      </c>
      <c r="G148" s="5" t="s">
        <v>37</v>
      </c>
      <c r="H148" s="6">
        <v>2950683.0</v>
      </c>
      <c r="I148" s="7">
        <v>127.38</v>
      </c>
      <c r="J148" s="8">
        <f>Model!$B$2 + Model!$B$3*LOG10(H148) + Model!$B$4*LOG10(I148)</f>
        <v>847.0955033</v>
      </c>
      <c r="K148" s="9">
        <f>VLOOKUP(E148,Debuff!$A$2:$C$11,3,FALSE())</f>
        <v>0</v>
      </c>
      <c r="L148" s="10">
        <f t="shared" si="4"/>
        <v>847.0955033</v>
      </c>
    </row>
    <row r="149" ht="15.75" customHeight="1">
      <c r="A149" s="4">
        <f t="shared" si="1"/>
        <v>148</v>
      </c>
      <c r="B149" s="4">
        <f t="shared" si="2"/>
        <v>62</v>
      </c>
      <c r="C149" s="4">
        <f t="shared" si="3"/>
        <v>-86</v>
      </c>
      <c r="D149" s="5" t="s">
        <v>185</v>
      </c>
      <c r="E149" s="5" t="s">
        <v>171</v>
      </c>
      <c r="F149" s="5" t="s">
        <v>172</v>
      </c>
      <c r="G149" s="5" t="s">
        <v>37</v>
      </c>
      <c r="H149" s="6">
        <v>2646840.0</v>
      </c>
      <c r="I149" s="7">
        <v>40476.19</v>
      </c>
      <c r="J149" s="8">
        <f>Model!$B$2 + Model!$B$3*LOG10(H149) + Model!$B$4*LOG10(I149)</f>
        <v>1293.011537</v>
      </c>
      <c r="K149" s="9">
        <f>VLOOKUP(E149,Debuff!$A$2:$C$11,3,FALSE())</f>
        <v>450</v>
      </c>
      <c r="L149" s="10">
        <f t="shared" si="4"/>
        <v>843.0115374</v>
      </c>
    </row>
    <row r="150" ht="15.75" customHeight="1">
      <c r="A150" s="4">
        <f t="shared" si="1"/>
        <v>149</v>
      </c>
      <c r="B150" s="4">
        <f t="shared" si="2"/>
        <v>164</v>
      </c>
      <c r="C150" s="4">
        <f t="shared" si="3"/>
        <v>15</v>
      </c>
      <c r="D150" s="5" t="s">
        <v>186</v>
      </c>
      <c r="E150" s="5" t="s">
        <v>13</v>
      </c>
      <c r="F150" s="5" t="s">
        <v>14</v>
      </c>
      <c r="G150" s="5" t="s">
        <v>23</v>
      </c>
      <c r="H150" s="6">
        <v>82798.0</v>
      </c>
      <c r="I150" s="7">
        <v>5039.68</v>
      </c>
      <c r="J150" s="8">
        <f>Model!$B$2 + Model!$B$3*LOG10(H150) + Model!$B$4*LOG10(I150)</f>
        <v>834.155467</v>
      </c>
      <c r="K150" s="9">
        <f>VLOOKUP(E150,Debuff!$A$2:$C$11,3,FALSE())</f>
        <v>0</v>
      </c>
      <c r="L150" s="10">
        <f t="shared" si="4"/>
        <v>834.155467</v>
      </c>
    </row>
    <row r="151" ht="15.75" customHeight="1">
      <c r="A151" s="4">
        <f t="shared" si="1"/>
        <v>150</v>
      </c>
      <c r="B151" s="4">
        <f t="shared" si="2"/>
        <v>124</v>
      </c>
      <c r="C151" s="4">
        <f t="shared" si="3"/>
        <v>-26</v>
      </c>
      <c r="D151" s="5" t="s">
        <v>187</v>
      </c>
      <c r="E151" s="5" t="s">
        <v>159</v>
      </c>
      <c r="F151" s="5" t="s">
        <v>160</v>
      </c>
      <c r="G151" s="5" t="s">
        <v>17</v>
      </c>
      <c r="H151" s="6">
        <v>820937.0</v>
      </c>
      <c r="I151" s="7">
        <v>18253.97</v>
      </c>
      <c r="J151" s="8">
        <f>Model!$B$2 + Model!$B$3*LOG10(H151) + Model!$B$4*LOG10(I151)</f>
        <v>1130.672047</v>
      </c>
      <c r="K151" s="9">
        <f>VLOOKUP(E151,Debuff!$A$2:$C$11,3,FALSE())</f>
        <v>300</v>
      </c>
      <c r="L151" s="10">
        <f t="shared" si="4"/>
        <v>830.6720471</v>
      </c>
    </row>
    <row r="152" ht="15.75" customHeight="1">
      <c r="A152" s="4">
        <f t="shared" si="1"/>
        <v>151</v>
      </c>
      <c r="B152" s="4">
        <f t="shared" si="2"/>
        <v>93</v>
      </c>
      <c r="C152" s="4">
        <f t="shared" si="3"/>
        <v>-58</v>
      </c>
      <c r="D152" s="5" t="s">
        <v>188</v>
      </c>
      <c r="E152" s="5" t="s">
        <v>112</v>
      </c>
      <c r="F152" s="5" t="s">
        <v>113</v>
      </c>
      <c r="G152" s="5" t="s">
        <v>47</v>
      </c>
      <c r="H152" s="6">
        <v>7849450.0</v>
      </c>
      <c r="I152" s="7">
        <v>5555.56</v>
      </c>
      <c r="J152" s="8">
        <f>Model!$B$2 + Model!$B$3*LOG10(H152) + Model!$B$4*LOG10(I152)</f>
        <v>1228.451677</v>
      </c>
      <c r="K152" s="9">
        <f>VLOOKUP(E152,Debuff!$A$2:$C$11,3,FALSE())</f>
        <v>400</v>
      </c>
      <c r="L152" s="10">
        <f t="shared" si="4"/>
        <v>828.4516775</v>
      </c>
    </row>
    <row r="153" ht="15.75" customHeight="1">
      <c r="A153" s="4">
        <f t="shared" si="1"/>
        <v>152</v>
      </c>
      <c r="B153" s="4">
        <f t="shared" si="2"/>
        <v>76</v>
      </c>
      <c r="C153" s="4">
        <f t="shared" si="3"/>
        <v>-76</v>
      </c>
      <c r="D153" s="5" t="s">
        <v>189</v>
      </c>
      <c r="E153" s="5" t="s">
        <v>164</v>
      </c>
      <c r="F153" s="5" t="s">
        <v>165</v>
      </c>
      <c r="G153" s="5" t="s">
        <v>20</v>
      </c>
      <c r="H153" s="6">
        <v>3.3524353E7</v>
      </c>
      <c r="I153" s="7">
        <v>1654.76</v>
      </c>
      <c r="J153" s="8">
        <f>Model!$B$2 + Model!$B$3*LOG10(H153) + Model!$B$4*LOG10(I153)</f>
        <v>1256.078637</v>
      </c>
      <c r="K153" s="9">
        <f>VLOOKUP(E153,Debuff!$A$2:$C$11,3,FALSE())</f>
        <v>450</v>
      </c>
      <c r="L153" s="10">
        <f t="shared" si="4"/>
        <v>806.0786367</v>
      </c>
    </row>
    <row r="154" ht="15.75" customHeight="1">
      <c r="A154" s="4">
        <f t="shared" si="1"/>
        <v>153</v>
      </c>
      <c r="B154" s="4">
        <f t="shared" si="2"/>
        <v>85</v>
      </c>
      <c r="C154" s="4">
        <f t="shared" si="3"/>
        <v>-68</v>
      </c>
      <c r="D154" s="5" t="s">
        <v>190</v>
      </c>
      <c r="E154" s="5" t="s">
        <v>191</v>
      </c>
      <c r="F154" s="5" t="s">
        <v>192</v>
      </c>
      <c r="G154" s="5" t="s">
        <v>27</v>
      </c>
      <c r="H154" s="6">
        <v>8.8913943E7</v>
      </c>
      <c r="I154" s="7">
        <v>488.1</v>
      </c>
      <c r="J154" s="8">
        <f>Model!$B$2 + Model!$B$3*LOG10(H154) + Model!$B$4*LOG10(I154)</f>
        <v>1242.47079</v>
      </c>
      <c r="K154" s="9">
        <f>VLOOKUP(E154,Debuff!$A$2:$C$11,3,FALSE())</f>
        <v>450</v>
      </c>
      <c r="L154" s="10">
        <f t="shared" si="4"/>
        <v>792.4707902</v>
      </c>
    </row>
    <row r="155" ht="15.75" customHeight="1">
      <c r="A155" s="4">
        <f t="shared" si="1"/>
        <v>154</v>
      </c>
      <c r="B155" s="4">
        <f t="shared" si="2"/>
        <v>166</v>
      </c>
      <c r="C155" s="4">
        <f t="shared" si="3"/>
        <v>12</v>
      </c>
      <c r="D155" s="5" t="s">
        <v>193</v>
      </c>
      <c r="E155" s="5" t="s">
        <v>13</v>
      </c>
      <c r="F155" s="5" t="s">
        <v>14</v>
      </c>
      <c r="G155" s="5" t="s">
        <v>47</v>
      </c>
      <c r="H155" s="6">
        <v>51690.0</v>
      </c>
      <c r="I155" s="7">
        <v>4880.95</v>
      </c>
      <c r="J155" s="8">
        <f>Model!$B$2 + Model!$B$3*LOG10(H155) + Model!$B$4*LOG10(I155)</f>
        <v>791.6119896</v>
      </c>
      <c r="K155" s="9">
        <f>VLOOKUP(E155,Debuff!$A$2:$C$11,3,FALSE())</f>
        <v>0</v>
      </c>
      <c r="L155" s="10">
        <f t="shared" si="4"/>
        <v>791.6119896</v>
      </c>
    </row>
    <row r="156" ht="15.75" customHeight="1">
      <c r="A156" s="4">
        <f t="shared" si="1"/>
        <v>155</v>
      </c>
      <c r="B156" s="4">
        <f t="shared" si="2"/>
        <v>91</v>
      </c>
      <c r="C156" s="4">
        <f t="shared" si="3"/>
        <v>-64</v>
      </c>
      <c r="D156" s="5" t="s">
        <v>194</v>
      </c>
      <c r="E156" s="5" t="s">
        <v>171</v>
      </c>
      <c r="F156" s="5" t="s">
        <v>172</v>
      </c>
      <c r="G156" s="5" t="s">
        <v>37</v>
      </c>
      <c r="H156" s="6">
        <v>1640804.0</v>
      </c>
      <c r="I156" s="7">
        <v>30992.06</v>
      </c>
      <c r="J156" s="8">
        <f>Model!$B$2 + Model!$B$3*LOG10(H156) + Model!$B$4*LOG10(I156)</f>
        <v>1231.306515</v>
      </c>
      <c r="K156" s="9">
        <f>VLOOKUP(E156,Debuff!$A$2:$C$11,3,FALSE())</f>
        <v>450</v>
      </c>
      <c r="L156" s="10">
        <f t="shared" si="4"/>
        <v>781.3065145</v>
      </c>
    </row>
    <row r="157" ht="15.75" customHeight="1">
      <c r="A157" s="4">
        <f t="shared" si="1"/>
        <v>156</v>
      </c>
      <c r="B157" s="4">
        <f t="shared" si="2"/>
        <v>94</v>
      </c>
      <c r="C157" s="4">
        <f t="shared" si="3"/>
        <v>-62</v>
      </c>
      <c r="D157" s="5" t="s">
        <v>195</v>
      </c>
      <c r="E157" s="5" t="s">
        <v>164</v>
      </c>
      <c r="F157" s="5" t="s">
        <v>165</v>
      </c>
      <c r="G157" s="5" t="s">
        <v>20</v>
      </c>
      <c r="H157" s="6">
        <v>2048851.0</v>
      </c>
      <c r="I157" s="7">
        <v>23452.38</v>
      </c>
      <c r="J157" s="8">
        <f>Model!$B$2 + Model!$B$3*LOG10(H157) + Model!$B$4*LOG10(I157)</f>
        <v>1228.147363</v>
      </c>
      <c r="K157" s="9">
        <f>VLOOKUP(E157,Debuff!$A$2:$C$11,3,FALSE())</f>
        <v>450</v>
      </c>
      <c r="L157" s="10">
        <f t="shared" si="4"/>
        <v>778.1473632</v>
      </c>
    </row>
    <row r="158" ht="15.75" customHeight="1">
      <c r="A158" s="4">
        <f t="shared" si="1"/>
        <v>157</v>
      </c>
      <c r="B158" s="4">
        <f t="shared" si="2"/>
        <v>128</v>
      </c>
      <c r="C158" s="4">
        <f t="shared" si="3"/>
        <v>-29</v>
      </c>
      <c r="D158" s="5" t="s">
        <v>196</v>
      </c>
      <c r="E158" s="5" t="s">
        <v>81</v>
      </c>
      <c r="F158" s="5" t="s">
        <v>82</v>
      </c>
      <c r="G158" s="5" t="s">
        <v>47</v>
      </c>
      <c r="H158" s="6">
        <v>2.299372E7</v>
      </c>
      <c r="I158" s="7">
        <v>436.51</v>
      </c>
      <c r="J158" s="8">
        <f>Model!$B$2 + Model!$B$3*LOG10(H158) + Model!$B$4*LOG10(I158)</f>
        <v>1118.778412</v>
      </c>
      <c r="K158" s="9">
        <f>VLOOKUP(E158,Debuff!$A$2:$C$11,3,FALSE())</f>
        <v>350</v>
      </c>
      <c r="L158" s="10">
        <f t="shared" si="4"/>
        <v>768.7784115</v>
      </c>
    </row>
    <row r="159" ht="15.75" customHeight="1">
      <c r="A159" s="4">
        <f t="shared" si="1"/>
        <v>158</v>
      </c>
      <c r="B159" s="4">
        <f t="shared" si="2"/>
        <v>168</v>
      </c>
      <c r="C159" s="4">
        <f t="shared" si="3"/>
        <v>10</v>
      </c>
      <c r="D159" s="5" t="s">
        <v>197</v>
      </c>
      <c r="E159" s="5" t="s">
        <v>13</v>
      </c>
      <c r="F159" s="5" t="s">
        <v>14</v>
      </c>
      <c r="G159" s="5" t="s">
        <v>23</v>
      </c>
      <c r="H159" s="6">
        <v>37482.0</v>
      </c>
      <c r="I159" s="7">
        <v>4404.76</v>
      </c>
      <c r="J159" s="8">
        <f>Model!$B$2 + Model!$B$3*LOG10(H159) + Model!$B$4*LOG10(I159)</f>
        <v>756.2045254</v>
      </c>
      <c r="K159" s="9">
        <f>VLOOKUP(E159,Debuff!$A$2:$C$11,3,FALSE())</f>
        <v>0</v>
      </c>
      <c r="L159" s="10">
        <f t="shared" si="4"/>
        <v>756.2045254</v>
      </c>
    </row>
    <row r="160" ht="15.75" customHeight="1">
      <c r="A160" s="4">
        <f t="shared" si="1"/>
        <v>159</v>
      </c>
      <c r="B160" s="4">
        <f t="shared" si="2"/>
        <v>143</v>
      </c>
      <c r="C160" s="4">
        <f t="shared" si="3"/>
        <v>-16</v>
      </c>
      <c r="D160" s="5" t="s">
        <v>198</v>
      </c>
      <c r="E160" s="5" t="s">
        <v>159</v>
      </c>
      <c r="F160" s="5" t="s">
        <v>160</v>
      </c>
      <c r="G160" s="5" t="s">
        <v>17</v>
      </c>
      <c r="H160" s="6">
        <v>2020940.0</v>
      </c>
      <c r="I160" s="7">
        <v>2698.41</v>
      </c>
      <c r="J160" s="8">
        <f>Model!$B$2 + Model!$B$3*LOG10(H160) + Model!$B$4*LOG10(I160)</f>
        <v>1056.158664</v>
      </c>
      <c r="K160" s="9">
        <f>VLOOKUP(E160,Debuff!$A$2:$C$11,3,FALSE())</f>
        <v>300</v>
      </c>
      <c r="L160" s="10">
        <f t="shared" si="4"/>
        <v>756.1586637</v>
      </c>
    </row>
    <row r="161" ht="15.75" customHeight="1">
      <c r="A161" s="4">
        <f t="shared" si="1"/>
        <v>160</v>
      </c>
      <c r="B161" s="4">
        <f t="shared" si="2"/>
        <v>105</v>
      </c>
      <c r="C161" s="4">
        <f t="shared" si="3"/>
        <v>-55</v>
      </c>
      <c r="D161" s="5" t="s">
        <v>199</v>
      </c>
      <c r="E161" s="5" t="s">
        <v>171</v>
      </c>
      <c r="F161" s="5" t="s">
        <v>172</v>
      </c>
      <c r="G161" s="5" t="s">
        <v>37</v>
      </c>
      <c r="H161" s="6">
        <v>4348275.0</v>
      </c>
      <c r="I161" s="7">
        <v>7341.27</v>
      </c>
      <c r="J161" s="8">
        <f>Model!$B$2 + Model!$B$3*LOG10(H161) + Model!$B$4*LOG10(I161)</f>
        <v>1200.303321</v>
      </c>
      <c r="K161" s="9">
        <f>VLOOKUP(E161,Debuff!$A$2:$C$11,3,FALSE())</f>
        <v>450</v>
      </c>
      <c r="L161" s="10">
        <f t="shared" si="4"/>
        <v>750.3033213</v>
      </c>
    </row>
    <row r="162" ht="15.75" customHeight="1">
      <c r="A162" s="4">
        <f t="shared" si="1"/>
        <v>161</v>
      </c>
      <c r="B162" s="4">
        <f t="shared" si="2"/>
        <v>169</v>
      </c>
      <c r="C162" s="4">
        <f t="shared" si="3"/>
        <v>8</v>
      </c>
      <c r="D162" s="5" t="s">
        <v>200</v>
      </c>
      <c r="E162" s="5" t="s">
        <v>13</v>
      </c>
      <c r="F162" s="5" t="s">
        <v>14</v>
      </c>
      <c r="G162" s="5" t="s">
        <v>20</v>
      </c>
      <c r="H162" s="6">
        <v>76045.0</v>
      </c>
      <c r="I162" s="7">
        <v>1623.02</v>
      </c>
      <c r="J162" s="8">
        <f>Model!$B$2 + Model!$B$3*LOG10(H162) + Model!$B$4*LOG10(I162)</f>
        <v>737.4175507</v>
      </c>
      <c r="K162" s="9">
        <f>VLOOKUP(E162,Debuff!$A$2:$C$11,3,FALSE())</f>
        <v>0</v>
      </c>
      <c r="L162" s="10">
        <f t="shared" si="4"/>
        <v>737.4175507</v>
      </c>
    </row>
    <row r="163" ht="15.75" customHeight="1">
      <c r="A163" s="4">
        <f t="shared" si="1"/>
        <v>162</v>
      </c>
      <c r="B163" s="4">
        <f t="shared" si="2"/>
        <v>123</v>
      </c>
      <c r="C163" s="4">
        <f t="shared" si="3"/>
        <v>-39</v>
      </c>
      <c r="D163" s="5" t="s">
        <v>201</v>
      </c>
      <c r="E163" s="5" t="s">
        <v>112</v>
      </c>
      <c r="F163" s="5" t="s">
        <v>113</v>
      </c>
      <c r="G163" s="5" t="s">
        <v>27</v>
      </c>
      <c r="H163" s="6">
        <v>9106539.0</v>
      </c>
      <c r="I163" s="7">
        <v>1384.92</v>
      </c>
      <c r="J163" s="8">
        <f>Model!$B$2 + Model!$B$3*LOG10(H163) + Model!$B$4*LOG10(I163)</f>
        <v>1131.324173</v>
      </c>
      <c r="K163" s="9">
        <f>VLOOKUP(E163,Debuff!$A$2:$C$11,3,FALSE())</f>
        <v>400</v>
      </c>
      <c r="L163" s="10">
        <f t="shared" si="4"/>
        <v>731.3241727</v>
      </c>
    </row>
    <row r="164" ht="15.75" customHeight="1">
      <c r="A164" s="4">
        <f t="shared" si="1"/>
        <v>163</v>
      </c>
      <c r="B164" s="4">
        <f t="shared" si="2"/>
        <v>139</v>
      </c>
      <c r="C164" s="4">
        <f t="shared" si="3"/>
        <v>-24</v>
      </c>
      <c r="D164" s="5" t="s">
        <v>202</v>
      </c>
      <c r="E164" s="5" t="s">
        <v>102</v>
      </c>
      <c r="F164" s="5" t="s">
        <v>103</v>
      </c>
      <c r="G164" s="5" t="s">
        <v>17</v>
      </c>
      <c r="H164" s="6">
        <v>3103322.0</v>
      </c>
      <c r="I164" s="7">
        <v>2182.54</v>
      </c>
      <c r="J164" s="8">
        <f>Model!$B$2 + Model!$B$3*LOG10(H164) + Model!$B$4*LOG10(I164)</f>
        <v>1075.825439</v>
      </c>
      <c r="K164" s="9">
        <f>VLOOKUP(E164,Debuff!$A$2:$C$11,3,FALSE())</f>
        <v>350</v>
      </c>
      <c r="L164" s="10">
        <f t="shared" si="4"/>
        <v>725.8254389</v>
      </c>
    </row>
    <row r="165" ht="15.75" customHeight="1">
      <c r="A165" s="4">
        <f t="shared" si="1"/>
        <v>164</v>
      </c>
      <c r="B165" s="4">
        <f t="shared" si="2"/>
        <v>149</v>
      </c>
      <c r="C165" s="4">
        <f t="shared" si="3"/>
        <v>-15</v>
      </c>
      <c r="D165" s="5" t="s">
        <v>203</v>
      </c>
      <c r="E165" s="5" t="s">
        <v>102</v>
      </c>
      <c r="F165" s="5" t="s">
        <v>103</v>
      </c>
      <c r="G165" s="5" t="s">
        <v>17</v>
      </c>
      <c r="H165" s="6">
        <v>1914198.0</v>
      </c>
      <c r="I165" s="7">
        <v>1785.71</v>
      </c>
      <c r="J165" s="8">
        <f>Model!$B$2 + Model!$B$3*LOG10(H165) + Model!$B$4*LOG10(I165)</f>
        <v>1018.934735</v>
      </c>
      <c r="K165" s="9">
        <f>VLOOKUP(E165,Debuff!$A$2:$C$11,3,FALSE())</f>
        <v>350</v>
      </c>
      <c r="L165" s="10">
        <f t="shared" si="4"/>
        <v>668.9347347</v>
      </c>
    </row>
    <row r="166" ht="15.75" customHeight="1">
      <c r="A166" s="4">
        <f t="shared" si="1"/>
        <v>165</v>
      </c>
      <c r="B166" s="4">
        <f t="shared" si="2"/>
        <v>170</v>
      </c>
      <c r="C166" s="4">
        <f t="shared" si="3"/>
        <v>5</v>
      </c>
      <c r="D166" s="5" t="s">
        <v>204</v>
      </c>
      <c r="E166" s="5" t="s">
        <v>13</v>
      </c>
      <c r="F166" s="5" t="s">
        <v>14</v>
      </c>
      <c r="G166" s="5" t="s">
        <v>23</v>
      </c>
      <c r="H166" s="6">
        <v>5165.0</v>
      </c>
      <c r="I166" s="7">
        <v>9325.4</v>
      </c>
      <c r="J166" s="8">
        <f>Model!$B$2 + Model!$B$3*LOG10(H166) + Model!$B$4*LOG10(I166)</f>
        <v>647.1261837</v>
      </c>
      <c r="K166" s="9">
        <f>VLOOKUP(E166,Debuff!$A$2:$C$11,3,FALSE())</f>
        <v>0</v>
      </c>
      <c r="L166" s="10">
        <f t="shared" si="4"/>
        <v>647.1261837</v>
      </c>
    </row>
    <row r="167" ht="15.75" customHeight="1">
      <c r="A167" s="4">
        <f t="shared" si="1"/>
        <v>166</v>
      </c>
      <c r="B167" s="4">
        <f t="shared" si="2"/>
        <v>136</v>
      </c>
      <c r="C167" s="4">
        <f t="shared" si="3"/>
        <v>-30</v>
      </c>
      <c r="D167" s="5" t="s">
        <v>205</v>
      </c>
      <c r="E167" s="5" t="s">
        <v>171</v>
      </c>
      <c r="F167" s="5" t="s">
        <v>172</v>
      </c>
      <c r="G167" s="5" t="s">
        <v>37</v>
      </c>
      <c r="H167" s="6">
        <v>345037.0</v>
      </c>
      <c r="I167" s="7">
        <v>24642.86</v>
      </c>
      <c r="J167" s="8">
        <f>Model!$B$2 + Model!$B$3*LOG10(H167) + Model!$B$4*LOG10(I167)</f>
        <v>1080.761113</v>
      </c>
      <c r="K167" s="9">
        <f>VLOOKUP(E167,Debuff!$A$2:$C$11,3,FALSE())</f>
        <v>450</v>
      </c>
      <c r="L167" s="10">
        <f t="shared" si="4"/>
        <v>630.7611135</v>
      </c>
    </row>
    <row r="168" ht="15.75" customHeight="1">
      <c r="A168" s="4">
        <f t="shared" si="1"/>
        <v>167</v>
      </c>
      <c r="B168" s="4">
        <f t="shared" si="2"/>
        <v>171</v>
      </c>
      <c r="C168" s="4">
        <f t="shared" si="3"/>
        <v>4</v>
      </c>
      <c r="D168" s="5" t="s">
        <v>206</v>
      </c>
      <c r="E168" s="5" t="s">
        <v>13</v>
      </c>
      <c r="F168" s="5" t="s">
        <v>14</v>
      </c>
      <c r="G168" s="5" t="s">
        <v>47</v>
      </c>
      <c r="H168" s="6">
        <v>10360.0</v>
      </c>
      <c r="I168" s="7">
        <v>3531.75</v>
      </c>
      <c r="J168" s="8">
        <f>Model!$B$2 + Model!$B$3*LOG10(H168) + Model!$B$4*LOG10(I168)</f>
        <v>629.537975</v>
      </c>
      <c r="K168" s="9">
        <f>VLOOKUP(E168,Debuff!$A$2:$C$11,3,FALSE())</f>
        <v>0</v>
      </c>
      <c r="L168" s="10">
        <f t="shared" si="4"/>
        <v>629.537975</v>
      </c>
    </row>
    <row r="169" ht="15.75" customHeight="1">
      <c r="A169" s="4">
        <f t="shared" si="1"/>
        <v>168</v>
      </c>
      <c r="B169" s="4">
        <f t="shared" si="2"/>
        <v>160</v>
      </c>
      <c r="C169" s="4">
        <f t="shared" si="3"/>
        <v>-8</v>
      </c>
      <c r="D169" s="5" t="s">
        <v>207</v>
      </c>
      <c r="E169" s="5" t="s">
        <v>159</v>
      </c>
      <c r="F169" s="5" t="s">
        <v>160</v>
      </c>
      <c r="G169" s="5" t="s">
        <v>17</v>
      </c>
      <c r="H169" s="6">
        <v>220218.0</v>
      </c>
      <c r="I169" s="7">
        <v>3452.38</v>
      </c>
      <c r="J169" s="8">
        <f>Model!$B$2 + Model!$B$3*LOG10(H169) + Model!$B$4*LOG10(I169)</f>
        <v>887.3537645</v>
      </c>
      <c r="K169" s="9">
        <f>VLOOKUP(E169,Debuff!$A$2:$C$11,3,FALSE())</f>
        <v>300</v>
      </c>
      <c r="L169" s="10">
        <f t="shared" si="4"/>
        <v>587.3537645</v>
      </c>
    </row>
    <row r="170" ht="15.75" customHeight="1">
      <c r="A170" s="4">
        <f t="shared" si="1"/>
        <v>169</v>
      </c>
      <c r="B170" s="4">
        <f t="shared" si="2"/>
        <v>148</v>
      </c>
      <c r="C170" s="4">
        <f t="shared" si="3"/>
        <v>-21</v>
      </c>
      <c r="D170" s="5" t="s">
        <v>208</v>
      </c>
      <c r="E170" s="5" t="s">
        <v>164</v>
      </c>
      <c r="F170" s="5" t="s">
        <v>165</v>
      </c>
      <c r="G170" s="5" t="s">
        <v>20</v>
      </c>
      <c r="H170" s="6">
        <v>1724423.0</v>
      </c>
      <c r="I170" s="7">
        <v>2444.44</v>
      </c>
      <c r="J170" s="8">
        <f>Model!$B$2 + Model!$B$3*LOG10(H170) + Model!$B$4*LOG10(I170)</f>
        <v>1034.873397</v>
      </c>
      <c r="K170" s="9">
        <f>VLOOKUP(E170,Debuff!$A$2:$C$11,3,FALSE())</f>
        <v>450</v>
      </c>
      <c r="L170" s="10">
        <f t="shared" si="4"/>
        <v>584.8733967</v>
      </c>
    </row>
    <row r="171" ht="15.75" customHeight="1">
      <c r="A171" s="4">
        <f t="shared" si="1"/>
        <v>170</v>
      </c>
      <c r="B171" s="4">
        <f t="shared" si="2"/>
        <v>172</v>
      </c>
      <c r="C171" s="4">
        <f t="shared" si="3"/>
        <v>2</v>
      </c>
      <c r="D171" s="5" t="s">
        <v>209</v>
      </c>
      <c r="E171" s="5" t="s">
        <v>13</v>
      </c>
      <c r="F171" s="5" t="s">
        <v>14</v>
      </c>
      <c r="G171" s="5" t="s">
        <v>27</v>
      </c>
      <c r="H171" s="6">
        <v>3984.0</v>
      </c>
      <c r="I171" s="7">
        <v>1888.89</v>
      </c>
      <c r="J171" s="8">
        <f>Model!$B$2 + Model!$B$3*LOG10(H171) + Model!$B$4*LOG10(I171)</f>
        <v>498.9316093</v>
      </c>
      <c r="K171" s="9">
        <f>VLOOKUP(E171,Debuff!$A$2:$C$11,3,FALSE())</f>
        <v>0</v>
      </c>
      <c r="L171" s="10">
        <f t="shared" si="4"/>
        <v>498.9316093</v>
      </c>
    </row>
    <row r="172" ht="15.75" customHeight="1">
      <c r="A172" s="4">
        <f t="shared" si="1"/>
        <v>171</v>
      </c>
      <c r="B172" s="4">
        <f t="shared" si="2"/>
        <v>167</v>
      </c>
      <c r="C172" s="4">
        <f t="shared" si="3"/>
        <v>-4</v>
      </c>
      <c r="D172" s="5" t="s">
        <v>210</v>
      </c>
      <c r="E172" s="5" t="s">
        <v>102</v>
      </c>
      <c r="F172" s="5" t="s">
        <v>103</v>
      </c>
      <c r="G172" s="5" t="s">
        <v>17</v>
      </c>
      <c r="H172" s="6">
        <v>143925.0</v>
      </c>
      <c r="I172" s="7">
        <v>1071.43</v>
      </c>
      <c r="J172" s="8">
        <f>Model!$B$2 + Model!$B$3*LOG10(H172) + Model!$B$4*LOG10(I172)</f>
        <v>758.7934285</v>
      </c>
      <c r="K172" s="9">
        <f>VLOOKUP(E172,Debuff!$A$2:$C$11,3,FALSE())</f>
        <v>350</v>
      </c>
      <c r="L172" s="10">
        <f t="shared" si="4"/>
        <v>408.7934285</v>
      </c>
    </row>
    <row r="173" ht="15.75" customHeight="1">
      <c r="A173" s="4">
        <f t="shared" si="1"/>
        <v>172</v>
      </c>
      <c r="B173" s="4">
        <f t="shared" si="2"/>
        <v>165</v>
      </c>
      <c r="C173" s="4">
        <f t="shared" si="3"/>
        <v>-7</v>
      </c>
      <c r="D173" s="5" t="s">
        <v>211</v>
      </c>
      <c r="E173" s="5" t="s">
        <v>164</v>
      </c>
      <c r="F173" s="5" t="s">
        <v>165</v>
      </c>
      <c r="G173" s="5" t="s">
        <v>20</v>
      </c>
      <c r="H173" s="6">
        <v>1441954.0</v>
      </c>
      <c r="I173" s="7">
        <v>154.76</v>
      </c>
      <c r="J173" s="8">
        <f>Model!$B$2 + Model!$B$3*LOG10(H173) + Model!$B$4*LOG10(I173)</f>
        <v>801.661847</v>
      </c>
      <c r="K173" s="9">
        <f>VLOOKUP(E173,Debuff!$A$2:$C$11,3,FALSE())</f>
        <v>450</v>
      </c>
      <c r="L173" s="10">
        <f t="shared" si="4"/>
        <v>351.661847</v>
      </c>
    </row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C2:C173">
    <cfRule type="colorScale" priority="1">
      <colorScale>
        <cfvo type="min" val="0"/>
        <cfvo type="formula" val="0"/>
        <cfvo type="max" val="0"/>
        <color rgb="FFF8696B"/>
        <color rgb="FFFFFFFF"/>
        <color rgb="FF63BE7B"/>
      </colorScale>
    </cfRule>
  </conditionalFormatting>
  <conditionalFormatting sqref="K2:K173">
    <cfRule type="colorScale" priority="2">
      <colorScale>
        <cfvo type="formula" val="0"/>
        <cfvo type="max" val="0"/>
        <color rgb="FFFFFFFF"/>
        <color rgb="FFF8696B"/>
      </colorScale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22.0"/>
    <col customWidth="1" min="3" max="3" width="16.0"/>
    <col customWidth="1" min="4" max="26" width="8.71"/>
  </cols>
  <sheetData>
    <row r="1">
      <c r="A1" s="11" t="s">
        <v>4</v>
      </c>
      <c r="B1" s="11" t="s">
        <v>5</v>
      </c>
      <c r="C1" s="11" t="s">
        <v>212</v>
      </c>
    </row>
    <row r="2">
      <c r="A2" s="5" t="s">
        <v>13</v>
      </c>
      <c r="B2" s="5" t="s">
        <v>14</v>
      </c>
      <c r="C2" s="12">
        <v>0.0</v>
      </c>
    </row>
    <row r="3">
      <c r="A3" s="5" t="s">
        <v>31</v>
      </c>
      <c r="B3" s="5" t="s">
        <v>32</v>
      </c>
      <c r="C3" s="12">
        <v>100.0</v>
      </c>
    </row>
    <row r="4">
      <c r="A4" s="5" t="s">
        <v>81</v>
      </c>
      <c r="B4" s="5" t="s">
        <v>82</v>
      </c>
      <c r="C4" s="12">
        <v>350.0</v>
      </c>
    </row>
    <row r="5">
      <c r="A5" s="5" t="s">
        <v>102</v>
      </c>
      <c r="B5" s="5" t="s">
        <v>103</v>
      </c>
      <c r="C5" s="12">
        <v>350.0</v>
      </c>
    </row>
    <row r="6">
      <c r="A6" s="5" t="s">
        <v>40</v>
      </c>
      <c r="B6" s="5" t="s">
        <v>41</v>
      </c>
      <c r="C6" s="12">
        <v>250.0</v>
      </c>
    </row>
    <row r="7">
      <c r="A7" s="5" t="s">
        <v>159</v>
      </c>
      <c r="B7" s="5" t="s">
        <v>160</v>
      </c>
      <c r="C7" s="12">
        <v>300.0</v>
      </c>
    </row>
    <row r="8">
      <c r="A8" s="5" t="s">
        <v>112</v>
      </c>
      <c r="B8" s="5" t="s">
        <v>113</v>
      </c>
      <c r="C8" s="12">
        <v>400.0</v>
      </c>
    </row>
    <row r="9">
      <c r="A9" s="5" t="s">
        <v>171</v>
      </c>
      <c r="B9" s="5" t="s">
        <v>172</v>
      </c>
      <c r="C9" s="12">
        <v>450.0</v>
      </c>
    </row>
    <row r="10">
      <c r="A10" s="5" t="s">
        <v>164</v>
      </c>
      <c r="B10" s="5" t="s">
        <v>165</v>
      </c>
      <c r="C10" s="12">
        <v>450.0</v>
      </c>
    </row>
    <row r="11">
      <c r="A11" s="5" t="s">
        <v>191</v>
      </c>
      <c r="B11" s="5" t="s">
        <v>192</v>
      </c>
      <c r="C11" s="12">
        <v>450.0</v>
      </c>
    </row>
    <row r="13">
      <c r="A13" s="13" t="s">
        <v>213</v>
      </c>
    </row>
    <row r="14">
      <c r="A14" s="14" t="s">
        <v>214</v>
      </c>
    </row>
    <row r="15">
      <c r="A15" s="14" t="s">
        <v>215</v>
      </c>
    </row>
    <row r="16">
      <c r="A16" s="14" t="s">
        <v>216</v>
      </c>
    </row>
    <row r="17">
      <c r="A17" s="14" t="s">
        <v>217</v>
      </c>
    </row>
    <row r="18">
      <c r="A18" s="14"/>
    </row>
    <row r="19">
      <c r="A19" s="14" t="s">
        <v>218</v>
      </c>
    </row>
    <row r="20">
      <c r="A20" s="14" t="s">
        <v>219</v>
      </c>
    </row>
    <row r="21" ht="15.75" customHeight="1">
      <c r="A21" s="14" t="s">
        <v>220</v>
      </c>
    </row>
    <row r="22" ht="15.75" customHeight="1">
      <c r="A22" s="14" t="s">
        <v>221</v>
      </c>
    </row>
    <row r="23" ht="15.75" customHeight="1">
      <c r="A23" s="14" t="s">
        <v>222</v>
      </c>
    </row>
    <row r="24" ht="15.75" customHeight="1">
      <c r="A24" s="14" t="s">
        <v>223</v>
      </c>
    </row>
    <row r="25" ht="15.75" customHeight="1">
      <c r="A25" s="14"/>
    </row>
    <row r="26" ht="15.75" customHeight="1">
      <c r="A26" s="14" t="s">
        <v>224</v>
      </c>
    </row>
    <row r="27" ht="15.75" customHeight="1">
      <c r="A27" s="14" t="s">
        <v>225</v>
      </c>
    </row>
    <row r="28" ht="15.75" customHeight="1">
      <c r="A28" s="14"/>
    </row>
    <row r="29" ht="15.75" customHeight="1">
      <c r="A29" s="14" t="s">
        <v>226</v>
      </c>
    </row>
    <row r="30" ht="15.75" customHeight="1">
      <c r="A30" s="14" t="s">
        <v>227</v>
      </c>
    </row>
    <row r="31" ht="15.75" customHeight="1">
      <c r="A31" s="14" t="s">
        <v>228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A14:D14"/>
    <mergeCell ref="A15:D15"/>
    <mergeCell ref="A16:D16"/>
    <mergeCell ref="A17:D17"/>
    <mergeCell ref="A18:D18"/>
    <mergeCell ref="A19:D19"/>
    <mergeCell ref="A20:D20"/>
    <mergeCell ref="A28:D28"/>
    <mergeCell ref="A29:D29"/>
    <mergeCell ref="A30:D30"/>
    <mergeCell ref="A31:D31"/>
    <mergeCell ref="A21:D21"/>
    <mergeCell ref="A22:D22"/>
    <mergeCell ref="A23:D23"/>
    <mergeCell ref="A24:D24"/>
    <mergeCell ref="A25:D25"/>
    <mergeCell ref="A26:D26"/>
    <mergeCell ref="A27:D27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0.0"/>
    <col customWidth="1" min="2" max="2" width="14.0"/>
    <col customWidth="1" min="3" max="26" width="8.71"/>
  </cols>
  <sheetData>
    <row r="1">
      <c r="A1" s="15" t="s">
        <v>229</v>
      </c>
    </row>
    <row r="2">
      <c r="A2" s="16" t="s">
        <v>230</v>
      </c>
      <c r="B2" s="17">
        <v>-801.1259</v>
      </c>
    </row>
    <row r="3">
      <c r="A3" s="16" t="s">
        <v>231</v>
      </c>
      <c r="B3" s="17">
        <v>195.5652</v>
      </c>
    </row>
    <row r="4">
      <c r="A4" s="16" t="s">
        <v>232</v>
      </c>
      <c r="B4" s="17">
        <v>181.9056</v>
      </c>
    </row>
    <row r="6">
      <c r="A6" s="16" t="s">
        <v>233</v>
      </c>
    </row>
    <row r="7">
      <c r="A7" s="18" t="s">
        <v>234</v>
      </c>
    </row>
    <row r="8">
      <c r="A8" s="19" t="s">
        <v>235</v>
      </c>
    </row>
    <row r="10">
      <c r="A10" s="20" t="s">
        <v>236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