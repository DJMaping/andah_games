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il" sheetId="1" r:id="rId5"/>
    <sheet state="visible" name="Gas" sheetId="2" r:id="rId6"/>
  </sheets>
  <definedNames/>
  <calcPr/>
</workbook>
</file>

<file path=xl/sharedStrings.xml><?xml version="1.0" encoding="utf-8"?>
<sst xmlns="http://schemas.openxmlformats.org/spreadsheetml/2006/main" count="178" uniqueCount="132">
  <si>
    <t>Country Name</t>
  </si>
  <si>
    <t>GTU (Global Trade Union)</t>
  </si>
  <si>
    <t>MPU (Mahea Petroleum Union)</t>
  </si>
  <si>
    <t>Nisasa</t>
  </si>
  <si>
    <t>Oil Production in Barrels</t>
  </si>
  <si>
    <t>Years of Production left</t>
  </si>
  <si>
    <t>Share of Reservers</t>
  </si>
  <si>
    <t>Share of Production</t>
  </si>
  <si>
    <t>Sunsokua (MPU)</t>
  </si>
  <si>
    <t xml:space="preserve">Verste </t>
  </si>
  <si>
    <t>Pelugrotoa  (MPU)</t>
  </si>
  <si>
    <t>Gaeiya</t>
  </si>
  <si>
    <t>Ahokini</t>
  </si>
  <si>
    <t>Desaki</t>
  </si>
  <si>
    <t>Vayvele  (MPU)</t>
  </si>
  <si>
    <t>Mestijan Hyaa</t>
  </si>
  <si>
    <t>Etreres</t>
  </si>
  <si>
    <t>Inania  (MPU)</t>
  </si>
  <si>
    <t>Selaja  (MPU)</t>
  </si>
  <si>
    <t>Ethirha</t>
  </si>
  <si>
    <t>Areoix Lie</t>
  </si>
  <si>
    <t>Iareva</t>
  </si>
  <si>
    <t>North Ayre</t>
  </si>
  <si>
    <t>Ashain  (MPU)</t>
  </si>
  <si>
    <t>Reerica</t>
  </si>
  <si>
    <t>Disal Nila</t>
  </si>
  <si>
    <t>Isnti  (MPU)</t>
  </si>
  <si>
    <t>Koruch</t>
  </si>
  <si>
    <t>Easuhura</t>
  </si>
  <si>
    <t>Nia</t>
  </si>
  <si>
    <t>Otiiric</t>
  </si>
  <si>
    <t>Ruylku</t>
  </si>
  <si>
    <t>Saa</t>
  </si>
  <si>
    <t>Praesyu</t>
  </si>
  <si>
    <t>Sadain (MPU)</t>
  </si>
  <si>
    <t>Guise</t>
  </si>
  <si>
    <t>Taval</t>
  </si>
  <si>
    <t>Inrea</t>
  </si>
  <si>
    <t>Rijan Bu</t>
  </si>
  <si>
    <t>United Mihili</t>
  </si>
  <si>
    <t>Emara</t>
  </si>
  <si>
    <t>Pruim Fijan</t>
  </si>
  <si>
    <t>Aplasia</t>
  </si>
  <si>
    <t>Genaire</t>
  </si>
  <si>
    <t>Finae</t>
  </si>
  <si>
    <t>Laselteh</t>
  </si>
  <si>
    <t>Lycroa</t>
  </si>
  <si>
    <t>Trian</t>
  </si>
  <si>
    <t>Dahe</t>
  </si>
  <si>
    <t>New Misos</t>
  </si>
  <si>
    <t>Ilicuhe</t>
  </si>
  <si>
    <t>Phuris</t>
  </si>
  <si>
    <t>Nheyea Si</t>
  </si>
  <si>
    <t>Fincen</t>
  </si>
  <si>
    <t>Peka</t>
  </si>
  <si>
    <t>Fire Coast</t>
  </si>
  <si>
    <t>Andsaudare</t>
  </si>
  <si>
    <t>Hkuqo</t>
  </si>
  <si>
    <t>Tvecoca</t>
  </si>
  <si>
    <t>Ztesh</t>
  </si>
  <si>
    <t>Ianoa</t>
  </si>
  <si>
    <t>Isari</t>
  </si>
  <si>
    <t>Grazail</t>
  </si>
  <si>
    <t>Estijan</t>
  </si>
  <si>
    <t>Seytinemas</t>
  </si>
  <si>
    <t>Quidic</t>
  </si>
  <si>
    <t>Jau</t>
  </si>
  <si>
    <t>Taing</t>
  </si>
  <si>
    <t>Pelines</t>
  </si>
  <si>
    <t>Heylen</t>
  </si>
  <si>
    <t>Maalle</t>
  </si>
  <si>
    <t>Veelmit</t>
  </si>
  <si>
    <t>Danocia</t>
  </si>
  <si>
    <t>Acrana</t>
  </si>
  <si>
    <t>Zenashan</t>
  </si>
  <si>
    <t>Umendel</t>
  </si>
  <si>
    <t>Vesozata</t>
  </si>
  <si>
    <t>Galca  (MPU)</t>
  </si>
  <si>
    <t>New Kizura</t>
  </si>
  <si>
    <t>MPU % Production</t>
  </si>
  <si>
    <t>Production</t>
  </si>
  <si>
    <t>Years of Production in reserve</t>
  </si>
  <si>
    <t xml:space="preserve">Source </t>
  </si>
  <si>
    <t>Sadain</t>
  </si>
  <si>
    <t>Etirha</t>
  </si>
  <si>
    <t>Pelugrotoa</t>
  </si>
  <si>
    <t>Verste</t>
  </si>
  <si>
    <t>GTU</t>
  </si>
  <si>
    <t>MPU</t>
  </si>
  <si>
    <t>Ashain</t>
  </si>
  <si>
    <t>Chaenia</t>
  </si>
  <si>
    <t>Curata</t>
  </si>
  <si>
    <t>Darewa</t>
  </si>
  <si>
    <t>Deschon</t>
  </si>
  <si>
    <t>Ealdorii</t>
  </si>
  <si>
    <t>Eldavpir</t>
  </si>
  <si>
    <t>Eparia</t>
  </si>
  <si>
    <t>Etretes</t>
  </si>
  <si>
    <t>Exilium</t>
  </si>
  <si>
    <t>Far Lands</t>
  </si>
  <si>
    <t>Galca</t>
  </si>
  <si>
    <t>Hyelen</t>
  </si>
  <si>
    <t>Ikzen</t>
  </si>
  <si>
    <t>Inania</t>
  </si>
  <si>
    <t>Isnti</t>
  </si>
  <si>
    <t>Lasri</t>
  </si>
  <si>
    <t>Lydroa</t>
  </si>
  <si>
    <t>Mendereide</t>
  </si>
  <si>
    <t>Merela Sta</t>
  </si>
  <si>
    <t>Mesjan Hyaa</t>
  </si>
  <si>
    <t>Ocaun</t>
  </si>
  <si>
    <t>Oscairia</t>
  </si>
  <si>
    <t>Raledria</t>
  </si>
  <si>
    <t>Sanagara</t>
  </si>
  <si>
    <t>Selaja</t>
  </si>
  <si>
    <t>Shinam</t>
  </si>
  <si>
    <t>Siana</t>
  </si>
  <si>
    <t>Slyiaduun</t>
  </si>
  <si>
    <t>Suenan</t>
  </si>
  <si>
    <t>Sunsokua</t>
  </si>
  <si>
    <t>Taniduna</t>
  </si>
  <si>
    <t>Ukhdari</t>
  </si>
  <si>
    <t>Urbiqu</t>
  </si>
  <si>
    <t>Uularin</t>
  </si>
  <si>
    <t>Vayvele</t>
  </si>
  <si>
    <t>Verusa</t>
  </si>
  <si>
    <t>Volver</t>
  </si>
  <si>
    <t>Walporein</t>
  </si>
  <si>
    <t>Welenu Fana</t>
  </si>
  <si>
    <t>Zhanshe</t>
  </si>
  <si>
    <t>World</t>
  </si>
  <si>
    <t>~50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</si>
</sst>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#"/>
    <numFmt numFmtId="165" formatCode="#,##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horizontal="right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3">
    <tableStyle count="5" pivot="0" name="Oil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Gas-style">
      <tableStyleElement dxfId="1" type="headerRow"/>
      <tableStyleElement dxfId="2" type="firstRowStripe"/>
      <tableStyleElement dxfId="3" type="secondRowStripe"/>
      <tableStyleElement dxfId="6" type="totalRow"/>
      <tableStyleElement dxfId="5" size="0" type="wholeTable"/>
    </tableStyle>
    <tableStyle count="2" pivot="0" name="Gas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H73" displayName="Proven_reserves_in_Millions_of_barrels" name="Proven_reserves_in_Millions_of_barrels" id="1">
  <tableColumns count="8">
    <tableColumn name="Country Name" id="1"/>
    <tableColumn totalsRowFunction="custom" name="GTU (Global Trade Union)" id="2"/>
    <tableColumn totalsRowFunction="custom" name="MPU (Mahea Petroleum Union)" id="3"/>
    <tableColumn totalsRowFunction="custom" name="Nisasa" id="4"/>
    <tableColumn totalsRowFunction="custom" name="Oil Production in Barrels" id="5"/>
    <tableColumn totalsRowFunction="custom" name="Years of Production left" id="6"/>
    <tableColumn totalsRowFunction="custom" name="Share of Reservers" id="7"/>
    <tableColumn totalsRowFunction="custom" name="Share of Production" id="8"/>
  </tableColumns>
  <tableStyleInfo name="Oil-style" showColumnStripes="0" showFirstColumn="1" showLastColumn="1" showRowStripes="1"/>
</table>
</file>

<file path=xl/tables/table2.xml><?xml version="1.0" encoding="utf-8"?>
<table xmlns="http://schemas.openxmlformats.org/spreadsheetml/2006/main" totalsRowCount="1" ref="A1:F82" displayName="Proven_reserves_in_Millions_of_barrels_2" name="Proven_reserves_in_Millions_of_barrels_2" id="2">
  <tableColumns count="6">
    <tableColumn totalsRowLabel="World" name="Country Name" id="1"/>
    <tableColumn totalsRowFunction="custom" name="GTU (Global Trade Union)" id="2"/>
    <tableColumn totalsRowFunction="custom" name="MPU (Mahea Petroleum Union)" id="3"/>
    <tableColumn totalsRowFunction="custom" name="Nisasa" id="4"/>
    <tableColumn totalsRowFunction="custom" name="Production" id="5"/>
    <tableColumn totalsRowLabel="~50" name="Years of Production in reserve" id="6"/>
  </tableColumns>
  <tableStyleInfo name="Gas-style" showColumnStripes="0" showFirstColumn="1" showLastColumn="1" showRowStripes="1"/>
</table>
</file>

<file path=xl/tables/table3.xml><?xml version="1.0" encoding="utf-8"?>
<table xmlns="http://schemas.openxmlformats.org/spreadsheetml/2006/main" headerRowCount="0" ref="J6:J11" displayName="Table_1" name="Table_1" id="3">
  <tableColumns count="1">
    <tableColumn name="Column1" id="1"/>
  </tableColumns>
  <tableStyleInfo name="G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0.0"/>
    <col customWidth="1" min="3" max="3" width="12.88"/>
    <col customWidth="1" min="4" max="4" width="9.5"/>
    <col customWidth="1" min="5" max="5" width="12.0"/>
    <col customWidth="1" min="6" max="6" width="11.13"/>
    <col customWidth="1" min="7" max="7" width="18.88"/>
    <col customWidth="1" min="8" max="8" width="2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>
        <v>326000.0</v>
      </c>
      <c r="C2" s="4">
        <v>322000.0</v>
      </c>
      <c r="D2" s="3">
        <v>326000.0</v>
      </c>
      <c r="E2" s="4">
        <v>1.2385E7</v>
      </c>
      <c r="F2" s="3">
        <f t="shared" ref="F2:F49" si="1">SUM((B2 * 1000000) / (E2 * 365))</f>
        <v>72.11551756</v>
      </c>
      <c r="G2" s="5">
        <f t="shared" ref="G2:G72" si="2">B2 / SUM(B:B)*2</f>
        <v>0.200919516</v>
      </c>
      <c r="H2" s="5">
        <f t="shared" ref="H2:H72" si="3">E2 / SUM(E:E)*2</f>
        <v>0.1447667041</v>
      </c>
    </row>
    <row r="3" ht="22.5" customHeight="1">
      <c r="A3" s="2" t="s">
        <v>9</v>
      </c>
      <c r="B3" s="3">
        <v>314000.0</v>
      </c>
      <c r="C3" s="3">
        <v>304000.0</v>
      </c>
      <c r="D3" s="3">
        <v>311000.0</v>
      </c>
      <c r="E3" s="4">
        <v>5400000.0</v>
      </c>
      <c r="F3" s="6">
        <f t="shared" si="1"/>
        <v>159.3099949</v>
      </c>
      <c r="G3" s="5">
        <f t="shared" si="2"/>
        <v>0.1935237056</v>
      </c>
      <c r="H3" s="5">
        <f t="shared" si="3"/>
        <v>0.06311991943</v>
      </c>
    </row>
    <row r="4" ht="22.5" customHeight="1">
      <c r="A4" s="2" t="s">
        <v>10</v>
      </c>
      <c r="B4" s="3">
        <v>190000.0</v>
      </c>
      <c r="C4" s="4">
        <v>193000.0</v>
      </c>
      <c r="D4" s="4">
        <v>189000.0</v>
      </c>
      <c r="E4" s="4">
        <v>1.729E7</v>
      </c>
      <c r="F4" s="7">
        <f t="shared" si="1"/>
        <v>30.10687942</v>
      </c>
      <c r="G4" s="5">
        <f t="shared" si="2"/>
        <v>0.1171003314</v>
      </c>
      <c r="H4" s="5">
        <f t="shared" si="3"/>
        <v>0.2021006309</v>
      </c>
    </row>
    <row r="5" ht="22.5" customHeight="1">
      <c r="A5" s="8" t="s">
        <v>11</v>
      </c>
      <c r="B5" s="3">
        <v>163000.0</v>
      </c>
      <c r="C5" s="4">
        <v>163000.0</v>
      </c>
      <c r="D5" s="4">
        <v>158000.0</v>
      </c>
      <c r="E5" s="4">
        <v>5300000.0</v>
      </c>
      <c r="F5" s="6">
        <f t="shared" si="1"/>
        <v>84.25949858</v>
      </c>
      <c r="G5" s="5">
        <f t="shared" si="2"/>
        <v>0.100459758</v>
      </c>
      <c r="H5" s="5">
        <f t="shared" si="3"/>
        <v>0.06195103203</v>
      </c>
    </row>
    <row r="6" ht="22.5" customHeight="1">
      <c r="A6" s="2" t="s">
        <v>12</v>
      </c>
      <c r="B6" s="3">
        <v>121000.0</v>
      </c>
      <c r="C6" s="4">
        <v>121000.0</v>
      </c>
      <c r="D6" s="4">
        <v>124000.0</v>
      </c>
      <c r="E6" s="4">
        <v>4300000.0</v>
      </c>
      <c r="F6" s="6">
        <f t="shared" si="1"/>
        <v>77.09461612</v>
      </c>
      <c r="G6" s="5">
        <f t="shared" si="2"/>
        <v>0.07457442158</v>
      </c>
      <c r="H6" s="5">
        <f t="shared" si="3"/>
        <v>0.05026215807</v>
      </c>
    </row>
    <row r="7" ht="22.5" customHeight="1">
      <c r="A7" s="2" t="s">
        <v>13</v>
      </c>
      <c r="B7" s="3">
        <v>104000.0</v>
      </c>
      <c r="C7" s="4">
        <v>78160.0</v>
      </c>
      <c r="D7" s="4">
        <v>107000.0</v>
      </c>
      <c r="E7" s="4">
        <v>3883000.0</v>
      </c>
      <c r="F7" s="6">
        <f t="shared" si="1"/>
        <v>73.37921886</v>
      </c>
      <c r="G7" s="5">
        <f t="shared" si="2"/>
        <v>0.0640970235</v>
      </c>
      <c r="H7" s="5">
        <f t="shared" si="3"/>
        <v>0.04538789762</v>
      </c>
    </row>
    <row r="8" ht="22.5" customHeight="1">
      <c r="A8" s="2" t="s">
        <v>14</v>
      </c>
      <c r="B8" s="3">
        <v>67000.0</v>
      </c>
      <c r="C8" s="4">
        <v>67000.0</v>
      </c>
      <c r="D8" s="4">
        <v>69000.0</v>
      </c>
      <c r="E8" s="4">
        <v>5350000.0</v>
      </c>
      <c r="F8" s="6">
        <f t="shared" si="1"/>
        <v>34.31058763</v>
      </c>
      <c r="G8" s="5">
        <f t="shared" si="2"/>
        <v>0.04129327476</v>
      </c>
      <c r="H8" s="5">
        <f t="shared" si="3"/>
        <v>0.06253547573</v>
      </c>
    </row>
    <row r="9" ht="22.5" customHeight="1">
      <c r="A9" s="2" t="s">
        <v>15</v>
      </c>
      <c r="B9" s="3">
        <v>58000.0</v>
      </c>
      <c r="C9" s="4">
        <v>60900.0</v>
      </c>
      <c r="D9" s="4">
        <v>60000.0</v>
      </c>
      <c r="E9" s="4">
        <v>700000.0</v>
      </c>
      <c r="F9" s="6">
        <f t="shared" si="1"/>
        <v>227.0058708</v>
      </c>
      <c r="G9" s="5">
        <f t="shared" si="2"/>
        <v>0.03574641695</v>
      </c>
      <c r="H9" s="5">
        <f t="shared" si="3"/>
        <v>0.008182211778</v>
      </c>
    </row>
    <row r="10" ht="22.5" customHeight="1">
      <c r="A10" s="2" t="s">
        <v>16</v>
      </c>
      <c r="B10" s="4">
        <v>45000.0</v>
      </c>
      <c r="C10" s="4">
        <v>45000.0</v>
      </c>
      <c r="D10" s="4">
        <v>44000.0</v>
      </c>
      <c r="E10" s="4">
        <v>4830000.0</v>
      </c>
      <c r="F10" s="6">
        <f t="shared" si="1"/>
        <v>25.52539777</v>
      </c>
      <c r="G10" s="5">
        <f t="shared" si="2"/>
        <v>0.02773428902</v>
      </c>
      <c r="H10" s="5">
        <f t="shared" si="3"/>
        <v>0.05645726127</v>
      </c>
    </row>
    <row r="11" ht="22.5" customHeight="1">
      <c r="A11" s="2" t="s">
        <v>17</v>
      </c>
      <c r="B11" s="4">
        <v>37000.0</v>
      </c>
      <c r="C11" s="4">
        <v>35890.0</v>
      </c>
      <c r="D11" s="4">
        <v>38000.0</v>
      </c>
      <c r="E11" s="4">
        <v>2528000.0</v>
      </c>
      <c r="F11" s="6">
        <f t="shared" si="1"/>
        <v>40.09883822</v>
      </c>
      <c r="G11" s="5">
        <f t="shared" si="2"/>
        <v>0.02280374875</v>
      </c>
      <c r="H11" s="5">
        <f t="shared" si="3"/>
        <v>0.02954947339</v>
      </c>
    </row>
    <row r="12" ht="22.5" customHeight="1">
      <c r="A12" s="2" t="s">
        <v>18</v>
      </c>
      <c r="B12" s="3">
        <v>32000.0</v>
      </c>
      <c r="C12" s="4">
        <v>32960.0</v>
      </c>
      <c r="D12" s="4">
        <v>33000.0</v>
      </c>
      <c r="E12" s="4">
        <v>1203000.0</v>
      </c>
      <c r="F12" s="6">
        <f t="shared" si="1"/>
        <v>72.87716781</v>
      </c>
      <c r="G12" s="5">
        <f t="shared" si="2"/>
        <v>0.01972216108</v>
      </c>
      <c r="H12" s="5">
        <f t="shared" si="3"/>
        <v>0.01406171538</v>
      </c>
    </row>
    <row r="13" ht="22.5" customHeight="1">
      <c r="A13" s="2" t="s">
        <v>19</v>
      </c>
      <c r="B13" s="4">
        <v>22000.0</v>
      </c>
      <c r="C13" s="4">
        <v>22000.0</v>
      </c>
      <c r="D13" s="4">
        <v>26000.0</v>
      </c>
      <c r="E13" s="4">
        <v>4590000.0</v>
      </c>
      <c r="F13" s="6">
        <f t="shared" si="1"/>
        <v>13.13158445</v>
      </c>
      <c r="G13" s="5">
        <f t="shared" si="2"/>
        <v>0.01355898574</v>
      </c>
      <c r="H13" s="5">
        <f t="shared" si="3"/>
        <v>0.05365193152</v>
      </c>
    </row>
    <row r="14" ht="22.5" customHeight="1">
      <c r="A14" s="2" t="s">
        <v>20</v>
      </c>
      <c r="B14" s="4">
        <v>19000.0</v>
      </c>
      <c r="C14" s="4">
        <v>19950.0</v>
      </c>
      <c r="D14" s="4">
        <v>18000.0</v>
      </c>
      <c r="E14" s="4">
        <v>3880000.0</v>
      </c>
      <c r="F14" s="6">
        <f t="shared" si="1"/>
        <v>13.41618415</v>
      </c>
      <c r="G14" s="5">
        <f t="shared" si="2"/>
        <v>0.01171003314</v>
      </c>
      <c r="H14" s="5">
        <f t="shared" si="3"/>
        <v>0.045352831</v>
      </c>
    </row>
    <row r="15" ht="22.5" customHeight="1">
      <c r="A15" s="2" t="s">
        <v>21</v>
      </c>
      <c r="B15" s="4">
        <v>12000.0</v>
      </c>
      <c r="C15" s="4">
        <v>12240.0</v>
      </c>
      <c r="D15" s="4">
        <v>12000.0</v>
      </c>
      <c r="E15" s="4">
        <v>1950000.0</v>
      </c>
      <c r="F15" s="6">
        <f t="shared" si="1"/>
        <v>16.85985248</v>
      </c>
      <c r="G15" s="5">
        <f t="shared" si="2"/>
        <v>0.007395810404</v>
      </c>
      <c r="H15" s="5">
        <f t="shared" si="3"/>
        <v>0.02279330424</v>
      </c>
    </row>
    <row r="16" ht="22.5" customHeight="1">
      <c r="A16" s="2" t="s">
        <v>22</v>
      </c>
      <c r="B16" s="4">
        <v>10000.0</v>
      </c>
      <c r="C16" s="4">
        <v>10400.0</v>
      </c>
      <c r="D16" s="4">
        <v>9800.0</v>
      </c>
      <c r="E16" s="4">
        <v>510000.0</v>
      </c>
      <c r="F16" s="6">
        <f t="shared" si="1"/>
        <v>53.72011818</v>
      </c>
      <c r="G16" s="5">
        <f t="shared" si="2"/>
        <v>0.006163175337</v>
      </c>
      <c r="H16" s="5">
        <f t="shared" si="3"/>
        <v>0.005961325724</v>
      </c>
    </row>
    <row r="17" ht="22.5" customHeight="1">
      <c r="A17" s="2" t="s">
        <v>23</v>
      </c>
      <c r="B17" s="4">
        <v>9200.0</v>
      </c>
      <c r="C17" s="9">
        <v>9384.0</v>
      </c>
      <c r="D17" s="9">
        <v>9500.0</v>
      </c>
      <c r="E17" s="4">
        <v>1744000.0</v>
      </c>
      <c r="F17" s="6">
        <f t="shared" si="1"/>
        <v>14.45268317</v>
      </c>
      <c r="G17" s="5">
        <f t="shared" si="2"/>
        <v>0.00567012131</v>
      </c>
      <c r="H17" s="5">
        <f t="shared" si="3"/>
        <v>0.0203853962</v>
      </c>
    </row>
    <row r="18" ht="22.5" customHeight="1">
      <c r="A18" s="2" t="s">
        <v>24</v>
      </c>
      <c r="B18" s="4">
        <v>8300.0</v>
      </c>
      <c r="C18" s="4"/>
      <c r="D18" s="4">
        <v>8100.0</v>
      </c>
      <c r="E18" s="4">
        <v>176000.0</v>
      </c>
      <c r="F18" s="6">
        <f t="shared" si="1"/>
        <v>129.2029888</v>
      </c>
      <c r="G18" s="5">
        <f t="shared" si="2"/>
        <v>0.00511543553</v>
      </c>
      <c r="H18" s="5">
        <f t="shared" si="3"/>
        <v>0.002057241818</v>
      </c>
    </row>
    <row r="19" ht="22.5" customHeight="1">
      <c r="A19" s="2" t="s">
        <v>25</v>
      </c>
      <c r="B19" s="4">
        <v>7500.0</v>
      </c>
      <c r="C19" s="4">
        <v>7800.0</v>
      </c>
      <c r="D19" s="4">
        <v>7800.0</v>
      </c>
      <c r="E19" s="4">
        <v>2133000.0</v>
      </c>
      <c r="F19" s="6">
        <f t="shared" si="1"/>
        <v>9.633354527</v>
      </c>
      <c r="G19" s="5">
        <f t="shared" si="2"/>
        <v>0.004622381503</v>
      </c>
      <c r="H19" s="5">
        <f t="shared" si="3"/>
        <v>0.02493236818</v>
      </c>
    </row>
    <row r="20" ht="22.5" customHeight="1">
      <c r="A20" s="2" t="s">
        <v>26</v>
      </c>
      <c r="B20" s="4">
        <v>6800.0</v>
      </c>
      <c r="C20" s="4">
        <v>6664.0</v>
      </c>
      <c r="D20" s="4">
        <v>6600.0</v>
      </c>
      <c r="E20" s="4">
        <v>600000.0</v>
      </c>
      <c r="F20" s="6">
        <f t="shared" si="1"/>
        <v>31.05022831</v>
      </c>
      <c r="G20" s="5">
        <f t="shared" si="2"/>
        <v>0.004190959229</v>
      </c>
      <c r="H20" s="5">
        <f t="shared" si="3"/>
        <v>0.007013324381</v>
      </c>
    </row>
    <row r="21" ht="22.5" customHeight="1">
      <c r="A21" s="2" t="s">
        <v>27</v>
      </c>
      <c r="B21" s="4">
        <v>5200.0</v>
      </c>
      <c r="C21" s="4">
        <v>5200.0</v>
      </c>
      <c r="D21" s="4">
        <v>5300.0</v>
      </c>
      <c r="E21" s="4">
        <v>693000.0</v>
      </c>
      <c r="F21" s="6">
        <f t="shared" si="1"/>
        <v>20.55782878</v>
      </c>
      <c r="G21" s="5">
        <f t="shared" si="2"/>
        <v>0.003204851175</v>
      </c>
      <c r="H21" s="5">
        <f t="shared" si="3"/>
        <v>0.00810038966</v>
      </c>
    </row>
    <row r="22" ht="22.5" customHeight="1">
      <c r="A22" s="10" t="s">
        <v>28</v>
      </c>
      <c r="B22" s="11">
        <v>5110.0</v>
      </c>
      <c r="C22" s="11">
        <v>5100.0</v>
      </c>
      <c r="D22" s="11">
        <v>5190.0</v>
      </c>
      <c r="E22" s="11">
        <v>540000.0</v>
      </c>
      <c r="F22" s="12">
        <f t="shared" si="1"/>
        <v>25.92592593</v>
      </c>
      <c r="G22" s="13">
        <f t="shared" si="2"/>
        <v>0.003149382597</v>
      </c>
      <c r="H22" s="13">
        <f t="shared" si="3"/>
        <v>0.006311991943</v>
      </c>
    </row>
    <row r="23" ht="22.5" customHeight="1">
      <c r="A23" s="2" t="s">
        <v>29</v>
      </c>
      <c r="B23" s="4">
        <v>4600.0</v>
      </c>
      <c r="C23" s="4">
        <v>4784.0</v>
      </c>
      <c r="D23" s="4">
        <v>4800.0</v>
      </c>
      <c r="E23" s="4">
        <v>160000.0</v>
      </c>
      <c r="F23" s="6">
        <f t="shared" si="1"/>
        <v>78.76712329</v>
      </c>
      <c r="G23" s="5">
        <f t="shared" si="2"/>
        <v>0.002835060655</v>
      </c>
      <c r="H23" s="5">
        <f t="shared" si="3"/>
        <v>0.001870219835</v>
      </c>
    </row>
    <row r="24" ht="22.5" customHeight="1">
      <c r="A24" s="2" t="s">
        <v>30</v>
      </c>
      <c r="B24" s="4">
        <v>4300.0</v>
      </c>
      <c r="C24" s="4"/>
      <c r="D24" s="4"/>
      <c r="E24" s="3">
        <v>317000.0</v>
      </c>
      <c r="F24" s="6">
        <f t="shared" si="1"/>
        <v>37.16347608</v>
      </c>
      <c r="G24" s="5">
        <f t="shared" si="2"/>
        <v>0.002650165395</v>
      </c>
      <c r="H24" s="5">
        <f t="shared" si="3"/>
        <v>0.003705373048</v>
      </c>
    </row>
    <row r="25" ht="22.5" customHeight="1">
      <c r="A25" s="2" t="s">
        <v>31</v>
      </c>
      <c r="B25" s="4">
        <v>4000.0</v>
      </c>
      <c r="C25" s="4">
        <v>4000.0</v>
      </c>
      <c r="D25" s="4">
        <v>4100.0</v>
      </c>
      <c r="E25" s="3">
        <v>129000.0</v>
      </c>
      <c r="F25" s="6">
        <f t="shared" si="1"/>
        <v>84.95274504</v>
      </c>
      <c r="G25" s="5">
        <f t="shared" si="2"/>
        <v>0.002465270135</v>
      </c>
      <c r="H25" s="5">
        <f t="shared" si="3"/>
        <v>0.001507864742</v>
      </c>
    </row>
    <row r="26" ht="22.5" customHeight="1">
      <c r="A26" s="2" t="s">
        <v>32</v>
      </c>
      <c r="B26" s="4">
        <v>3700.0</v>
      </c>
      <c r="C26" s="4">
        <v>3700.0</v>
      </c>
      <c r="D26" s="4"/>
      <c r="E26" s="3">
        <v>231000.0</v>
      </c>
      <c r="F26" s="6">
        <f t="shared" si="1"/>
        <v>43.88305758</v>
      </c>
      <c r="G26" s="5">
        <f t="shared" si="2"/>
        <v>0.002280374875</v>
      </c>
      <c r="H26" s="5">
        <f t="shared" si="3"/>
        <v>0.002700129887</v>
      </c>
    </row>
    <row r="27" ht="22.5" customHeight="1">
      <c r="A27" s="10" t="s">
        <v>33</v>
      </c>
      <c r="B27" s="11">
        <v>3500.0</v>
      </c>
      <c r="C27" s="11">
        <v>3600.0</v>
      </c>
      <c r="D27" s="14">
        <v>3520.0</v>
      </c>
      <c r="E27" s="3">
        <v>242900.0</v>
      </c>
      <c r="F27" s="12">
        <f t="shared" si="1"/>
        <v>39.47732028</v>
      </c>
      <c r="G27" s="13">
        <f t="shared" si="2"/>
        <v>0.002157111368</v>
      </c>
      <c r="H27" s="13">
        <f t="shared" si="3"/>
        <v>0.002839227487</v>
      </c>
    </row>
    <row r="28" ht="22.5" customHeight="1">
      <c r="A28" s="2" t="s">
        <v>34</v>
      </c>
      <c r="B28" s="4">
        <v>3400.0</v>
      </c>
      <c r="C28" s="4">
        <v>3400.0</v>
      </c>
      <c r="D28" s="4">
        <v>3500.0</v>
      </c>
      <c r="E28" s="4">
        <v>160000.0</v>
      </c>
      <c r="F28" s="6">
        <f t="shared" si="1"/>
        <v>58.21917808</v>
      </c>
      <c r="G28" s="5">
        <f t="shared" si="2"/>
        <v>0.002095479615</v>
      </c>
      <c r="H28" s="5">
        <f t="shared" si="3"/>
        <v>0.001870219835</v>
      </c>
    </row>
    <row r="29" ht="22.5" customHeight="1">
      <c r="A29" s="2" t="s">
        <v>35</v>
      </c>
      <c r="B29" s="4">
        <v>3100.0</v>
      </c>
      <c r="C29" s="4">
        <v>3100.0</v>
      </c>
      <c r="D29" s="4"/>
      <c r="E29" s="4">
        <v>620000.0</v>
      </c>
      <c r="F29" s="6">
        <f t="shared" si="1"/>
        <v>13.69863014</v>
      </c>
      <c r="G29" s="5">
        <f t="shared" si="2"/>
        <v>0.001910584354</v>
      </c>
      <c r="H29" s="5">
        <f t="shared" si="3"/>
        <v>0.007247101861</v>
      </c>
    </row>
    <row r="30" ht="22.5" customHeight="1">
      <c r="A30" s="2" t="s">
        <v>36</v>
      </c>
      <c r="B30" s="4">
        <v>2900.0</v>
      </c>
      <c r="C30" s="4">
        <v>3045.0</v>
      </c>
      <c r="D30" s="4">
        <v>2800.0</v>
      </c>
      <c r="E30" s="4">
        <v>335000.0</v>
      </c>
      <c r="F30" s="6">
        <f t="shared" si="1"/>
        <v>23.71703128</v>
      </c>
      <c r="G30" s="5">
        <f t="shared" si="2"/>
        <v>0.001787320848</v>
      </c>
      <c r="H30" s="5">
        <f t="shared" si="3"/>
        <v>0.00391577278</v>
      </c>
    </row>
    <row r="31" ht="22.5" customHeight="1">
      <c r="A31" s="2" t="s">
        <v>37</v>
      </c>
      <c r="B31" s="4">
        <v>2800.0</v>
      </c>
      <c r="C31" s="4">
        <v>2800.0</v>
      </c>
      <c r="D31" s="4">
        <v>3000.0</v>
      </c>
      <c r="E31" s="4">
        <v>230000.0</v>
      </c>
      <c r="F31" s="6">
        <f t="shared" si="1"/>
        <v>33.35318642</v>
      </c>
      <c r="G31" s="5">
        <f t="shared" si="2"/>
        <v>0.001725689094</v>
      </c>
      <c r="H31" s="5">
        <f t="shared" si="3"/>
        <v>0.002688441013</v>
      </c>
    </row>
    <row r="32" ht="22.5" customHeight="1">
      <c r="A32" s="2" t="s">
        <v>38</v>
      </c>
      <c r="B32" s="4">
        <v>2600.0</v>
      </c>
      <c r="C32" s="4">
        <v>2600.0</v>
      </c>
      <c r="D32" s="4"/>
      <c r="E32" s="4">
        <v>200000.0</v>
      </c>
      <c r="F32" s="6">
        <f t="shared" si="1"/>
        <v>35.61643836</v>
      </c>
      <c r="G32" s="5">
        <f t="shared" si="2"/>
        <v>0.001602425588</v>
      </c>
      <c r="H32" s="5">
        <f t="shared" si="3"/>
        <v>0.002337774794</v>
      </c>
    </row>
    <row r="33" ht="22.5" customHeight="1">
      <c r="A33" s="2" t="s">
        <v>39</v>
      </c>
      <c r="B33" s="4">
        <v>2500.0</v>
      </c>
      <c r="C33" s="4">
        <v>2525.0</v>
      </c>
      <c r="D33" s="4"/>
      <c r="E33" s="4">
        <v>238000.0</v>
      </c>
      <c r="F33" s="6">
        <f t="shared" si="1"/>
        <v>28.77863474</v>
      </c>
      <c r="G33" s="5">
        <f t="shared" si="2"/>
        <v>0.001540793834</v>
      </c>
      <c r="H33" s="5">
        <f t="shared" si="3"/>
        <v>0.002781952005</v>
      </c>
    </row>
    <row r="34" ht="22.5" customHeight="1">
      <c r="A34" s="10" t="s">
        <v>40</v>
      </c>
      <c r="B34" s="11">
        <v>2290.0</v>
      </c>
      <c r="C34" s="11">
        <v>2300.0</v>
      </c>
      <c r="D34" s="11">
        <v>2400.0</v>
      </c>
      <c r="E34" s="11">
        <v>383000.0</v>
      </c>
      <c r="F34" s="12">
        <f t="shared" si="1"/>
        <v>16.38112951</v>
      </c>
      <c r="G34" s="13">
        <f t="shared" si="2"/>
        <v>0.001411367152</v>
      </c>
      <c r="H34" s="13">
        <f t="shared" si="3"/>
        <v>0.00447683873</v>
      </c>
    </row>
    <row r="35" ht="22.5" customHeight="1">
      <c r="A35" s="2" t="s">
        <v>41</v>
      </c>
      <c r="B35" s="4">
        <v>2200.0</v>
      </c>
      <c r="C35" s="4">
        <v>2134.0</v>
      </c>
      <c r="D35" s="4">
        <v>2300.0</v>
      </c>
      <c r="E35" s="4">
        <v>140000.0</v>
      </c>
      <c r="F35" s="6">
        <f t="shared" si="1"/>
        <v>43.05283757</v>
      </c>
      <c r="G35" s="5">
        <f t="shared" si="2"/>
        <v>0.001355898574</v>
      </c>
      <c r="H35" s="5">
        <f t="shared" si="3"/>
        <v>0.001636442356</v>
      </c>
    </row>
    <row r="36" ht="22.5" customHeight="1">
      <c r="A36" s="2" t="s">
        <v>42</v>
      </c>
      <c r="B36" s="4">
        <v>1800.0</v>
      </c>
      <c r="C36" s="4">
        <v>1800.0</v>
      </c>
      <c r="D36" s="4"/>
      <c r="E36" s="3">
        <v>174000.0</v>
      </c>
      <c r="F36" s="6">
        <f t="shared" si="1"/>
        <v>28.34199339</v>
      </c>
      <c r="G36" s="5">
        <f t="shared" si="2"/>
        <v>0.001109371561</v>
      </c>
      <c r="H36" s="5">
        <f t="shared" si="3"/>
        <v>0.002033864071</v>
      </c>
    </row>
    <row r="37" ht="22.5" customHeight="1">
      <c r="A37" s="2" t="s">
        <v>43</v>
      </c>
      <c r="B37" s="4">
        <v>1700.0</v>
      </c>
      <c r="C37" s="4">
        <v>1700.0</v>
      </c>
      <c r="D37" s="4">
        <v>1600.0</v>
      </c>
      <c r="E37" s="4">
        <v>238000.0</v>
      </c>
      <c r="F37" s="6">
        <f t="shared" si="1"/>
        <v>19.56947162</v>
      </c>
      <c r="G37" s="5">
        <f t="shared" si="2"/>
        <v>0.001047739807</v>
      </c>
      <c r="H37" s="5">
        <f t="shared" si="3"/>
        <v>0.002781952005</v>
      </c>
    </row>
    <row r="38" ht="22.5" customHeight="1">
      <c r="A38" s="2" t="s">
        <v>44</v>
      </c>
      <c r="B38" s="4">
        <v>1400.0</v>
      </c>
      <c r="C38" s="4">
        <v>1414.0</v>
      </c>
      <c r="D38" s="4">
        <v>1500.0</v>
      </c>
      <c r="E38" s="4">
        <v>100000.0</v>
      </c>
      <c r="F38" s="6">
        <f t="shared" si="1"/>
        <v>38.35616438</v>
      </c>
      <c r="G38" s="5">
        <f t="shared" si="2"/>
        <v>0.0008628445472</v>
      </c>
      <c r="H38" s="5">
        <f t="shared" si="3"/>
        <v>0.001168887397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22.5" customHeight="1">
      <c r="A39" s="2" t="s">
        <v>45</v>
      </c>
      <c r="B39" s="4">
        <v>1300.0</v>
      </c>
      <c r="C39" s="4">
        <v>1300.0</v>
      </c>
      <c r="D39" s="4">
        <v>1200.0</v>
      </c>
      <c r="E39" s="4">
        <v>238000.0</v>
      </c>
      <c r="F39" s="6">
        <f t="shared" si="1"/>
        <v>14.96489007</v>
      </c>
      <c r="G39" s="5">
        <f t="shared" si="2"/>
        <v>0.0008012127938</v>
      </c>
      <c r="H39" s="5">
        <f t="shared" si="3"/>
        <v>0.002781952005</v>
      </c>
    </row>
    <row r="40" ht="22.5" customHeight="1">
      <c r="A40" s="10" t="s">
        <v>46</v>
      </c>
      <c r="B40" s="11">
        <v>1120.0</v>
      </c>
      <c r="C40" s="11">
        <v>1080.0</v>
      </c>
      <c r="D40" s="14">
        <v>990.0</v>
      </c>
      <c r="E40" s="11">
        <v>70000.0</v>
      </c>
      <c r="F40" s="12">
        <f t="shared" si="1"/>
        <v>43.83561644</v>
      </c>
      <c r="G40" s="13">
        <f t="shared" si="2"/>
        <v>0.0006902756377</v>
      </c>
      <c r="H40" s="13">
        <f t="shared" si="3"/>
        <v>0.0008182211778</v>
      </c>
    </row>
    <row r="41" ht="22.5" customHeight="1">
      <c r="A41" s="2" t="s">
        <v>47</v>
      </c>
      <c r="B41" s="4">
        <v>1100.0</v>
      </c>
      <c r="C41" s="4"/>
      <c r="D41" s="4"/>
      <c r="E41" s="4">
        <v>79000.0</v>
      </c>
      <c r="F41" s="6">
        <f t="shared" si="1"/>
        <v>38.14808393</v>
      </c>
      <c r="G41" s="5">
        <f t="shared" si="2"/>
        <v>0.0006779492871</v>
      </c>
      <c r="H41" s="5">
        <f t="shared" si="3"/>
        <v>0.0009234210435</v>
      </c>
    </row>
    <row r="42" ht="22.5" customHeight="1">
      <c r="A42" s="2" t="s">
        <v>48</v>
      </c>
      <c r="B42" s="4">
        <v>950.0</v>
      </c>
      <c r="C42" s="4">
        <v>950.0</v>
      </c>
      <c r="D42" s="4">
        <v>970.0</v>
      </c>
      <c r="E42" s="4">
        <v>220000.0</v>
      </c>
      <c r="F42" s="6">
        <f t="shared" si="1"/>
        <v>11.83063512</v>
      </c>
      <c r="G42" s="5">
        <f t="shared" si="2"/>
        <v>0.000585501657</v>
      </c>
      <c r="H42" s="5">
        <f t="shared" si="3"/>
        <v>0.002571552273</v>
      </c>
    </row>
    <row r="43" ht="22.5" customHeight="1">
      <c r="A43" s="2" t="s">
        <v>49</v>
      </c>
      <c r="B43" s="4">
        <v>910.0</v>
      </c>
      <c r="C43" s="4">
        <v>950.0</v>
      </c>
      <c r="D43" s="4"/>
      <c r="E43" s="4">
        <v>89000.0</v>
      </c>
      <c r="F43" s="6">
        <f t="shared" si="1"/>
        <v>28.01292904</v>
      </c>
      <c r="G43" s="5">
        <f t="shared" si="2"/>
        <v>0.0005608489557</v>
      </c>
      <c r="H43" s="5">
        <f t="shared" si="3"/>
        <v>0.001040309783</v>
      </c>
    </row>
    <row r="44" ht="22.5" customHeight="1">
      <c r="A44" s="10" t="s">
        <v>50</v>
      </c>
      <c r="B44" s="11">
        <v>900.0</v>
      </c>
      <c r="C44" s="11">
        <v>905.0</v>
      </c>
      <c r="D44" s="12"/>
      <c r="E44" s="11">
        <v>82000.0</v>
      </c>
      <c r="F44" s="12">
        <f t="shared" si="1"/>
        <v>30.07016372</v>
      </c>
      <c r="G44" s="13">
        <f t="shared" si="2"/>
        <v>0.0005546857803</v>
      </c>
      <c r="H44" s="13">
        <f t="shared" si="3"/>
        <v>0.0009584876654</v>
      </c>
    </row>
    <row r="45" ht="22.5" customHeight="1">
      <c r="A45" s="2" t="s">
        <v>51</v>
      </c>
      <c r="B45" s="4">
        <v>720.0</v>
      </c>
      <c r="C45" s="4">
        <v>698.0</v>
      </c>
      <c r="D45" s="4">
        <v>740.0</v>
      </c>
      <c r="E45" s="4">
        <v>62000.0</v>
      </c>
      <c r="F45" s="6">
        <f t="shared" si="1"/>
        <v>31.81617322</v>
      </c>
      <c r="G45" s="5">
        <f t="shared" si="2"/>
        <v>0.0004437486243</v>
      </c>
      <c r="H45" s="5">
        <f t="shared" si="3"/>
        <v>0.0007247101861</v>
      </c>
    </row>
    <row r="46" ht="22.5" customHeight="1">
      <c r="A46" s="2" t="s">
        <v>52</v>
      </c>
      <c r="B46" s="4">
        <v>630.0</v>
      </c>
      <c r="C46" s="4"/>
      <c r="D46" s="4"/>
      <c r="E46" s="4">
        <v>33000.0</v>
      </c>
      <c r="F46" s="6">
        <f t="shared" si="1"/>
        <v>52.30386052</v>
      </c>
      <c r="G46" s="5">
        <f t="shared" si="2"/>
        <v>0.0003882800462</v>
      </c>
      <c r="H46" s="5">
        <f t="shared" si="3"/>
        <v>0.000385732841</v>
      </c>
    </row>
    <row r="47" ht="22.5" customHeight="1">
      <c r="A47" s="2" t="s">
        <v>53</v>
      </c>
      <c r="B47" s="4">
        <v>600.0</v>
      </c>
      <c r="C47" s="4">
        <v>570.0</v>
      </c>
      <c r="D47" s="4"/>
      <c r="E47" s="4">
        <v>14000.0</v>
      </c>
      <c r="F47" s="6">
        <f t="shared" si="1"/>
        <v>117.4168297</v>
      </c>
      <c r="G47" s="5">
        <f t="shared" si="2"/>
        <v>0.0003697905202</v>
      </c>
      <c r="H47" s="5">
        <f t="shared" si="3"/>
        <v>0.0001636442356</v>
      </c>
    </row>
    <row r="48" ht="22.5" customHeight="1">
      <c r="A48" s="2" t="s">
        <v>54</v>
      </c>
      <c r="B48" s="4">
        <v>600.0</v>
      </c>
      <c r="C48" s="4">
        <v>576.0</v>
      </c>
      <c r="D48" s="4">
        <v>610.0</v>
      </c>
      <c r="E48" s="4">
        <v>198000.0</v>
      </c>
      <c r="F48" s="6">
        <f t="shared" si="1"/>
        <v>8.302200083</v>
      </c>
      <c r="G48" s="5">
        <f t="shared" si="2"/>
        <v>0.0003697905202</v>
      </c>
      <c r="H48" s="5">
        <f t="shared" si="3"/>
        <v>0.002314397046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22.5" customHeight="1">
      <c r="A49" s="2" t="s">
        <v>55</v>
      </c>
      <c r="B49" s="4">
        <v>460.0</v>
      </c>
      <c r="C49" s="4">
        <v>460.0</v>
      </c>
      <c r="D49" s="4">
        <v>470.0</v>
      </c>
      <c r="E49" s="4">
        <v>136000.0</v>
      </c>
      <c r="F49" s="6">
        <f t="shared" si="1"/>
        <v>9.266720387</v>
      </c>
      <c r="G49" s="5">
        <f t="shared" si="2"/>
        <v>0.0002835060655</v>
      </c>
      <c r="H49" s="5">
        <f t="shared" si="3"/>
        <v>0.00158968686</v>
      </c>
    </row>
    <row r="50" ht="22.5" customHeight="1">
      <c r="A50" s="2" t="s">
        <v>56</v>
      </c>
      <c r="B50" s="4">
        <v>380.0</v>
      </c>
      <c r="C50" s="4">
        <v>380.0</v>
      </c>
      <c r="D50" s="4"/>
      <c r="E50" s="4">
        <v>54000.0</v>
      </c>
      <c r="F50" s="4">
        <v>54000.0</v>
      </c>
      <c r="G50" s="5">
        <f t="shared" si="2"/>
        <v>0.0002342006628</v>
      </c>
      <c r="H50" s="5">
        <f t="shared" si="3"/>
        <v>0.0006311991943</v>
      </c>
    </row>
    <row r="51" ht="22.5" customHeight="1">
      <c r="A51" s="2" t="s">
        <v>57</v>
      </c>
      <c r="B51" s="4">
        <v>310.0</v>
      </c>
      <c r="C51" s="4"/>
      <c r="D51" s="4"/>
      <c r="E51" s="4">
        <v>53000.0</v>
      </c>
      <c r="F51" s="6">
        <f t="shared" ref="F51:F73" si="4">SUM((B51 * 1000000) / (E51 * 365))</f>
        <v>16.02481261</v>
      </c>
      <c r="G51" s="5">
        <f t="shared" si="2"/>
        <v>0.0001910584354</v>
      </c>
      <c r="H51" s="5">
        <f t="shared" si="3"/>
        <v>0.0006195103203</v>
      </c>
    </row>
    <row r="52" ht="22.5" customHeight="1">
      <c r="A52" s="2" t="s">
        <v>58</v>
      </c>
      <c r="B52" s="4">
        <v>250.0</v>
      </c>
      <c r="C52" s="4">
        <v>250.0</v>
      </c>
      <c r="D52" s="4"/>
      <c r="E52" s="4">
        <v>49000.0</v>
      </c>
      <c r="F52" s="6">
        <f t="shared" si="4"/>
        <v>13.97819402</v>
      </c>
      <c r="G52" s="5">
        <f t="shared" si="2"/>
        <v>0.0001540793834</v>
      </c>
      <c r="H52" s="5">
        <f t="shared" si="3"/>
        <v>0.0005727548245</v>
      </c>
    </row>
    <row r="53" ht="22.5" customHeight="1">
      <c r="A53" s="2" t="s">
        <v>59</v>
      </c>
      <c r="B53" s="4">
        <v>250.0</v>
      </c>
      <c r="C53" s="4">
        <v>250.0</v>
      </c>
      <c r="D53" s="4"/>
      <c r="E53" s="4">
        <v>32000.0</v>
      </c>
      <c r="F53" s="6">
        <f t="shared" si="4"/>
        <v>21.40410959</v>
      </c>
      <c r="G53" s="5">
        <f t="shared" si="2"/>
        <v>0.0001540793834</v>
      </c>
      <c r="H53" s="5">
        <f t="shared" si="3"/>
        <v>0.000374043967</v>
      </c>
    </row>
    <row r="54" ht="22.5" customHeight="1">
      <c r="A54" s="2" t="s">
        <v>60</v>
      </c>
      <c r="B54" s="4">
        <v>250.0</v>
      </c>
      <c r="C54" s="4"/>
      <c r="D54" s="4"/>
      <c r="E54" s="4">
        <v>5300.0</v>
      </c>
      <c r="F54" s="6">
        <f t="shared" si="4"/>
        <v>129.2323598</v>
      </c>
      <c r="G54" s="5">
        <f t="shared" si="2"/>
        <v>0.0001540793834</v>
      </c>
      <c r="H54" s="5">
        <f t="shared" si="3"/>
        <v>0.00006195103203</v>
      </c>
    </row>
    <row r="55" ht="22.5" customHeight="1">
      <c r="A55" s="2" t="s">
        <v>61</v>
      </c>
      <c r="B55" s="4">
        <v>250.0</v>
      </c>
      <c r="C55" s="4"/>
      <c r="D55" s="4"/>
      <c r="E55" s="3">
        <v>12000.0</v>
      </c>
      <c r="F55" s="6">
        <f t="shared" si="4"/>
        <v>57.07762557</v>
      </c>
      <c r="G55" s="5">
        <f t="shared" si="2"/>
        <v>0.0001540793834</v>
      </c>
      <c r="H55" s="5">
        <f t="shared" si="3"/>
        <v>0.0001402664876</v>
      </c>
    </row>
    <row r="56" ht="22.5" customHeight="1">
      <c r="A56" s="2" t="s">
        <v>62</v>
      </c>
      <c r="B56" s="4">
        <v>230.0</v>
      </c>
      <c r="C56" s="4">
        <v>237.0</v>
      </c>
      <c r="D56" s="4">
        <v>210.0</v>
      </c>
      <c r="E56" s="3">
        <v>42900.0</v>
      </c>
      <c r="F56" s="6">
        <f t="shared" si="4"/>
        <v>14.68850784</v>
      </c>
      <c r="G56" s="5">
        <f t="shared" si="2"/>
        <v>0.0001417530327</v>
      </c>
      <c r="H56" s="5">
        <f t="shared" si="3"/>
        <v>0.0005014526933</v>
      </c>
    </row>
    <row r="57" ht="22.5" customHeight="1">
      <c r="A57" s="2" t="s">
        <v>63</v>
      </c>
      <c r="B57" s="4">
        <v>230.0</v>
      </c>
      <c r="C57" s="4">
        <v>230.0</v>
      </c>
      <c r="D57" s="4">
        <v>200.0</v>
      </c>
      <c r="E57" s="3">
        <v>56700.0</v>
      </c>
      <c r="F57" s="6">
        <f t="shared" si="4"/>
        <v>11.1135271</v>
      </c>
      <c r="G57" s="5">
        <f t="shared" si="2"/>
        <v>0.0001417530327</v>
      </c>
      <c r="H57" s="5">
        <f t="shared" si="3"/>
        <v>0.000662759154</v>
      </c>
    </row>
    <row r="58" ht="22.5" customHeight="1">
      <c r="A58" s="2" t="s">
        <v>64</v>
      </c>
      <c r="B58" s="4">
        <v>200.0</v>
      </c>
      <c r="C58" s="4"/>
      <c r="D58" s="4"/>
      <c r="E58" s="3">
        <v>15300.0</v>
      </c>
      <c r="F58" s="6">
        <f t="shared" si="4"/>
        <v>35.81341212</v>
      </c>
      <c r="G58" s="5">
        <f t="shared" si="2"/>
        <v>0.0001232635067</v>
      </c>
      <c r="H58" s="5">
        <f t="shared" si="3"/>
        <v>0.0001788397717</v>
      </c>
    </row>
    <row r="59" ht="22.5" customHeight="1">
      <c r="A59" s="2" t="s">
        <v>65</v>
      </c>
      <c r="B59" s="4">
        <v>190.0</v>
      </c>
      <c r="C59" s="4"/>
      <c r="D59" s="4"/>
      <c r="E59" s="3">
        <v>2340.0</v>
      </c>
      <c r="F59" s="6">
        <f t="shared" si="4"/>
        <v>222.4563868</v>
      </c>
      <c r="G59" s="5">
        <f t="shared" si="2"/>
        <v>0.0001171003314</v>
      </c>
      <c r="H59" s="5">
        <f t="shared" si="3"/>
        <v>0.00002735196509</v>
      </c>
    </row>
    <row r="60" ht="22.5" customHeight="1">
      <c r="A60" s="2" t="s">
        <v>66</v>
      </c>
      <c r="B60" s="4">
        <v>170.0</v>
      </c>
      <c r="C60" s="4"/>
      <c r="D60" s="4"/>
      <c r="E60" s="4">
        <v>28000.0</v>
      </c>
      <c r="F60" s="6">
        <f t="shared" si="4"/>
        <v>16.63405088</v>
      </c>
      <c r="G60" s="5">
        <f t="shared" si="2"/>
        <v>0.0001047739807</v>
      </c>
      <c r="H60" s="5">
        <f t="shared" si="3"/>
        <v>0.0003272884711</v>
      </c>
    </row>
    <row r="61" ht="22.5" customHeight="1">
      <c r="A61" s="2" t="s">
        <v>67</v>
      </c>
      <c r="B61" s="4">
        <v>170.0</v>
      </c>
      <c r="C61" s="4">
        <v>177.0</v>
      </c>
      <c r="D61" s="4"/>
      <c r="E61" s="4">
        <v>6000.0</v>
      </c>
      <c r="F61" s="6">
        <f t="shared" si="4"/>
        <v>77.62557078</v>
      </c>
      <c r="G61" s="5">
        <f t="shared" si="2"/>
        <v>0.0001047739807</v>
      </c>
      <c r="H61" s="5">
        <f t="shared" si="3"/>
        <v>0.00007013324381</v>
      </c>
    </row>
    <row r="62" ht="22.5" customHeight="1">
      <c r="A62" s="2" t="s">
        <v>68</v>
      </c>
      <c r="B62" s="4">
        <v>160.0</v>
      </c>
      <c r="C62" s="4">
        <v>160.0</v>
      </c>
      <c r="D62" s="4">
        <v>150.0</v>
      </c>
      <c r="E62" s="4">
        <v>2300.0</v>
      </c>
      <c r="F62" s="6">
        <f t="shared" si="4"/>
        <v>190.5896367</v>
      </c>
      <c r="G62" s="5">
        <f t="shared" si="2"/>
        <v>0.00009861080539</v>
      </c>
      <c r="H62" s="5">
        <f t="shared" si="3"/>
        <v>0.00002688441013</v>
      </c>
    </row>
    <row r="63" ht="22.5" customHeight="1">
      <c r="A63" s="2" t="s">
        <v>69</v>
      </c>
      <c r="B63" s="4">
        <v>160.0</v>
      </c>
      <c r="C63" s="4">
        <v>160.0</v>
      </c>
      <c r="D63" s="4"/>
      <c r="E63" s="4">
        <v>6200.0</v>
      </c>
      <c r="F63" s="6">
        <f t="shared" si="4"/>
        <v>70.70260716</v>
      </c>
      <c r="G63" s="5">
        <f t="shared" si="2"/>
        <v>0.00009861080539</v>
      </c>
      <c r="H63" s="5">
        <f t="shared" si="3"/>
        <v>0.00007247101861</v>
      </c>
    </row>
    <row r="64" ht="22.5" customHeight="1">
      <c r="A64" s="2" t="s">
        <v>70</v>
      </c>
      <c r="B64" s="4">
        <v>160.0</v>
      </c>
      <c r="C64" s="4"/>
      <c r="D64" s="4"/>
      <c r="E64" s="4">
        <v>8800.0</v>
      </c>
      <c r="F64" s="6">
        <f t="shared" si="4"/>
        <v>49.8132005</v>
      </c>
      <c r="G64" s="5">
        <f t="shared" si="2"/>
        <v>0.00009861080539</v>
      </c>
      <c r="H64" s="5">
        <f t="shared" si="3"/>
        <v>0.0001028620909</v>
      </c>
    </row>
    <row r="65" ht="22.5" customHeight="1">
      <c r="A65" s="2" t="s">
        <v>71</v>
      </c>
      <c r="B65" s="4">
        <v>140.0</v>
      </c>
      <c r="C65" s="4"/>
      <c r="D65" s="4"/>
      <c r="E65" s="4">
        <v>13000.0</v>
      </c>
      <c r="F65" s="6">
        <f t="shared" si="4"/>
        <v>29.50474183</v>
      </c>
      <c r="G65" s="5">
        <f t="shared" si="2"/>
        <v>0.00008628445472</v>
      </c>
      <c r="H65" s="5">
        <f t="shared" si="3"/>
        <v>0.0001519553616</v>
      </c>
    </row>
    <row r="66" ht="22.5" customHeight="1">
      <c r="A66" s="2" t="s">
        <v>72</v>
      </c>
      <c r="B66" s="4">
        <v>140.0</v>
      </c>
      <c r="C66" s="4"/>
      <c r="D66" s="4"/>
      <c r="E66" s="4">
        <v>3500.0</v>
      </c>
      <c r="F66" s="6">
        <f t="shared" si="4"/>
        <v>109.5890411</v>
      </c>
      <c r="G66" s="5">
        <f t="shared" si="2"/>
        <v>0.00008628445472</v>
      </c>
      <c r="H66" s="5">
        <f t="shared" si="3"/>
        <v>0.00004091105889</v>
      </c>
    </row>
    <row r="67" ht="22.5" customHeight="1">
      <c r="A67" s="2" t="s">
        <v>73</v>
      </c>
      <c r="B67" s="4">
        <v>140.0</v>
      </c>
      <c r="C67" s="4"/>
      <c r="D67" s="4"/>
      <c r="E67" s="4">
        <v>12000.0</v>
      </c>
      <c r="F67" s="6">
        <f t="shared" si="4"/>
        <v>31.96347032</v>
      </c>
      <c r="G67" s="5">
        <f t="shared" si="2"/>
        <v>0.00008628445472</v>
      </c>
      <c r="H67" s="5">
        <f t="shared" si="3"/>
        <v>0.0001402664876</v>
      </c>
    </row>
    <row r="68" ht="22.5" customHeight="1">
      <c r="A68" s="2" t="s">
        <v>74</v>
      </c>
      <c r="B68" s="4">
        <v>130.0</v>
      </c>
      <c r="C68" s="4"/>
      <c r="D68" s="4"/>
      <c r="E68" s="4">
        <v>3000.0</v>
      </c>
      <c r="F68" s="6">
        <f t="shared" si="4"/>
        <v>118.7214612</v>
      </c>
      <c r="G68" s="5">
        <f t="shared" si="2"/>
        <v>0.00008012127938</v>
      </c>
      <c r="H68" s="5">
        <f t="shared" si="3"/>
        <v>0.00003506662191</v>
      </c>
    </row>
    <row r="69" ht="22.5" customHeight="1">
      <c r="A69" s="2" t="s">
        <v>75</v>
      </c>
      <c r="B69" s="4">
        <v>120.0</v>
      </c>
      <c r="C69" s="4">
        <v>120.0</v>
      </c>
      <c r="D69" s="4"/>
      <c r="E69" s="4">
        <v>10000.0</v>
      </c>
      <c r="F69" s="6">
        <f t="shared" si="4"/>
        <v>32.87671233</v>
      </c>
      <c r="G69" s="5">
        <f t="shared" si="2"/>
        <v>0.00007395810404</v>
      </c>
      <c r="H69" s="5">
        <f t="shared" si="3"/>
        <v>0.0001168887397</v>
      </c>
    </row>
    <row r="70" ht="22.5" customHeight="1">
      <c r="A70" s="2" t="s">
        <v>76</v>
      </c>
      <c r="B70" s="4">
        <v>120.0</v>
      </c>
      <c r="C70" s="4"/>
      <c r="D70" s="4"/>
      <c r="E70" s="4">
        <v>20000.0</v>
      </c>
      <c r="F70" s="6">
        <f t="shared" si="4"/>
        <v>16.43835616</v>
      </c>
      <c r="G70" s="5">
        <f t="shared" si="2"/>
        <v>0.00007395810404</v>
      </c>
      <c r="H70" s="5">
        <f t="shared" si="3"/>
        <v>0.0002337774794</v>
      </c>
      <c r="I70" s="15"/>
      <c r="J70" s="16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22.5" customHeight="1">
      <c r="A71" s="2" t="s">
        <v>77</v>
      </c>
      <c r="B71" s="4">
        <v>100.0</v>
      </c>
      <c r="C71" s="4"/>
      <c r="D71" s="6"/>
      <c r="E71" s="4">
        <v>200.0</v>
      </c>
      <c r="F71" s="6">
        <f t="shared" si="4"/>
        <v>1369.863014</v>
      </c>
      <c r="G71" s="5">
        <f t="shared" si="2"/>
        <v>0.00006163175337</v>
      </c>
      <c r="H71" s="5">
        <f t="shared" si="3"/>
        <v>0.000002337774794</v>
      </c>
      <c r="I71" s="15"/>
      <c r="J71" s="16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22.5" customHeight="1">
      <c r="A72" s="2" t="s">
        <v>78</v>
      </c>
      <c r="B72" s="4">
        <v>100.0</v>
      </c>
      <c r="C72" s="4"/>
      <c r="D72" s="6"/>
      <c r="E72" s="4">
        <v>12000.0</v>
      </c>
      <c r="F72" s="6">
        <f t="shared" si="4"/>
        <v>22.83105023</v>
      </c>
      <c r="G72" s="5">
        <f t="shared" si="2"/>
        <v>0.00006163175337</v>
      </c>
      <c r="H72" s="5">
        <f t="shared" si="3"/>
        <v>0.0001402664876</v>
      </c>
      <c r="I72" s="15"/>
      <c r="J72" s="16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22.5" customHeight="1">
      <c r="A73" s="17"/>
      <c r="B73" s="3">
        <f>SUM(Proven_reserves_in_Millions_of_barrels[GTU (Global Trade Union)])</f>
        <v>1622540</v>
      </c>
      <c r="C73" s="3">
        <f>SUM(Proven_reserves_in_Millions_of_barrels[MPU (Mahea Petroleum Union)])</f>
        <v>1574003</v>
      </c>
      <c r="D73" s="6">
        <f>SUM(Proven_reserves_in_Millions_of_barrels[Nisasa])</f>
        <v>1602350</v>
      </c>
      <c r="E73" s="3">
        <f>SUM(Proven_reserves_in_Millions_of_barrels[Oil Production in Barrels])</f>
        <v>85551440</v>
      </c>
      <c r="F73" s="6">
        <f t="shared" si="4"/>
        <v>51.96072759</v>
      </c>
      <c r="G73" s="18">
        <f>SUM(Proven_reserves_in_Millions_of_barrels[Share of Reservers])</f>
        <v>0.9999998511</v>
      </c>
      <c r="H73" s="18">
        <f>SUM(Proven_reserves_in_Millions_of_barrels[Share of Production])</f>
        <v>1</v>
      </c>
      <c r="J73" s="19"/>
    </row>
    <row r="74">
      <c r="A74" s="20" t="s">
        <v>79</v>
      </c>
      <c r="B74" s="21">
        <f>SUM(H2,H4,H8,H11,H12,H17,H26,H20,H68)</f>
        <v>0.4831479166</v>
      </c>
      <c r="C74" s="22"/>
      <c r="D74" s="23"/>
      <c r="E74" s="22"/>
      <c r="F74" s="23"/>
      <c r="G74" s="22"/>
      <c r="H74" s="22"/>
      <c r="J74" s="19"/>
    </row>
    <row r="75">
      <c r="A75" s="20"/>
      <c r="B75" s="22"/>
      <c r="C75" s="22"/>
      <c r="D75" s="23"/>
      <c r="E75" s="22"/>
      <c r="F75" s="23"/>
      <c r="G75" s="22"/>
      <c r="H75" s="22"/>
      <c r="J75" s="19"/>
    </row>
  </sheetData>
  <dataValidations>
    <dataValidation type="custom" allowBlank="1" showDropDown="1" sqref="G2:G72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0.0"/>
    <col customWidth="1" min="3" max="3" width="12.88"/>
    <col customWidth="1" min="4" max="4" width="9.5"/>
    <col customWidth="1" min="5" max="5" width="11.13"/>
    <col customWidth="1" min="6" max="6" width="18.88"/>
    <col customWidth="1" min="8" max="14" width="8.5"/>
  </cols>
  <sheetData>
    <row r="1" ht="22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80</v>
      </c>
      <c r="F1" s="24" t="s">
        <v>81</v>
      </c>
      <c r="H1" s="25" t="s">
        <v>82</v>
      </c>
      <c r="I1" s="26" t="s">
        <v>83</v>
      </c>
      <c r="J1" s="26" t="s">
        <v>28</v>
      </c>
      <c r="K1" s="26" t="s">
        <v>84</v>
      </c>
      <c r="L1" s="26" t="s">
        <v>85</v>
      </c>
      <c r="M1" s="26" t="s">
        <v>86</v>
      </c>
      <c r="N1" s="26" t="s">
        <v>63</v>
      </c>
    </row>
    <row r="2" ht="22.5" customHeight="1">
      <c r="A2" s="2" t="s">
        <v>73</v>
      </c>
      <c r="B2" s="2">
        <v>10.0</v>
      </c>
      <c r="C2" s="17"/>
      <c r="D2" s="27"/>
      <c r="E2" s="3">
        <v>0.009911</v>
      </c>
      <c r="F2" s="28">
        <f t="shared" ref="F2:F81" si="1">sum(B2/E2)</f>
        <v>1008.979921</v>
      </c>
      <c r="H2" s="25" t="s">
        <v>87</v>
      </c>
      <c r="I2" s="29">
        <v>34800.0</v>
      </c>
      <c r="J2" s="30">
        <v>25400.0</v>
      </c>
      <c r="K2" s="30">
        <v>25100.0</v>
      </c>
      <c r="L2" s="30">
        <v>10167.0</v>
      </c>
      <c r="M2" s="30">
        <v>10000.0</v>
      </c>
      <c r="N2" s="30">
        <v>9430.0</v>
      </c>
    </row>
    <row r="3" ht="22.5" customHeight="1">
      <c r="A3" s="2" t="s">
        <v>12</v>
      </c>
      <c r="B3" s="4">
        <v>1000.0</v>
      </c>
      <c r="C3" s="4">
        <v>2866.0</v>
      </c>
      <c r="D3" s="3">
        <v>1300.0</v>
      </c>
      <c r="E3" s="3">
        <v>69.0</v>
      </c>
      <c r="F3" s="28">
        <f t="shared" si="1"/>
        <v>14.49275362</v>
      </c>
      <c r="H3" s="25" t="s">
        <v>88</v>
      </c>
      <c r="I3" s="31">
        <v>36830.0</v>
      </c>
      <c r="J3" s="30">
        <v>25000.0</v>
      </c>
      <c r="K3" s="31">
        <v>25861.0</v>
      </c>
      <c r="L3" s="31">
        <v>15910.0</v>
      </c>
      <c r="M3" s="31">
        <v>9838.0</v>
      </c>
      <c r="N3" s="31">
        <v>9730.0</v>
      </c>
    </row>
    <row r="4" ht="22.5" customHeight="1">
      <c r="A4" s="2" t="s">
        <v>42</v>
      </c>
      <c r="B4" s="4">
        <v>62.0</v>
      </c>
      <c r="C4" s="4">
        <v>0.0</v>
      </c>
      <c r="D4" s="4"/>
      <c r="E4" s="3">
        <v>0.32</v>
      </c>
      <c r="F4" s="28">
        <f t="shared" si="1"/>
        <v>193.75</v>
      </c>
      <c r="H4" s="32" t="s">
        <v>3</v>
      </c>
      <c r="I4" s="30">
        <v>37400.0</v>
      </c>
      <c r="J4" s="30">
        <v>23750.0</v>
      </c>
      <c r="K4" s="30">
        <v>25100.0</v>
      </c>
      <c r="L4" s="31">
        <v>12600.0</v>
      </c>
      <c r="M4" s="31">
        <v>13600.0</v>
      </c>
      <c r="N4" s="31">
        <v>6000.0</v>
      </c>
    </row>
    <row r="5" ht="22.5" customHeight="1">
      <c r="A5" s="2" t="s">
        <v>20</v>
      </c>
      <c r="B5" s="4">
        <v>1800.0</v>
      </c>
      <c r="C5" s="4">
        <v>2221.0</v>
      </c>
      <c r="D5" s="4">
        <v>2100.0</v>
      </c>
      <c r="E5" s="3">
        <v>69.43</v>
      </c>
      <c r="F5" s="28">
        <f t="shared" si="1"/>
        <v>25.92539248</v>
      </c>
      <c r="H5" s="33"/>
      <c r="I5" s="33"/>
      <c r="J5" s="33"/>
      <c r="K5" s="33"/>
      <c r="L5" s="33"/>
      <c r="M5" s="33"/>
      <c r="N5" s="33"/>
    </row>
    <row r="6" ht="22.5" customHeight="1">
      <c r="A6" s="2" t="s">
        <v>89</v>
      </c>
      <c r="B6" s="4">
        <v>240.0</v>
      </c>
      <c r="C6" s="4">
        <v>300.0</v>
      </c>
      <c r="D6" s="4">
        <v>269.0</v>
      </c>
      <c r="E6" s="3">
        <v>4.2</v>
      </c>
      <c r="F6" s="28">
        <f t="shared" si="1"/>
        <v>57.14285714</v>
      </c>
      <c r="H6" s="33"/>
      <c r="I6" s="30"/>
      <c r="J6" s="31"/>
      <c r="K6" s="30"/>
      <c r="L6" s="33"/>
      <c r="M6" s="33"/>
      <c r="N6" s="33"/>
    </row>
    <row r="7" ht="22.5" customHeight="1">
      <c r="A7" s="2" t="s">
        <v>90</v>
      </c>
      <c r="B7" s="4">
        <v>130.0</v>
      </c>
      <c r="C7" s="4">
        <v>804.0</v>
      </c>
      <c r="D7" s="4">
        <v>130.0</v>
      </c>
      <c r="E7" s="3">
        <v>21.6</v>
      </c>
      <c r="F7" s="28">
        <f t="shared" si="1"/>
        <v>6.018518519</v>
      </c>
      <c r="H7" s="33"/>
      <c r="I7" s="30"/>
      <c r="J7" s="30"/>
      <c r="K7" s="30"/>
      <c r="L7" s="33"/>
      <c r="M7" s="33"/>
      <c r="N7" s="33"/>
    </row>
    <row r="8" ht="22.5" customHeight="1">
      <c r="A8" s="2" t="s">
        <v>91</v>
      </c>
      <c r="B8" s="4">
        <v>1800.0</v>
      </c>
      <c r="C8" s="4">
        <v>1780.0</v>
      </c>
      <c r="D8" s="4">
        <v>1700.0</v>
      </c>
      <c r="E8" s="3">
        <v>16.0</v>
      </c>
      <c r="F8" s="28">
        <f t="shared" si="1"/>
        <v>112.5</v>
      </c>
      <c r="H8" s="33"/>
      <c r="I8" s="30"/>
      <c r="J8" s="31"/>
      <c r="K8" s="30"/>
      <c r="L8" s="33"/>
      <c r="M8" s="33"/>
      <c r="N8" s="33"/>
    </row>
    <row r="9" ht="22.5" customHeight="1">
      <c r="A9" s="2" t="s">
        <v>48</v>
      </c>
      <c r="B9" s="4">
        <v>1200.0</v>
      </c>
      <c r="C9" s="4">
        <v>2909.0</v>
      </c>
      <c r="D9" s="4">
        <v>900.0</v>
      </c>
      <c r="E9" s="3">
        <v>70.99</v>
      </c>
      <c r="F9" s="28">
        <f t="shared" si="1"/>
        <v>16.90378927</v>
      </c>
      <c r="H9" s="33"/>
      <c r="I9" s="30"/>
      <c r="J9" s="31"/>
      <c r="K9" s="31"/>
      <c r="L9" s="33"/>
      <c r="M9" s="33"/>
      <c r="N9" s="33"/>
    </row>
    <row r="10" ht="22.5" customHeight="1">
      <c r="A10" s="2" t="s">
        <v>72</v>
      </c>
      <c r="B10" s="4">
        <v>1100.0</v>
      </c>
      <c r="C10" s="4">
        <v>304.0</v>
      </c>
      <c r="D10" s="4">
        <v>1100.0</v>
      </c>
      <c r="E10" s="3">
        <v>18.9</v>
      </c>
      <c r="F10" s="28">
        <f t="shared" si="1"/>
        <v>58.2010582</v>
      </c>
      <c r="H10" s="33"/>
      <c r="I10" s="30"/>
      <c r="J10" s="31"/>
      <c r="K10" s="31"/>
      <c r="L10" s="33"/>
      <c r="M10" s="33"/>
      <c r="N10" s="33"/>
    </row>
    <row r="11" ht="22.5" customHeight="1">
      <c r="A11" s="2" t="s">
        <v>92</v>
      </c>
      <c r="B11" s="2">
        <v>10.0</v>
      </c>
      <c r="C11" s="2">
        <v>54.0</v>
      </c>
      <c r="D11" s="27"/>
      <c r="E11" s="3">
        <v>0.0109</v>
      </c>
      <c r="F11" s="28">
        <f t="shared" si="1"/>
        <v>917.4311927</v>
      </c>
      <c r="H11" s="33"/>
      <c r="J11" s="31"/>
      <c r="K11" s="31"/>
      <c r="L11" s="33"/>
      <c r="M11" s="33"/>
      <c r="N11" s="33"/>
    </row>
    <row r="12" ht="22.5" customHeight="1">
      <c r="A12" s="2" t="s">
        <v>13</v>
      </c>
      <c r="B12" s="4">
        <v>1800.0</v>
      </c>
      <c r="C12" s="4">
        <v>1564.0</v>
      </c>
      <c r="D12" s="4">
        <v>800.0</v>
      </c>
      <c r="E12" s="3">
        <v>49.7</v>
      </c>
      <c r="F12" s="28">
        <f t="shared" si="1"/>
        <v>36.21730382</v>
      </c>
      <c r="H12" s="33"/>
      <c r="I12" s="33"/>
      <c r="J12" s="33"/>
      <c r="K12" s="33"/>
      <c r="L12" s="33"/>
      <c r="M12" s="33"/>
      <c r="N12" s="33"/>
    </row>
    <row r="13" ht="22.5" customHeight="1">
      <c r="A13" s="2" t="s">
        <v>93</v>
      </c>
      <c r="B13" s="2">
        <v>10.0</v>
      </c>
      <c r="C13" s="17"/>
      <c r="D13" s="27"/>
      <c r="E13" s="3">
        <v>0.01416</v>
      </c>
      <c r="F13" s="28">
        <f t="shared" si="1"/>
        <v>706.2146893</v>
      </c>
      <c r="H13" s="33"/>
      <c r="I13" s="33"/>
      <c r="J13" s="33"/>
      <c r="K13" s="33"/>
      <c r="L13" s="33"/>
      <c r="M13" s="33"/>
      <c r="N13" s="33"/>
    </row>
    <row r="14" ht="22.5" customHeight="1">
      <c r="A14" s="2" t="s">
        <v>25</v>
      </c>
      <c r="B14" s="4">
        <v>51.0</v>
      </c>
      <c r="C14" s="4">
        <v>0.0</v>
      </c>
      <c r="D14" s="4"/>
      <c r="E14" s="3">
        <v>0.4</v>
      </c>
      <c r="F14" s="28">
        <f t="shared" si="1"/>
        <v>127.5</v>
      </c>
      <c r="H14" s="33"/>
      <c r="I14" s="33"/>
      <c r="J14" s="33"/>
      <c r="K14" s="33"/>
      <c r="L14" s="33"/>
      <c r="M14" s="33"/>
      <c r="N14" s="33"/>
    </row>
    <row r="15" ht="22.5" customHeight="1">
      <c r="A15" s="2" t="s">
        <v>94</v>
      </c>
      <c r="B15" s="4">
        <v>710.0</v>
      </c>
      <c r="C15" s="4">
        <v>0.0</v>
      </c>
      <c r="D15" s="4"/>
      <c r="E15" s="3">
        <v>7.0</v>
      </c>
      <c r="F15" s="28">
        <f t="shared" si="1"/>
        <v>101.4285714</v>
      </c>
      <c r="H15" s="33"/>
      <c r="I15" s="33"/>
      <c r="J15" s="33"/>
      <c r="K15" s="33"/>
      <c r="L15" s="33"/>
      <c r="M15" s="33"/>
      <c r="N15" s="33"/>
    </row>
    <row r="16" ht="22.5" customHeight="1">
      <c r="A16" s="10" t="s">
        <v>28</v>
      </c>
      <c r="B16" s="3">
        <v>25400.0</v>
      </c>
      <c r="C16" s="3">
        <v>25000.0</v>
      </c>
      <c r="D16" s="3">
        <v>23750.0</v>
      </c>
      <c r="E16" s="3">
        <v>256.0</v>
      </c>
      <c r="F16" s="28">
        <f t="shared" si="1"/>
        <v>99.21875</v>
      </c>
      <c r="H16" s="33"/>
      <c r="I16" s="33"/>
      <c r="J16" s="33"/>
      <c r="K16" s="33"/>
      <c r="L16" s="33"/>
      <c r="M16" s="33"/>
      <c r="N16" s="33"/>
    </row>
    <row r="17" ht="22.5" customHeight="1">
      <c r="A17" s="2" t="s">
        <v>95</v>
      </c>
      <c r="B17" s="4">
        <v>180.0</v>
      </c>
      <c r="C17" s="4">
        <v>269.0</v>
      </c>
      <c r="D17" s="4">
        <v>187.0</v>
      </c>
      <c r="E17" s="3">
        <v>32.48</v>
      </c>
      <c r="F17" s="28">
        <f t="shared" si="1"/>
        <v>5.541871921</v>
      </c>
      <c r="H17" s="33"/>
      <c r="I17" s="33"/>
      <c r="J17" s="33"/>
      <c r="K17" s="33"/>
      <c r="L17" s="33"/>
      <c r="M17" s="33"/>
      <c r="N17" s="33"/>
    </row>
    <row r="18" ht="22.5" customHeight="1">
      <c r="A18" s="2" t="s">
        <v>40</v>
      </c>
      <c r="B18" s="4">
        <v>2100.0</v>
      </c>
      <c r="C18" s="9">
        <v>2059.0</v>
      </c>
      <c r="D18" s="9">
        <v>2400.0</v>
      </c>
      <c r="E18" s="3">
        <v>175.0</v>
      </c>
      <c r="F18" s="28">
        <f t="shared" si="1"/>
        <v>12</v>
      </c>
      <c r="H18" s="33"/>
      <c r="I18" s="33"/>
      <c r="J18" s="33"/>
      <c r="K18" s="33"/>
      <c r="L18" s="33"/>
      <c r="M18" s="33"/>
      <c r="N18" s="33"/>
    </row>
    <row r="19" ht="22.5" customHeight="1">
      <c r="A19" s="2" t="s">
        <v>96</v>
      </c>
      <c r="B19" s="2">
        <v>30.0</v>
      </c>
      <c r="C19" s="17"/>
      <c r="D19" s="27"/>
      <c r="E19" s="3">
        <v>0.02832</v>
      </c>
      <c r="F19" s="28">
        <f t="shared" si="1"/>
        <v>1059.322034</v>
      </c>
      <c r="H19" s="33"/>
      <c r="I19" s="33"/>
      <c r="J19" s="33"/>
      <c r="K19" s="33"/>
      <c r="L19" s="33"/>
      <c r="M19" s="33"/>
      <c r="N19" s="33"/>
    </row>
    <row r="20" ht="22.5" customHeight="1">
      <c r="A20" s="10" t="s">
        <v>63</v>
      </c>
      <c r="B20" s="3">
        <v>9430.0</v>
      </c>
      <c r="C20" s="4">
        <v>9730.0</v>
      </c>
      <c r="D20" s="4">
        <v>6000.0</v>
      </c>
      <c r="E20" s="3">
        <v>115.6</v>
      </c>
      <c r="F20" s="28">
        <f t="shared" si="1"/>
        <v>81.57439446</v>
      </c>
      <c r="H20" s="33"/>
      <c r="I20" s="33"/>
      <c r="J20" s="33"/>
      <c r="K20" s="33"/>
      <c r="L20" s="33"/>
      <c r="M20" s="33"/>
      <c r="N20" s="33"/>
    </row>
    <row r="21" ht="22.5" customHeight="1">
      <c r="A21" s="10" t="s">
        <v>84</v>
      </c>
      <c r="B21" s="3">
        <v>25100.0</v>
      </c>
      <c r="C21" s="4">
        <v>25861.0</v>
      </c>
      <c r="D21" s="3">
        <v>25100.0</v>
      </c>
      <c r="E21" s="4">
        <v>169.0</v>
      </c>
      <c r="F21" s="28">
        <f t="shared" si="1"/>
        <v>148.5207101</v>
      </c>
      <c r="H21" s="33"/>
      <c r="I21" s="33"/>
      <c r="J21" s="33"/>
      <c r="K21" s="33"/>
      <c r="L21" s="33"/>
      <c r="M21" s="33"/>
      <c r="N21" s="33"/>
    </row>
    <row r="22" ht="22.5" customHeight="1">
      <c r="A22" s="2" t="s">
        <v>97</v>
      </c>
      <c r="B22" s="4">
        <v>2000.0</v>
      </c>
      <c r="C22" s="4">
        <v>1227.0</v>
      </c>
      <c r="D22" s="4">
        <v>2500.0</v>
      </c>
      <c r="E22" s="3">
        <v>31.38</v>
      </c>
      <c r="F22" s="28">
        <f t="shared" si="1"/>
        <v>63.73486297</v>
      </c>
      <c r="H22" s="33"/>
      <c r="I22" s="33"/>
      <c r="J22" s="33"/>
      <c r="K22" s="33"/>
      <c r="L22" s="33"/>
      <c r="M22" s="33"/>
      <c r="N22" s="33"/>
    </row>
    <row r="23" ht="22.5" customHeight="1">
      <c r="A23" s="2" t="s">
        <v>98</v>
      </c>
      <c r="B23" s="4">
        <v>30.0</v>
      </c>
      <c r="C23" s="4">
        <v>73.89999999999999</v>
      </c>
      <c r="D23" s="3">
        <v>100.0</v>
      </c>
      <c r="E23" s="3">
        <v>1.9</v>
      </c>
      <c r="F23" s="28">
        <f t="shared" si="1"/>
        <v>15.78947368</v>
      </c>
      <c r="H23" s="33"/>
      <c r="I23" s="33"/>
      <c r="J23" s="33"/>
      <c r="K23" s="33"/>
      <c r="L23" s="33"/>
      <c r="M23" s="33"/>
      <c r="N23" s="33"/>
    </row>
    <row r="24" ht="22.5" customHeight="1">
      <c r="A24" s="2" t="s">
        <v>99</v>
      </c>
      <c r="B24" s="4">
        <v>99.0</v>
      </c>
      <c r="C24" s="4">
        <v>5.3</v>
      </c>
      <c r="D24" s="4"/>
      <c r="E24" s="3">
        <v>1.3</v>
      </c>
      <c r="F24" s="28">
        <f t="shared" si="1"/>
        <v>76.15384615</v>
      </c>
      <c r="H24" s="33"/>
      <c r="I24" s="33"/>
      <c r="J24" s="33"/>
      <c r="K24" s="33"/>
      <c r="L24" s="33"/>
      <c r="M24" s="33"/>
      <c r="N24" s="33"/>
    </row>
    <row r="25" ht="22.5" customHeight="1">
      <c r="A25" s="2" t="s">
        <v>55</v>
      </c>
      <c r="B25" s="4">
        <v>487.0</v>
      </c>
      <c r="C25" s="4">
        <v>381.0</v>
      </c>
      <c r="D25" s="4">
        <v>400.0</v>
      </c>
      <c r="E25" s="3">
        <v>41.0</v>
      </c>
      <c r="F25" s="28">
        <f t="shared" si="1"/>
        <v>11.87804878</v>
      </c>
      <c r="H25" s="33"/>
      <c r="I25" s="33"/>
      <c r="J25" s="33"/>
      <c r="K25" s="33"/>
      <c r="L25" s="33"/>
      <c r="M25" s="33"/>
      <c r="N25" s="33"/>
    </row>
    <row r="26" ht="22.5" customHeight="1">
      <c r="A26" s="2" t="s">
        <v>11</v>
      </c>
      <c r="B26" s="4">
        <v>6000.0</v>
      </c>
      <c r="C26" s="4">
        <v>5510.0</v>
      </c>
      <c r="D26" s="4">
        <v>6300.0</v>
      </c>
      <c r="E26" s="3">
        <v>21.0</v>
      </c>
      <c r="F26" s="28">
        <f t="shared" si="1"/>
        <v>285.7142857</v>
      </c>
      <c r="H26" s="33"/>
      <c r="I26" s="33"/>
      <c r="J26" s="33"/>
      <c r="K26" s="33"/>
      <c r="L26" s="33"/>
      <c r="M26" s="33"/>
      <c r="N26" s="33"/>
    </row>
    <row r="27" ht="22.5" customHeight="1">
      <c r="A27" s="2" t="s">
        <v>100</v>
      </c>
      <c r="B27" s="4">
        <v>453.0</v>
      </c>
      <c r="C27" s="4">
        <v>0.0</v>
      </c>
      <c r="D27" s="4"/>
      <c r="E27" s="3">
        <v>2.0</v>
      </c>
      <c r="F27" s="28">
        <f t="shared" si="1"/>
        <v>226.5</v>
      </c>
      <c r="H27" s="33"/>
      <c r="I27" s="33"/>
      <c r="J27" s="33"/>
      <c r="K27" s="33"/>
      <c r="L27" s="33"/>
      <c r="M27" s="33"/>
      <c r="N27" s="33"/>
    </row>
    <row r="28" ht="22.5" customHeight="1">
      <c r="A28" s="10" t="s">
        <v>43</v>
      </c>
      <c r="B28" s="4">
        <v>82.0</v>
      </c>
      <c r="C28" s="4">
        <v>0.0</v>
      </c>
      <c r="D28" s="4">
        <v>64.8</v>
      </c>
      <c r="E28" s="3">
        <v>18.0</v>
      </c>
      <c r="F28" s="28">
        <f t="shared" si="1"/>
        <v>4.555555556</v>
      </c>
      <c r="H28" s="33"/>
      <c r="I28" s="33"/>
      <c r="J28" s="33"/>
      <c r="K28" s="33"/>
      <c r="L28" s="33"/>
      <c r="M28" s="33"/>
      <c r="N28" s="33"/>
    </row>
    <row r="29" ht="22.5" customHeight="1">
      <c r="A29" s="2" t="s">
        <v>101</v>
      </c>
      <c r="B29" s="2">
        <v>20.0</v>
      </c>
      <c r="C29" s="17"/>
      <c r="D29" s="27"/>
      <c r="E29" s="3">
        <v>0.0209</v>
      </c>
      <c r="F29" s="28">
        <f t="shared" si="1"/>
        <v>956.937799</v>
      </c>
      <c r="H29" s="33"/>
      <c r="I29" s="33"/>
      <c r="J29" s="33"/>
      <c r="K29" s="33"/>
      <c r="L29" s="33"/>
      <c r="M29" s="33"/>
      <c r="N29" s="33"/>
    </row>
    <row r="30" ht="22.5" customHeight="1">
      <c r="A30" s="2" t="s">
        <v>21</v>
      </c>
      <c r="B30" s="4">
        <v>1400.0</v>
      </c>
      <c r="C30" s="4">
        <v>1150.0</v>
      </c>
      <c r="D30" s="4">
        <v>1300.0</v>
      </c>
      <c r="E30" s="3">
        <v>32.3</v>
      </c>
      <c r="F30" s="28">
        <f t="shared" si="1"/>
        <v>43.34365325</v>
      </c>
      <c r="H30" s="33"/>
      <c r="I30" s="33"/>
      <c r="J30" s="33"/>
      <c r="K30" s="33"/>
      <c r="L30" s="33"/>
      <c r="M30" s="33"/>
      <c r="N30" s="33"/>
    </row>
    <row r="31" ht="22.5" customHeight="1">
      <c r="A31" s="2" t="s">
        <v>102</v>
      </c>
      <c r="B31" s="2">
        <v>30.0</v>
      </c>
      <c r="C31" s="17"/>
      <c r="D31" s="27"/>
      <c r="E31" s="3">
        <v>0.02492</v>
      </c>
      <c r="F31" s="28">
        <f t="shared" si="1"/>
        <v>1203.852327</v>
      </c>
      <c r="H31" s="33"/>
      <c r="I31" s="33"/>
      <c r="J31" s="33"/>
      <c r="K31" s="33"/>
      <c r="L31" s="33"/>
      <c r="M31" s="33"/>
      <c r="N31" s="33"/>
    </row>
    <row r="32" ht="22.5" customHeight="1">
      <c r="A32" s="2" t="s">
        <v>50</v>
      </c>
      <c r="B32" s="4">
        <v>340.0</v>
      </c>
      <c r="C32" s="4">
        <v>422.0</v>
      </c>
      <c r="D32" s="4"/>
      <c r="E32" s="3">
        <v>5.86</v>
      </c>
      <c r="F32" s="28">
        <f t="shared" si="1"/>
        <v>58.02047782</v>
      </c>
      <c r="H32" s="33"/>
      <c r="I32" s="33"/>
      <c r="J32" s="33"/>
      <c r="K32" s="33"/>
      <c r="L32" s="33"/>
      <c r="M32" s="33"/>
      <c r="N32" s="33"/>
    </row>
    <row r="33" ht="22.5" customHeight="1">
      <c r="A33" s="2" t="s">
        <v>103</v>
      </c>
      <c r="B33" s="4">
        <v>91.0</v>
      </c>
      <c r="C33" s="4">
        <v>56.300000000000004</v>
      </c>
      <c r="D33" s="4">
        <v>72.2</v>
      </c>
      <c r="E33" s="3">
        <v>5.64</v>
      </c>
      <c r="F33" s="28">
        <f t="shared" si="1"/>
        <v>16.13475177</v>
      </c>
      <c r="H33" s="33"/>
      <c r="I33" s="33"/>
      <c r="J33" s="33"/>
      <c r="K33" s="33"/>
      <c r="L33" s="33"/>
      <c r="M33" s="33"/>
      <c r="N33" s="33"/>
    </row>
    <row r="34" ht="22.5" customHeight="1">
      <c r="A34" s="2" t="s">
        <v>37</v>
      </c>
      <c r="B34" s="2">
        <v>20.0</v>
      </c>
      <c r="C34" s="17"/>
      <c r="D34" s="27"/>
      <c r="E34" s="3">
        <v>0.02265</v>
      </c>
      <c r="F34" s="28">
        <f t="shared" si="1"/>
        <v>883.0022075</v>
      </c>
      <c r="H34" s="33"/>
      <c r="I34" s="33"/>
      <c r="J34" s="33"/>
      <c r="K34" s="33"/>
      <c r="L34" s="33"/>
      <c r="M34" s="33"/>
      <c r="N34" s="33"/>
    </row>
    <row r="35" ht="22.5" customHeight="1">
      <c r="A35" s="2" t="s">
        <v>104</v>
      </c>
      <c r="B35" s="4">
        <v>710.0</v>
      </c>
      <c r="C35" s="4">
        <v>203.0</v>
      </c>
      <c r="D35" s="4">
        <v>600.0</v>
      </c>
      <c r="E35" s="3">
        <v>7.02</v>
      </c>
      <c r="F35" s="28">
        <f t="shared" si="1"/>
        <v>101.1396011</v>
      </c>
      <c r="H35" s="33"/>
      <c r="I35" s="33"/>
      <c r="J35" s="33"/>
      <c r="K35" s="33"/>
      <c r="L35" s="33"/>
      <c r="M35" s="33"/>
      <c r="N35" s="33"/>
    </row>
    <row r="36" ht="22.5" customHeight="1">
      <c r="A36" s="2" t="s">
        <v>66</v>
      </c>
      <c r="B36" s="4">
        <v>100.0</v>
      </c>
      <c r="C36" s="4">
        <v>105.0</v>
      </c>
      <c r="D36" s="4">
        <v>78.0</v>
      </c>
      <c r="E36" s="3">
        <v>8.7</v>
      </c>
      <c r="F36" s="28">
        <f t="shared" si="1"/>
        <v>11.49425287</v>
      </c>
      <c r="H36" s="33"/>
      <c r="I36" s="33"/>
      <c r="J36" s="33"/>
      <c r="K36" s="33"/>
      <c r="L36" s="33"/>
      <c r="M36" s="33"/>
      <c r="N36" s="33"/>
    </row>
    <row r="37" ht="22.5" customHeight="1">
      <c r="A37" s="10" t="s">
        <v>105</v>
      </c>
      <c r="B37" s="4">
        <v>260.0</v>
      </c>
      <c r="C37" s="4">
        <v>252.0</v>
      </c>
      <c r="D37" s="3">
        <v>222.0</v>
      </c>
      <c r="E37" s="3">
        <v>11.4</v>
      </c>
      <c r="F37" s="28">
        <f t="shared" si="1"/>
        <v>22.80701754</v>
      </c>
      <c r="H37" s="33"/>
      <c r="I37" s="33"/>
      <c r="J37" s="33"/>
      <c r="K37" s="33"/>
      <c r="L37" s="33"/>
      <c r="M37" s="33"/>
      <c r="N37" s="33"/>
    </row>
    <row r="38" ht="22.5" customHeight="1">
      <c r="A38" s="10" t="s">
        <v>46</v>
      </c>
      <c r="B38" s="4">
        <v>3230.0</v>
      </c>
      <c r="C38" s="4">
        <v>3173.0</v>
      </c>
      <c r="D38" s="4">
        <v>2400.0</v>
      </c>
      <c r="E38" s="3">
        <v>147.1</v>
      </c>
      <c r="F38" s="28">
        <f t="shared" si="1"/>
        <v>21.9578518</v>
      </c>
      <c r="G38" s="15"/>
      <c r="H38" s="34"/>
      <c r="I38" s="34"/>
      <c r="J38" s="34"/>
      <c r="K38" s="34"/>
      <c r="L38" s="34"/>
      <c r="M38" s="34"/>
      <c r="N38" s="34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2.5" customHeight="1">
      <c r="A39" s="2" t="s">
        <v>106</v>
      </c>
      <c r="B39" s="4">
        <v>310.0</v>
      </c>
      <c r="C39" s="4">
        <v>310.0</v>
      </c>
      <c r="D39" s="4">
        <v>213.0</v>
      </c>
      <c r="E39" s="3">
        <v>15.5</v>
      </c>
      <c r="F39" s="28">
        <f t="shared" si="1"/>
        <v>20</v>
      </c>
      <c r="H39" s="33"/>
      <c r="I39" s="33"/>
      <c r="J39" s="33"/>
      <c r="K39" s="33"/>
      <c r="L39" s="33"/>
      <c r="M39" s="33"/>
      <c r="N39" s="33"/>
    </row>
    <row r="40" ht="22.5" customHeight="1">
      <c r="A40" s="2" t="s">
        <v>107</v>
      </c>
      <c r="B40" s="4">
        <v>650.0</v>
      </c>
      <c r="C40" s="4">
        <v>273.0</v>
      </c>
      <c r="D40" s="4">
        <v>400.0</v>
      </c>
      <c r="E40" s="3">
        <v>17.0</v>
      </c>
      <c r="F40" s="28">
        <f t="shared" si="1"/>
        <v>38.23529412</v>
      </c>
      <c r="H40" s="33"/>
      <c r="I40" s="33"/>
      <c r="J40" s="33"/>
      <c r="K40" s="33"/>
      <c r="L40" s="33"/>
      <c r="M40" s="33"/>
      <c r="N40" s="33"/>
    </row>
    <row r="41" ht="22.5" customHeight="1">
      <c r="A41" s="2" t="s">
        <v>108</v>
      </c>
      <c r="B41" s="2">
        <v>20.0</v>
      </c>
      <c r="C41" s="2">
        <v>39.0</v>
      </c>
      <c r="D41" s="2">
        <v>100.0</v>
      </c>
      <c r="E41" s="3">
        <v>0.0395</v>
      </c>
      <c r="F41" s="28">
        <f t="shared" si="1"/>
        <v>506.3291139</v>
      </c>
      <c r="H41" s="33"/>
      <c r="I41" s="33"/>
      <c r="J41" s="33"/>
      <c r="K41" s="33"/>
      <c r="L41" s="33"/>
      <c r="M41" s="33"/>
      <c r="N41" s="33"/>
    </row>
    <row r="42" ht="22.5" customHeight="1">
      <c r="A42" s="2" t="s">
        <v>109</v>
      </c>
      <c r="B42" s="4">
        <v>3000.0</v>
      </c>
      <c r="C42" s="4">
        <v>0.0</v>
      </c>
      <c r="D42" s="4"/>
      <c r="E42" s="3">
        <v>5.35</v>
      </c>
      <c r="F42" s="28">
        <f t="shared" si="1"/>
        <v>560.7476636</v>
      </c>
      <c r="H42" s="33"/>
      <c r="I42" s="33"/>
      <c r="J42" s="33"/>
      <c r="K42" s="33"/>
      <c r="L42" s="33"/>
      <c r="M42" s="33"/>
      <c r="N42" s="33"/>
    </row>
    <row r="43" ht="22.5" customHeight="1">
      <c r="A43" s="2" t="s">
        <v>49</v>
      </c>
      <c r="B43" s="4">
        <v>2400.0</v>
      </c>
      <c r="C43" s="4">
        <v>1898.0</v>
      </c>
      <c r="D43" s="4">
        <v>2300.0</v>
      </c>
      <c r="E43" s="3">
        <v>27.0</v>
      </c>
      <c r="F43" s="28">
        <f t="shared" si="1"/>
        <v>88.88888889</v>
      </c>
      <c r="H43" s="33"/>
      <c r="I43" s="33"/>
      <c r="J43" s="33"/>
      <c r="K43" s="33"/>
      <c r="L43" s="33"/>
      <c r="M43" s="33"/>
      <c r="N43" s="33"/>
    </row>
    <row r="44" ht="22.5" customHeight="1">
      <c r="A44" s="2" t="s">
        <v>29</v>
      </c>
      <c r="B44" s="4">
        <v>310.0</v>
      </c>
      <c r="C44" s="4">
        <v>513.0</v>
      </c>
      <c r="D44" s="4">
        <v>261.0</v>
      </c>
      <c r="E44" s="3">
        <v>11.0</v>
      </c>
      <c r="F44" s="28">
        <f t="shared" si="1"/>
        <v>28.18181818</v>
      </c>
      <c r="H44" s="33"/>
      <c r="I44" s="33"/>
      <c r="J44" s="33"/>
      <c r="K44" s="33"/>
      <c r="L44" s="33"/>
      <c r="M44" s="33"/>
      <c r="N44" s="33"/>
    </row>
    <row r="45" ht="22.5" customHeight="1">
      <c r="A45" s="2" t="s">
        <v>110</v>
      </c>
      <c r="B45" s="4">
        <v>1500.0</v>
      </c>
      <c r="C45" s="4">
        <v>730.0</v>
      </c>
      <c r="D45" s="4">
        <v>1400.0</v>
      </c>
      <c r="E45" s="3">
        <v>13.0</v>
      </c>
      <c r="F45" s="28">
        <f t="shared" si="1"/>
        <v>115.3846154</v>
      </c>
      <c r="H45" s="33"/>
      <c r="I45" s="33"/>
      <c r="J45" s="33"/>
      <c r="K45" s="33"/>
      <c r="L45" s="33"/>
      <c r="M45" s="33"/>
      <c r="N45" s="33"/>
    </row>
    <row r="46" ht="22.5" customHeight="1">
      <c r="A46" s="10" t="s">
        <v>111</v>
      </c>
      <c r="B46" s="4">
        <v>32.0</v>
      </c>
      <c r="C46" s="4">
        <v>0.0</v>
      </c>
      <c r="D46" s="4"/>
      <c r="E46" s="3">
        <v>1.21</v>
      </c>
      <c r="F46" s="28">
        <f t="shared" si="1"/>
        <v>26.44628099</v>
      </c>
      <c r="H46" s="33"/>
      <c r="I46" s="33"/>
      <c r="J46" s="33"/>
      <c r="K46" s="33"/>
      <c r="L46" s="33"/>
      <c r="M46" s="33"/>
      <c r="N46" s="33"/>
    </row>
    <row r="47" ht="22.5" customHeight="1">
      <c r="A47" s="10" t="s">
        <v>30</v>
      </c>
      <c r="B47" s="4">
        <v>300.0</v>
      </c>
      <c r="C47" s="4">
        <v>280.0</v>
      </c>
      <c r="D47" s="4"/>
      <c r="E47" s="3">
        <v>1.3</v>
      </c>
      <c r="F47" s="28">
        <f t="shared" si="1"/>
        <v>230.7692308</v>
      </c>
      <c r="H47" s="33"/>
      <c r="I47" s="33"/>
      <c r="J47" s="33"/>
      <c r="K47" s="33"/>
      <c r="L47" s="33"/>
      <c r="M47" s="33"/>
      <c r="N47" s="33"/>
    </row>
    <row r="48" ht="22.5" customHeight="1">
      <c r="A48" s="10" t="s">
        <v>85</v>
      </c>
      <c r="B48" s="3">
        <v>10167.0</v>
      </c>
      <c r="C48" s="4">
        <v>15910.0</v>
      </c>
      <c r="D48" s="4">
        <v>12600.0</v>
      </c>
      <c r="E48" s="3">
        <v>977.44</v>
      </c>
      <c r="F48" s="28">
        <f t="shared" si="1"/>
        <v>10.40166148</v>
      </c>
      <c r="G48" s="15"/>
      <c r="H48" s="34"/>
      <c r="I48" s="34"/>
      <c r="J48" s="34"/>
      <c r="K48" s="34"/>
      <c r="L48" s="34"/>
      <c r="M48" s="34"/>
      <c r="N48" s="34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2.5" customHeight="1">
      <c r="A49" s="2" t="s">
        <v>33</v>
      </c>
      <c r="B49" s="4">
        <v>590.0</v>
      </c>
      <c r="C49" s="4">
        <v>757.0</v>
      </c>
      <c r="D49" s="4">
        <v>400.0</v>
      </c>
      <c r="E49" s="3">
        <v>29.0</v>
      </c>
      <c r="F49" s="28">
        <f t="shared" si="1"/>
        <v>20.34482759</v>
      </c>
      <c r="H49" s="33"/>
      <c r="I49" s="33"/>
      <c r="J49" s="33"/>
      <c r="K49" s="33"/>
      <c r="L49" s="33"/>
      <c r="M49" s="33"/>
      <c r="N49" s="33"/>
    </row>
    <row r="50" ht="22.5" customHeight="1">
      <c r="A50" s="2" t="s">
        <v>41</v>
      </c>
      <c r="B50" s="4">
        <v>310.0</v>
      </c>
      <c r="C50" s="4">
        <v>433.0</v>
      </c>
      <c r="D50" s="3">
        <v>290.0</v>
      </c>
      <c r="E50" s="3">
        <v>25.7</v>
      </c>
      <c r="F50" s="28">
        <f t="shared" si="1"/>
        <v>12.06225681</v>
      </c>
      <c r="H50" s="33"/>
      <c r="I50" s="33"/>
      <c r="J50" s="33"/>
      <c r="K50" s="33"/>
      <c r="L50" s="33"/>
      <c r="M50" s="33"/>
      <c r="N50" s="33"/>
    </row>
    <row r="51" ht="22.5" customHeight="1">
      <c r="A51" s="2" t="s">
        <v>65</v>
      </c>
      <c r="B51" s="4">
        <v>45.0</v>
      </c>
      <c r="C51" s="4">
        <v>27.099999999999998</v>
      </c>
      <c r="D51" s="4">
        <v>100.0</v>
      </c>
      <c r="E51" s="3">
        <v>3.2</v>
      </c>
      <c r="F51" s="28">
        <f t="shared" si="1"/>
        <v>14.0625</v>
      </c>
      <c r="H51" s="33"/>
      <c r="I51" s="33"/>
      <c r="J51" s="33"/>
      <c r="K51" s="33"/>
      <c r="L51" s="33"/>
      <c r="M51" s="33"/>
      <c r="N51" s="33"/>
    </row>
    <row r="52" ht="22.5" customHeight="1">
      <c r="A52" s="10" t="s">
        <v>112</v>
      </c>
      <c r="B52" s="3">
        <v>6320.0</v>
      </c>
      <c r="C52" s="4">
        <v>8210.0</v>
      </c>
      <c r="D52" s="4">
        <v>5900.0</v>
      </c>
      <c r="E52" s="3">
        <v>55.0</v>
      </c>
      <c r="F52" s="28">
        <f t="shared" si="1"/>
        <v>114.9090909</v>
      </c>
      <c r="H52" s="33"/>
      <c r="I52" s="33"/>
      <c r="J52" s="33"/>
      <c r="K52" s="33"/>
      <c r="L52" s="33"/>
      <c r="M52" s="33"/>
      <c r="N52" s="33"/>
    </row>
    <row r="53" ht="22.5" customHeight="1">
      <c r="A53" s="2" t="s">
        <v>31</v>
      </c>
      <c r="B53" s="4">
        <v>80.0</v>
      </c>
      <c r="C53" s="4">
        <v>0.0</v>
      </c>
      <c r="D53" s="4"/>
      <c r="E53" s="3">
        <v>0.4</v>
      </c>
      <c r="F53" s="28">
        <f t="shared" si="1"/>
        <v>200</v>
      </c>
      <c r="H53" s="33"/>
      <c r="I53" s="33"/>
      <c r="J53" s="33"/>
      <c r="K53" s="33"/>
      <c r="L53" s="33"/>
      <c r="M53" s="33"/>
      <c r="N53" s="33"/>
    </row>
    <row r="54" ht="22.5" customHeight="1">
      <c r="A54" s="2" t="s">
        <v>32</v>
      </c>
      <c r="B54" s="4">
        <v>140.0</v>
      </c>
      <c r="C54" s="4">
        <v>40.0</v>
      </c>
      <c r="D54" s="4"/>
      <c r="E54" s="3">
        <v>6.8</v>
      </c>
      <c r="F54" s="28">
        <f t="shared" si="1"/>
        <v>20.58823529</v>
      </c>
      <c r="H54" s="33"/>
      <c r="I54" s="33"/>
      <c r="J54" s="33"/>
      <c r="K54" s="33"/>
      <c r="L54" s="33"/>
      <c r="M54" s="33"/>
      <c r="N54" s="33"/>
    </row>
    <row r="55" ht="22.5" customHeight="1">
      <c r="A55" s="10" t="s">
        <v>83</v>
      </c>
      <c r="B55" s="3">
        <v>34800.0</v>
      </c>
      <c r="C55" s="4">
        <v>36830.0</v>
      </c>
      <c r="D55" s="3">
        <v>37400.0</v>
      </c>
      <c r="E55" s="3">
        <v>733.0</v>
      </c>
      <c r="F55" s="28">
        <f t="shared" si="1"/>
        <v>47.47612551</v>
      </c>
      <c r="H55" s="33"/>
      <c r="I55" s="33"/>
      <c r="J55" s="33"/>
      <c r="K55" s="33"/>
      <c r="L55" s="33"/>
      <c r="M55" s="33"/>
      <c r="N55" s="33"/>
    </row>
    <row r="56" ht="22.5" customHeight="1">
      <c r="A56" s="2" t="s">
        <v>113</v>
      </c>
      <c r="B56" s="4">
        <v>71.0</v>
      </c>
      <c r="C56" s="4">
        <v>0.0</v>
      </c>
      <c r="D56" s="4"/>
      <c r="E56" s="3">
        <v>0.91</v>
      </c>
      <c r="F56" s="28">
        <f t="shared" si="1"/>
        <v>78.02197802</v>
      </c>
      <c r="H56" s="33"/>
      <c r="I56" s="33"/>
      <c r="J56" s="33"/>
      <c r="K56" s="33"/>
      <c r="L56" s="33"/>
      <c r="M56" s="33"/>
      <c r="N56" s="33"/>
    </row>
    <row r="57" ht="22.5" customHeight="1">
      <c r="A57" s="10" t="s">
        <v>114</v>
      </c>
      <c r="B57" s="4">
        <v>3740.0</v>
      </c>
      <c r="C57" s="4">
        <v>3710.0</v>
      </c>
      <c r="D57" s="4">
        <v>3500.0</v>
      </c>
      <c r="E57" s="3">
        <v>9.6</v>
      </c>
      <c r="F57" s="28">
        <f t="shared" si="1"/>
        <v>389.5833333</v>
      </c>
      <c r="H57" s="33"/>
      <c r="I57" s="33"/>
      <c r="J57" s="33"/>
      <c r="K57" s="33"/>
      <c r="L57" s="33"/>
      <c r="M57" s="33"/>
      <c r="N57" s="33"/>
    </row>
    <row r="58" ht="22.5" customHeight="1">
      <c r="A58" s="2" t="s">
        <v>64</v>
      </c>
      <c r="B58" s="2">
        <v>30.0</v>
      </c>
      <c r="C58" s="2">
        <v>30.0</v>
      </c>
      <c r="D58" s="27"/>
      <c r="E58" s="3">
        <v>0.02832</v>
      </c>
      <c r="F58" s="28">
        <f t="shared" si="1"/>
        <v>1059.322034</v>
      </c>
      <c r="H58" s="33"/>
      <c r="I58" s="33"/>
      <c r="J58" s="33"/>
      <c r="K58" s="33"/>
      <c r="L58" s="33"/>
      <c r="M58" s="33"/>
      <c r="N58" s="33"/>
    </row>
    <row r="59" ht="22.5" customHeight="1">
      <c r="A59" s="2" t="s">
        <v>115</v>
      </c>
      <c r="B59" s="4">
        <v>140.0</v>
      </c>
      <c r="C59" s="4">
        <v>180.0</v>
      </c>
      <c r="D59" s="4">
        <v>143.0</v>
      </c>
      <c r="E59" s="3">
        <v>33.0</v>
      </c>
      <c r="F59" s="28">
        <f t="shared" si="1"/>
        <v>4.242424242</v>
      </c>
      <c r="H59" s="33"/>
      <c r="I59" s="33"/>
      <c r="J59" s="33"/>
      <c r="K59" s="33"/>
      <c r="L59" s="33"/>
      <c r="M59" s="33"/>
      <c r="N59" s="33"/>
    </row>
    <row r="60" ht="22.5" customHeight="1">
      <c r="A60" s="2" t="s">
        <v>116</v>
      </c>
      <c r="B60" s="4">
        <v>31.0</v>
      </c>
      <c r="C60" s="4">
        <v>0.0</v>
      </c>
      <c r="D60" s="4"/>
      <c r="E60" s="3">
        <v>4.2</v>
      </c>
      <c r="F60" s="28">
        <f t="shared" si="1"/>
        <v>7.380952381</v>
      </c>
      <c r="H60" s="33"/>
      <c r="I60" s="33"/>
      <c r="J60" s="33"/>
      <c r="K60" s="33"/>
      <c r="L60" s="33"/>
      <c r="M60" s="33"/>
      <c r="N60" s="33"/>
    </row>
    <row r="61" ht="22.5" customHeight="1">
      <c r="A61" s="2" t="s">
        <v>117</v>
      </c>
      <c r="B61" s="4">
        <v>370.0</v>
      </c>
      <c r="C61" s="4">
        <v>325.0</v>
      </c>
      <c r="D61" s="4">
        <v>300.0</v>
      </c>
      <c r="E61" s="3">
        <v>23.8</v>
      </c>
      <c r="F61" s="28">
        <f t="shared" si="1"/>
        <v>15.54621849</v>
      </c>
      <c r="H61" s="33"/>
      <c r="I61" s="33"/>
      <c r="J61" s="33"/>
      <c r="K61" s="33"/>
      <c r="L61" s="33"/>
      <c r="M61" s="33"/>
      <c r="N61" s="33"/>
    </row>
    <row r="62" ht="22.5" customHeight="1">
      <c r="A62" s="2" t="s">
        <v>118</v>
      </c>
      <c r="B62" s="4">
        <v>180.0</v>
      </c>
      <c r="C62" s="4">
        <v>146.0</v>
      </c>
      <c r="D62" s="4">
        <v>178.0</v>
      </c>
      <c r="E62" s="3">
        <v>31.0</v>
      </c>
      <c r="F62" s="28">
        <f t="shared" si="1"/>
        <v>5.806451613</v>
      </c>
      <c r="H62" s="33"/>
      <c r="I62" s="33"/>
      <c r="J62" s="33"/>
      <c r="K62" s="33"/>
      <c r="L62" s="33"/>
      <c r="M62" s="33"/>
      <c r="N62" s="33"/>
    </row>
    <row r="63" ht="22.5" customHeight="1">
      <c r="A63" s="2" t="s">
        <v>119</v>
      </c>
      <c r="B63" s="4">
        <v>1600.0</v>
      </c>
      <c r="C63" s="4">
        <v>2314.0</v>
      </c>
      <c r="D63" s="4">
        <v>1400.0</v>
      </c>
      <c r="E63" s="3">
        <v>120.0</v>
      </c>
      <c r="F63" s="28">
        <f t="shared" si="1"/>
        <v>13.33333333</v>
      </c>
      <c r="H63" s="33"/>
      <c r="I63" s="33"/>
      <c r="J63" s="33"/>
      <c r="K63" s="33"/>
      <c r="L63" s="33"/>
      <c r="M63" s="33"/>
      <c r="N63" s="33"/>
    </row>
    <row r="64" ht="22.5" customHeight="1">
      <c r="A64" s="2" t="s">
        <v>120</v>
      </c>
      <c r="B64" s="4">
        <v>480.0</v>
      </c>
      <c r="C64" s="4">
        <v>0.0</v>
      </c>
      <c r="D64" s="4">
        <v>300.0</v>
      </c>
      <c r="E64" s="3">
        <v>1.6</v>
      </c>
      <c r="F64" s="28">
        <f t="shared" si="1"/>
        <v>300</v>
      </c>
      <c r="H64" s="33"/>
      <c r="I64" s="33"/>
      <c r="J64" s="33"/>
      <c r="K64" s="33"/>
      <c r="L64" s="33"/>
      <c r="M64" s="33"/>
      <c r="N64" s="33"/>
    </row>
    <row r="65" ht="22.5" customHeight="1">
      <c r="A65" s="10" t="s">
        <v>36</v>
      </c>
      <c r="B65" s="3">
        <v>4500.0</v>
      </c>
      <c r="C65" s="4">
        <v>4500.0</v>
      </c>
      <c r="D65" s="4">
        <v>2300.0</v>
      </c>
      <c r="E65" s="3">
        <v>105.0</v>
      </c>
      <c r="F65" s="28">
        <f t="shared" si="1"/>
        <v>42.85714286</v>
      </c>
      <c r="H65" s="33"/>
      <c r="I65" s="33"/>
      <c r="J65" s="33"/>
      <c r="K65" s="33"/>
      <c r="L65" s="33"/>
      <c r="M65" s="33"/>
      <c r="N65" s="33"/>
    </row>
    <row r="66" ht="22.5" customHeight="1">
      <c r="A66" s="2" t="s">
        <v>47</v>
      </c>
      <c r="B66" s="4">
        <v>4750.0</v>
      </c>
      <c r="C66" s="4">
        <v>5980.0</v>
      </c>
      <c r="D66" s="4">
        <v>5500.0</v>
      </c>
      <c r="E66" s="3">
        <v>44.4</v>
      </c>
      <c r="F66" s="28">
        <f t="shared" si="1"/>
        <v>106.981982</v>
      </c>
      <c r="H66" s="33"/>
      <c r="I66" s="33"/>
      <c r="J66" s="33"/>
      <c r="K66" s="33"/>
      <c r="L66" s="33"/>
      <c r="M66" s="33"/>
      <c r="N66" s="33"/>
    </row>
    <row r="67" ht="22.5" customHeight="1">
      <c r="A67" s="2" t="s">
        <v>121</v>
      </c>
      <c r="B67" s="2">
        <v>10.0</v>
      </c>
      <c r="C67" s="17"/>
      <c r="D67" s="27"/>
      <c r="E67" s="3">
        <v>0.01416</v>
      </c>
      <c r="F67" s="28">
        <f t="shared" si="1"/>
        <v>706.2146893</v>
      </c>
      <c r="H67" s="33"/>
      <c r="I67" s="33"/>
      <c r="J67" s="33"/>
      <c r="K67" s="33"/>
      <c r="L67" s="33"/>
      <c r="M67" s="33"/>
      <c r="N67" s="33"/>
    </row>
    <row r="68" ht="22.5" customHeight="1">
      <c r="A68" s="2" t="s">
        <v>75</v>
      </c>
      <c r="B68" s="4">
        <v>680.0</v>
      </c>
      <c r="C68" s="4">
        <v>0.0</v>
      </c>
      <c r="D68" s="4"/>
      <c r="E68" s="3">
        <v>3.0</v>
      </c>
      <c r="F68" s="28">
        <f t="shared" si="1"/>
        <v>226.6666667</v>
      </c>
      <c r="H68" s="33"/>
      <c r="I68" s="33"/>
      <c r="J68" s="33"/>
      <c r="K68" s="33"/>
      <c r="L68" s="33"/>
      <c r="M68" s="33"/>
      <c r="N68" s="33"/>
    </row>
    <row r="69" ht="22.5" customHeight="1">
      <c r="A69" s="10" t="s">
        <v>39</v>
      </c>
      <c r="B69" s="4">
        <v>88.0</v>
      </c>
      <c r="C69" s="4">
        <v>104.0</v>
      </c>
      <c r="D69" s="4">
        <v>86.0</v>
      </c>
      <c r="E69" s="3">
        <v>11.4</v>
      </c>
      <c r="F69" s="28">
        <f t="shared" si="1"/>
        <v>7.719298246</v>
      </c>
      <c r="G69" s="15"/>
      <c r="H69" s="35"/>
      <c r="I69" s="34"/>
      <c r="J69" s="34"/>
      <c r="K69" s="34"/>
      <c r="L69" s="34"/>
      <c r="M69" s="34"/>
      <c r="N69" s="34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2.5" customHeight="1">
      <c r="A70" s="2" t="s">
        <v>122</v>
      </c>
      <c r="B70" s="4">
        <v>60.0</v>
      </c>
      <c r="C70" s="4">
        <v>0.0</v>
      </c>
      <c r="D70" s="4"/>
      <c r="E70" s="3">
        <v>0.06</v>
      </c>
      <c r="F70" s="28">
        <f t="shared" si="1"/>
        <v>1000</v>
      </c>
      <c r="G70" s="15"/>
      <c r="H70" s="35"/>
      <c r="I70" s="34"/>
      <c r="J70" s="34"/>
      <c r="K70" s="34"/>
      <c r="L70" s="34"/>
      <c r="M70" s="34"/>
      <c r="N70" s="34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2.5" customHeight="1">
      <c r="A71" s="2" t="s">
        <v>123</v>
      </c>
      <c r="B71" s="4">
        <v>51.0</v>
      </c>
      <c r="C71" s="4">
        <v>0.0</v>
      </c>
      <c r="D71" s="4"/>
      <c r="E71" s="3">
        <v>0.079</v>
      </c>
      <c r="F71" s="28">
        <f t="shared" si="1"/>
        <v>645.5696203</v>
      </c>
      <c r="H71" s="25"/>
      <c r="I71" s="33"/>
      <c r="J71" s="33"/>
      <c r="K71" s="33"/>
      <c r="L71" s="33"/>
      <c r="M71" s="33"/>
      <c r="N71" s="33"/>
    </row>
    <row r="72" ht="22.5" customHeight="1">
      <c r="A72" s="2" t="s">
        <v>123</v>
      </c>
      <c r="B72" s="2">
        <v>30.0</v>
      </c>
      <c r="C72" s="17"/>
      <c r="D72" s="27"/>
      <c r="E72" s="3">
        <v>0.02492</v>
      </c>
      <c r="F72" s="28">
        <f t="shared" si="1"/>
        <v>1203.852327</v>
      </c>
      <c r="H72" s="25"/>
      <c r="I72" s="33"/>
      <c r="J72" s="33"/>
      <c r="K72" s="33"/>
      <c r="L72" s="33"/>
      <c r="M72" s="33"/>
      <c r="N72" s="33"/>
    </row>
    <row r="73" ht="22.5" customHeight="1">
      <c r="A73" s="2" t="s">
        <v>124</v>
      </c>
      <c r="B73" s="3">
        <v>6700.0</v>
      </c>
      <c r="C73" s="4">
        <v>2890.0</v>
      </c>
      <c r="D73" s="4">
        <v>8400.0</v>
      </c>
      <c r="E73" s="3">
        <v>212.0</v>
      </c>
      <c r="F73" s="28">
        <f t="shared" si="1"/>
        <v>31.60377358</v>
      </c>
      <c r="H73" s="25"/>
      <c r="I73" s="33"/>
      <c r="J73" s="33"/>
      <c r="K73" s="33"/>
      <c r="L73" s="33"/>
      <c r="M73" s="33"/>
      <c r="N73" s="33"/>
    </row>
    <row r="74" ht="22.5" customHeight="1">
      <c r="A74" s="10" t="s">
        <v>86</v>
      </c>
      <c r="B74" s="3">
        <v>10000.0</v>
      </c>
      <c r="C74" s="4">
        <v>9838.0</v>
      </c>
      <c r="D74" s="4">
        <v>13600.0</v>
      </c>
      <c r="E74" s="3">
        <v>81.0</v>
      </c>
      <c r="F74" s="28">
        <f t="shared" si="1"/>
        <v>123.4567901</v>
      </c>
      <c r="H74" s="25"/>
      <c r="I74" s="33"/>
      <c r="J74" s="33"/>
      <c r="K74" s="33"/>
      <c r="L74" s="33"/>
      <c r="M74" s="33"/>
      <c r="N74" s="33"/>
    </row>
    <row r="75" ht="22.5" customHeight="1">
      <c r="A75" s="2" t="s">
        <v>125</v>
      </c>
      <c r="B75" s="4">
        <v>180.0</v>
      </c>
      <c r="C75" s="4">
        <v>0.0</v>
      </c>
      <c r="D75" s="4">
        <v>163.0</v>
      </c>
      <c r="E75" s="3">
        <v>11.4</v>
      </c>
      <c r="F75" s="28">
        <f t="shared" si="1"/>
        <v>15.78947368</v>
      </c>
      <c r="H75" s="25"/>
      <c r="I75" s="33"/>
      <c r="J75" s="33"/>
      <c r="K75" s="33"/>
      <c r="L75" s="33"/>
      <c r="M75" s="33"/>
      <c r="N75" s="33"/>
    </row>
    <row r="76" ht="22.5" customHeight="1">
      <c r="A76" s="2" t="s">
        <v>76</v>
      </c>
      <c r="B76" s="4">
        <v>130.0</v>
      </c>
      <c r="C76" s="4">
        <v>346.0</v>
      </c>
      <c r="D76" s="4">
        <v>110.0</v>
      </c>
      <c r="E76" s="3">
        <v>23.9</v>
      </c>
      <c r="F76" s="28">
        <f t="shared" si="1"/>
        <v>5.439330544</v>
      </c>
      <c r="H76" s="25"/>
      <c r="I76" s="33"/>
      <c r="J76" s="33"/>
      <c r="K76" s="33"/>
      <c r="L76" s="33"/>
      <c r="M76" s="33"/>
      <c r="N76" s="33"/>
    </row>
    <row r="77" ht="22.5" customHeight="1">
      <c r="A77" s="2" t="s">
        <v>126</v>
      </c>
      <c r="B77" s="4"/>
      <c r="C77" s="4">
        <v>0.0</v>
      </c>
      <c r="D77" s="4">
        <v>1000.0</v>
      </c>
      <c r="E77" s="3">
        <v>4.0</v>
      </c>
      <c r="F77" s="28">
        <f t="shared" si="1"/>
        <v>0</v>
      </c>
      <c r="H77" s="25"/>
      <c r="I77" s="33"/>
      <c r="J77" s="33"/>
      <c r="K77" s="33"/>
      <c r="L77" s="33"/>
      <c r="M77" s="33"/>
      <c r="N77" s="33"/>
    </row>
    <row r="78" ht="22.5" customHeight="1">
      <c r="A78" s="8" t="s">
        <v>127</v>
      </c>
      <c r="B78" s="4">
        <v>650.0</v>
      </c>
      <c r="C78" s="4">
        <v>884.0</v>
      </c>
      <c r="D78" s="4">
        <v>700.0</v>
      </c>
      <c r="E78" s="3">
        <v>39.19</v>
      </c>
      <c r="F78" s="28">
        <f t="shared" si="1"/>
        <v>16.58586374</v>
      </c>
      <c r="H78" s="25"/>
      <c r="I78" s="33"/>
      <c r="J78" s="33"/>
      <c r="K78" s="33"/>
      <c r="L78" s="33"/>
      <c r="M78" s="33"/>
      <c r="N78" s="33"/>
    </row>
    <row r="79" ht="22.5" customHeight="1">
      <c r="A79" s="2" t="s">
        <v>128</v>
      </c>
      <c r="B79" s="4">
        <v>180.0</v>
      </c>
      <c r="C79" s="4">
        <v>0.0</v>
      </c>
      <c r="D79" s="4">
        <v>589.0</v>
      </c>
      <c r="E79" s="3">
        <v>19.0</v>
      </c>
      <c r="F79" s="28">
        <f t="shared" si="1"/>
        <v>9.473684211</v>
      </c>
      <c r="H79" s="25"/>
      <c r="I79" s="33"/>
      <c r="J79" s="33"/>
      <c r="K79" s="33"/>
      <c r="L79" s="33"/>
      <c r="M79" s="33"/>
      <c r="N79" s="33"/>
    </row>
    <row r="80" ht="22.5" customHeight="1">
      <c r="A80" s="2" t="s">
        <v>129</v>
      </c>
      <c r="B80" s="4">
        <v>140.0</v>
      </c>
      <c r="C80" s="4">
        <v>152.0</v>
      </c>
      <c r="D80" s="4"/>
      <c r="E80" s="3">
        <v>2.3</v>
      </c>
      <c r="F80" s="28">
        <f t="shared" si="1"/>
        <v>60.86956522</v>
      </c>
      <c r="H80" s="25"/>
      <c r="I80" s="33"/>
      <c r="J80" s="33"/>
      <c r="K80" s="33"/>
      <c r="L80" s="33"/>
      <c r="M80" s="33"/>
      <c r="N80" s="33"/>
    </row>
    <row r="81" ht="22.5" customHeight="1">
      <c r="A81" s="2" t="s">
        <v>59</v>
      </c>
      <c r="B81" s="4">
        <v>65.0</v>
      </c>
      <c r="C81" s="4">
        <v>0.0</v>
      </c>
      <c r="D81" s="4"/>
      <c r="E81" s="3">
        <v>1.6</v>
      </c>
      <c r="F81" s="28">
        <f t="shared" si="1"/>
        <v>40.625</v>
      </c>
      <c r="H81" s="25"/>
      <c r="I81" s="33"/>
      <c r="J81" s="33"/>
      <c r="K81" s="33"/>
      <c r="L81" s="33"/>
      <c r="M81" s="33"/>
      <c r="N81" s="33"/>
    </row>
    <row r="82" ht="22.5" customHeight="1">
      <c r="A82" s="2" t="s">
        <v>130</v>
      </c>
      <c r="B82" s="2">
        <f>SUM(Proven_reserves_in_Millions_of_barrels_2[GTU (Global Trade Union)])</f>
        <v>183345</v>
      </c>
      <c r="C82" s="2">
        <f>SUM(Proven_reserves_in_Millions_of_barrels_2[MPU (Mahea Petroleum Union)])</f>
        <v>185928.6</v>
      </c>
      <c r="D82" s="2">
        <f>SUM(Proven_reserves_in_Millions_of_barrels_2[Nisasa])</f>
        <v>179406</v>
      </c>
      <c r="E82" s="3">
        <f>SUM(Proven_reserves_in_Millions_of_barrels_2[Production])</f>
        <v>4114.797661</v>
      </c>
      <c r="F82" s="36" t="s">
        <v>131</v>
      </c>
      <c r="H82" s="25"/>
      <c r="I82" s="33"/>
      <c r="J82" s="33"/>
      <c r="K82" s="33"/>
      <c r="L82" s="33"/>
      <c r="M82" s="33"/>
      <c r="N82" s="33"/>
    </row>
    <row r="83">
      <c r="H83" s="25"/>
      <c r="I83" s="33"/>
      <c r="J83" s="33"/>
      <c r="K83" s="33"/>
      <c r="L83" s="33"/>
      <c r="M83" s="33"/>
      <c r="N83" s="33"/>
    </row>
  </sheetData>
  <drawing r:id="rId1"/>
  <tableParts count="2">
    <tablePart r:id="rId4"/>
    <tablePart r:id="rId5"/>
  </tableParts>
</worksheet>
</file>