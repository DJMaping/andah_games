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5"/>
    <sheet state="visible" name="Wiki maker" sheetId="2" r:id="rId6"/>
    <sheet state="visible" name="Geoscheme" sheetId="3" r:id="rId7"/>
    <sheet state="visible" name="Great Importance" sheetId="4" r:id="rId8"/>
    <sheet state="visible" name="Earth Comparsion" sheetId="5" r:id="rId9"/>
    <sheet state="visible" name="Acrola" sheetId="6" r:id="rId10"/>
    <sheet state="visible" name="Atirha" sheetId="7" r:id="rId11"/>
    <sheet state="visible" name="Ayuma" sheetId="8" r:id="rId12"/>
    <sheet state="visible" name="Mahea" sheetId="9" r:id="rId13"/>
    <sheet state="visible" name="Massir" sheetId="10" r:id="rId14"/>
    <sheet state="visible" name="New Ayre" sheetId="11" r:id="rId15"/>
    <sheet state="visible" name="Quia" sheetId="12" r:id="rId16"/>
    <sheet state="visible" name="Contiant compasrison" sheetId="13" r:id="rId17"/>
    <sheet state="visible" name="Geoscheme compasrison" sheetId="14" r:id="rId18"/>
    <sheet state="visible" name="SOL" sheetId="15" r:id="rId19"/>
  </sheets>
  <definedNames/>
  <calcPr/>
</workbook>
</file>

<file path=xl/sharedStrings.xml><?xml version="1.0" encoding="utf-8"?>
<sst xmlns="http://schemas.openxmlformats.org/spreadsheetml/2006/main" count="4364" uniqueCount="1345">
  <si>
    <t>Name</t>
  </si>
  <si>
    <t>Population</t>
  </si>
  <si>
    <t>Pronunciation</t>
  </si>
  <si>
    <t>IPA Use (https://ipa-reader.com/)</t>
  </si>
  <si>
    <t>Continent</t>
  </si>
  <si>
    <t>GDP (Nominal)</t>
  </si>
  <si>
    <t>Per (NOM)</t>
  </si>
  <si>
    <t>GDP (PPP)</t>
  </si>
  <si>
    <t>Per (PPP)</t>
  </si>
  <si>
    <t>Density</t>
  </si>
  <si>
    <t>Area (Km)</t>
  </si>
  <si>
    <t>Area (Mi)</t>
  </si>
  <si>
    <t>KTDI</t>
  </si>
  <si>
    <t>GDI</t>
  </si>
  <si>
    <t xml:space="preserve">Phone </t>
  </si>
  <si>
    <t>Domain</t>
  </si>
  <si>
    <t>Capital</t>
  </si>
  <si>
    <t>Demonym</t>
  </si>
  <si>
    <t>Military NOM</t>
  </si>
  <si>
    <t xml:space="preserve">Military NOM USD </t>
  </si>
  <si>
    <t>Military PPP</t>
  </si>
  <si>
    <t>Military PPP USD</t>
  </si>
  <si>
    <t>Per GDP</t>
  </si>
  <si>
    <t>Raledria</t>
  </si>
  <si>
    <t>rah-LED-ree-uh</t>
  </si>
  <si>
    <t>/ˌrɑːˈlɛd.ri.ə/</t>
  </si>
  <si>
    <t>Atirha</t>
  </si>
  <si>
    <t>.ral</t>
  </si>
  <si>
    <t>Tirna</t>
  </si>
  <si>
    <t>Raledrian</t>
  </si>
  <si>
    <t>Dahe</t>
  </si>
  <si>
    <t>dah-HAY</t>
  </si>
  <si>
    <t>/dɑːˈheɪ/</t>
  </si>
  <si>
    <t>Massir</t>
  </si>
  <si>
    <t>.dah</t>
  </si>
  <si>
    <t>Fekunza</t>
  </si>
  <si>
    <t>Dahen</t>
  </si>
  <si>
    <t>Pelugrotoa</t>
  </si>
  <si>
    <t>peh-LOO-groh-toh-uh</t>
  </si>
  <si>
    <t>/pɛˈluː.groʊ.toʊ.ə/</t>
  </si>
  <si>
    <t>Mahea</t>
  </si>
  <si>
    <t>.pel</t>
  </si>
  <si>
    <t>Thavrin</t>
  </si>
  <si>
    <t>Pelugrotoan</t>
  </si>
  <si>
    <t>Areoix Lie</t>
  </si>
  <si>
    <t>are-TOOR-lay</t>
  </si>
  <si>
    <t>/ɑːrˈtʊər.leɪ/</t>
  </si>
  <si>
    <t>Acrola</t>
  </si>
  <si>
    <t>.lie</t>
  </si>
  <si>
    <t>Vurahi</t>
  </si>
  <si>
    <t>Arten</t>
  </si>
  <si>
    <t>Estijan</t>
  </si>
  <si>
    <t>ESS-tee-jahn</t>
  </si>
  <si>
    <t>/ˈɛs.ti.dʒɑːn/</t>
  </si>
  <si>
    <t>Ayuma</t>
  </si>
  <si>
    <t>.est</t>
  </si>
  <si>
    <t>Shabiran</t>
  </si>
  <si>
    <t>Etirha</t>
  </si>
  <si>
    <t>EH-teer-hah</t>
  </si>
  <si>
    <t>/ˈɛ.tɪər.hɑː/</t>
  </si>
  <si>
    <t>.eti</t>
  </si>
  <si>
    <t>Albiran</t>
  </si>
  <si>
    <t>Etirhan</t>
  </si>
  <si>
    <t>Verusa</t>
  </si>
  <si>
    <t>VEH-roo-sah</t>
  </si>
  <si>
    <t>/ˈvɛr.uː.sɑː/</t>
  </si>
  <si>
    <t>.ver</t>
  </si>
  <si>
    <t>Huifarn</t>
  </si>
  <si>
    <t>Verusan</t>
  </si>
  <si>
    <t>Emara</t>
  </si>
  <si>
    <t>eh-MAH-rah</t>
  </si>
  <si>
    <t>/ɛˈmɑː.rə/</t>
  </si>
  <si>
    <t>.ema</t>
  </si>
  <si>
    <t>Rivostan</t>
  </si>
  <si>
    <t>Emaran</t>
  </si>
  <si>
    <t>Sunsokua</t>
  </si>
  <si>
    <t>sun-SOH-koo-ah</t>
  </si>
  <si>
    <t>/sʌnˈsoʊ.ku.ə/</t>
  </si>
  <si>
    <t>.sun</t>
  </si>
  <si>
    <t>Mikalu</t>
  </si>
  <si>
    <t>Sunsokuan</t>
  </si>
  <si>
    <t>Ztesh</t>
  </si>
  <si>
    <t>ZUH-tesh</t>
  </si>
  <si>
    <t>/ˈzʌ.tɛʃ/</t>
  </si>
  <si>
    <t>Quia</t>
  </si>
  <si>
    <t>.zte</t>
  </si>
  <si>
    <t>Nakos</t>
  </si>
  <si>
    <t>Zteshi</t>
  </si>
  <si>
    <t>Lycroa</t>
  </si>
  <si>
    <t>LIE-kroh-uh</t>
  </si>
  <si>
    <t>/ˈlaɪ.kroʊ.ə/</t>
  </si>
  <si>
    <t>.lyc</t>
  </si>
  <si>
    <t>Jungui</t>
  </si>
  <si>
    <t>Lycroan</t>
  </si>
  <si>
    <t>Seytinemas</t>
  </si>
  <si>
    <t>SAY-tee-neh-mahs</t>
  </si>
  <si>
    <t>/ˈseɪ.ti.nɛ.mɑːs/</t>
  </si>
  <si>
    <t>.sey</t>
  </si>
  <si>
    <t>Vulna</t>
  </si>
  <si>
    <t>Seytinemese</t>
  </si>
  <si>
    <t>Ashain</t>
  </si>
  <si>
    <t>ah-SHANE</t>
  </si>
  <si>
    <t>/ɑːˈʃeɪn/</t>
  </si>
  <si>
    <t>.ash</t>
  </si>
  <si>
    <t>Sjoran</t>
  </si>
  <si>
    <t>Ashaini</t>
  </si>
  <si>
    <t>Verste</t>
  </si>
  <si>
    <t>VUR-stuh</t>
  </si>
  <si>
    <t>/ˈvɜːr.stə/</t>
  </si>
  <si>
    <t>.vst</t>
  </si>
  <si>
    <t>Kaimlo</t>
  </si>
  <si>
    <t>Verstian</t>
  </si>
  <si>
    <t>Easuhura</t>
  </si>
  <si>
    <t>eh-shore-rah</t>
  </si>
  <si>
    <t>/ɛ ʃɔːr rɑː/</t>
  </si>
  <si>
    <t>.eas</t>
  </si>
  <si>
    <t>Tanbai</t>
  </si>
  <si>
    <t>Easuhuran</t>
  </si>
  <si>
    <t>United Delet</t>
  </si>
  <si>
    <t>yoo-NY-tid DEH-let</t>
  </si>
  <si>
    <t>/juːˈnaɪ.tɪd ˈdɛ.lɛt/</t>
  </si>
  <si>
    <t>New Ayre</t>
  </si>
  <si>
    <t>.del</t>
  </si>
  <si>
    <t>Mantraal</t>
  </si>
  <si>
    <t>Deletn</t>
  </si>
  <si>
    <t>Ealdorii</t>
  </si>
  <si>
    <t>EL-door-ree</t>
  </si>
  <si>
    <t>/ˈɛl.dɔːr.riː/</t>
  </si>
  <si>
    <t>.eal</t>
  </si>
  <si>
    <t>Shurqan</t>
  </si>
  <si>
    <t>Ukhdari</t>
  </si>
  <si>
    <t>OOKH-dah-ree</t>
  </si>
  <si>
    <t>/ˈʊk.dɑː.ri/</t>
  </si>
  <si>
    <t>.ukh</t>
  </si>
  <si>
    <t>Faramozan</t>
  </si>
  <si>
    <t>Etretes</t>
  </si>
  <si>
    <t>EH-treh-tez</t>
  </si>
  <si>
    <t>/ˈɛ.trɛ.tɛz/</t>
  </si>
  <si>
    <t>.ete</t>
  </si>
  <si>
    <t>Zajkovi</t>
  </si>
  <si>
    <t>Etreti</t>
  </si>
  <si>
    <t>Desaki</t>
  </si>
  <si>
    <t>DEH-sah-kee</t>
  </si>
  <si>
    <t>/ˈdɛ.sɑː.ki/</t>
  </si>
  <si>
    <t>.des</t>
  </si>
  <si>
    <t>Olmurra</t>
  </si>
  <si>
    <t>Desakian</t>
  </si>
  <si>
    <t>New Misos</t>
  </si>
  <si>
    <t>nyoo MEE-sos</t>
  </si>
  <si>
    <t>/njuː ˈmiː.sɒs/</t>
  </si>
  <si>
    <t>.mis</t>
  </si>
  <si>
    <t>Lunava</t>
  </si>
  <si>
    <t>Misoan</t>
  </si>
  <si>
    <t>Inania</t>
  </si>
  <si>
    <t>ih-NAH-nee-uh</t>
  </si>
  <si>
    <t>/ɪˈnɑː.ni.ə/</t>
  </si>
  <si>
    <t>.ina</t>
  </si>
  <si>
    <t>Fashti</t>
  </si>
  <si>
    <t>Inanian</t>
  </si>
  <si>
    <t>Vayvele</t>
  </si>
  <si>
    <t>VAY-veh-lay</t>
  </si>
  <si>
    <t>/ˈveɪ.vɛl.eɪ/</t>
  </si>
  <si>
    <t>.vay</t>
  </si>
  <si>
    <t>Kaisri</t>
  </si>
  <si>
    <t>Vayvelean</t>
  </si>
  <si>
    <t>Vesozata</t>
  </si>
  <si>
    <t>veh-soh-ZAH-tah</t>
  </si>
  <si>
    <t>/vɛ.soʊˈzɑː.tɑː/</t>
  </si>
  <si>
    <t>.vsz</t>
  </si>
  <si>
    <t>Korvani</t>
  </si>
  <si>
    <t>Vesozatan</t>
  </si>
  <si>
    <t>Quidic</t>
  </si>
  <si>
    <t>KWID-ik</t>
  </si>
  <si>
    <t>/ˈkwɪd.ɪk/</t>
  </si>
  <si>
    <t>.qui</t>
  </si>
  <si>
    <t>Talvani</t>
  </si>
  <si>
    <t>Quidican</t>
  </si>
  <si>
    <t>Trian</t>
  </si>
  <si>
    <t>TREE-an</t>
  </si>
  <si>
    <t>/ˈtriː.æn/</t>
  </si>
  <si>
    <t>.tri</t>
  </si>
  <si>
    <t>Treka</t>
  </si>
  <si>
    <t>Taval</t>
  </si>
  <si>
    <t>TAH-vahl</t>
  </si>
  <si>
    <t>/ˈtɑː.vɑːl/</t>
  </si>
  <si>
    <t>.tav</t>
  </si>
  <si>
    <t>Suraspa</t>
  </si>
  <si>
    <t>Tavalan</t>
  </si>
  <si>
    <t>Sanagara</t>
  </si>
  <si>
    <t>sah-NAH-gah-rah</t>
  </si>
  <si>
    <t>/sɑːˈnɑː.gɑː.rɑː/</t>
  </si>
  <si>
    <t>.san</t>
  </si>
  <si>
    <t>Koyaya</t>
  </si>
  <si>
    <t>Sanagaran</t>
  </si>
  <si>
    <t>Praesyu</t>
  </si>
  <si>
    <t>PRAY-shoo</t>
  </si>
  <si>
    <t>/ˈpreɪ.ʃuː/</t>
  </si>
  <si>
    <t>.pra</t>
  </si>
  <si>
    <t>Brimasha</t>
  </si>
  <si>
    <t>Praesyuan</t>
  </si>
  <si>
    <t>Siana</t>
  </si>
  <si>
    <t>see-AH-nah</t>
  </si>
  <si>
    <t>/siːˈɑː.nə/</t>
  </si>
  <si>
    <t>.sia</t>
  </si>
  <si>
    <t>Wadika</t>
  </si>
  <si>
    <t>Sianan</t>
  </si>
  <si>
    <t>Dual Cenryia</t>
  </si>
  <si>
    <t>DOO-al SEN-ree-uh</t>
  </si>
  <si>
    <t>/ˈduː.əl ˈsɛn.ri.ə/</t>
  </si>
  <si>
    <t>.cen</t>
  </si>
  <si>
    <t>Vrandig</t>
  </si>
  <si>
    <t>Cenryi</t>
  </si>
  <si>
    <t>Finae</t>
  </si>
  <si>
    <t>FEE-nay</t>
  </si>
  <si>
    <t>/ˈfiː.neɪ/</t>
  </si>
  <si>
    <t>.fin</t>
  </si>
  <si>
    <t>Hishara</t>
  </si>
  <si>
    <t>Finaen</t>
  </si>
  <si>
    <t>Terressin</t>
  </si>
  <si>
    <t>TER-ruh-sin</t>
  </si>
  <si>
    <t>/ˈtɛr.ə.sɪn/</t>
  </si>
  <si>
    <t>.ter</t>
  </si>
  <si>
    <t>Velloro</t>
  </si>
  <si>
    <t>Genaire</t>
  </si>
  <si>
    <t>GEN-air</t>
  </si>
  <si>
    <t>/ˈdʒɛn.ɛr/</t>
  </si>
  <si>
    <t>.gen</t>
  </si>
  <si>
    <t>Lishka</t>
  </si>
  <si>
    <t>Genairean</t>
  </si>
  <si>
    <t>Ohtina</t>
  </si>
  <si>
    <t>oh-TEE-nah</t>
  </si>
  <si>
    <t>/ˌoʊˈtiː.nɑː/</t>
  </si>
  <si>
    <t>.oht</t>
  </si>
  <si>
    <t>Su Sariko</t>
  </si>
  <si>
    <t>Ohtinan</t>
  </si>
  <si>
    <t>Yaxuto</t>
  </si>
  <si>
    <t>YAH-ksu-toh</t>
  </si>
  <si>
    <t>/ˈjɑːk.su.toʊ/</t>
  </si>
  <si>
    <t>.yax</t>
  </si>
  <si>
    <t>Khorin</t>
  </si>
  <si>
    <t>Yaxutan</t>
  </si>
  <si>
    <t>Ahokini</t>
  </si>
  <si>
    <t>ah-hoh-KEE-nee</t>
  </si>
  <si>
    <t>/ɑː.hoʊˈkiː.ni/</t>
  </si>
  <si>
    <t>.aho</t>
  </si>
  <si>
    <t>Ribash</t>
  </si>
  <si>
    <t>Ocaun</t>
  </si>
  <si>
    <t>OH-kawn</t>
  </si>
  <si>
    <t>/ˈoʊ.kɔːn/</t>
  </si>
  <si>
    <t>.oca</t>
  </si>
  <si>
    <t>Kejira</t>
  </si>
  <si>
    <t xml:space="preserve">Ocunese </t>
  </si>
  <si>
    <t>Oyreain</t>
  </si>
  <si>
    <t>OY-ray-in</t>
  </si>
  <si>
    <t>/ˈɔɪ.reɪ.ɪn/</t>
  </si>
  <si>
    <t>.ory</t>
  </si>
  <si>
    <t>Yetembo</t>
  </si>
  <si>
    <t>Oyreaini</t>
  </si>
  <si>
    <t>Wundry</t>
  </si>
  <si>
    <t>WUHN-dree</t>
  </si>
  <si>
    <t>/ˈwʌn.dri/</t>
  </si>
  <si>
    <t>.wun</t>
  </si>
  <si>
    <t>Teveme</t>
  </si>
  <si>
    <t>Genairan</t>
  </si>
  <si>
    <t>Pelines</t>
  </si>
  <si>
    <t>PEH-li-neez</t>
  </si>
  <si>
    <t>/ˈpɛl.iːnz/</t>
  </si>
  <si>
    <t>.pli</t>
  </si>
  <si>
    <t>Dalyar</t>
  </si>
  <si>
    <t>Pelinese</t>
  </si>
  <si>
    <t>Anymna</t>
  </si>
  <si>
    <t>ANY-mnah</t>
  </si>
  <si>
    <t>/ˈæ.nɪm.nə/</t>
  </si>
  <si>
    <t>.any</t>
  </si>
  <si>
    <t>Khureldai</t>
  </si>
  <si>
    <t>Anymnan</t>
  </si>
  <si>
    <t>Suenan</t>
  </si>
  <si>
    <t>SWEH-nahn</t>
  </si>
  <si>
    <t>/ˈswɛ.nɑːn/</t>
  </si>
  <si>
    <t>.sue</t>
  </si>
  <si>
    <t>Daspuru</t>
  </si>
  <si>
    <t>Chaenia</t>
  </si>
  <si>
    <t>KAY-nee-ah</t>
  </si>
  <si>
    <t>/ˈkeɪ.ni.ə/</t>
  </si>
  <si>
    <t>.cha</t>
  </si>
  <si>
    <t>Lutur</t>
  </si>
  <si>
    <t>Chaenian</t>
  </si>
  <si>
    <t>Darewa</t>
  </si>
  <si>
    <t>DAH-reh-wah</t>
  </si>
  <si>
    <t>/ˈdɑː.reɪ.wɑː/</t>
  </si>
  <si>
    <t>.dar</t>
  </si>
  <si>
    <t>Shamarin</t>
  </si>
  <si>
    <t>Darewan</t>
  </si>
  <si>
    <t>Merela Sta</t>
  </si>
  <si>
    <t>MEH-reh-lah STAH</t>
  </si>
  <si>
    <t>/ˈmɛr.ə.lɑː stɑː/</t>
  </si>
  <si>
    <t>.mer</t>
  </si>
  <si>
    <t>Talung</t>
  </si>
  <si>
    <t>Merelan</t>
  </si>
  <si>
    <t>Selaja</t>
  </si>
  <si>
    <t>seh-LAH-jah</t>
  </si>
  <si>
    <t>/ˌsɛˈlɑː.dʒɑː/</t>
  </si>
  <si>
    <t>.sel</t>
  </si>
  <si>
    <t>Selja</t>
  </si>
  <si>
    <t>Selajan</t>
  </si>
  <si>
    <t>Erkizil</t>
  </si>
  <si>
    <t>ER-kee-zil</t>
  </si>
  <si>
    <t>/ˈɜːr.ki.zɪl/</t>
  </si>
  <si>
    <t>.erk</t>
  </si>
  <si>
    <t>Tiraqsi</t>
  </si>
  <si>
    <t>Erkizilian</t>
  </si>
  <si>
    <t>Myla</t>
  </si>
  <si>
    <t>MY-lah</t>
  </si>
  <si>
    <t>/ˈmaɪ.lə/</t>
  </si>
  <si>
    <t>.myl</t>
  </si>
  <si>
    <t>Erkadu</t>
  </si>
  <si>
    <t>Mylanese</t>
  </si>
  <si>
    <t>Gaeiya</t>
  </si>
  <si>
    <t>GAY-ee-yah</t>
  </si>
  <si>
    <t>/ˈɡeɪ.i.jɑː/</t>
  </si>
  <si>
    <t>.gae</t>
  </si>
  <si>
    <t>Tsyanka</t>
  </si>
  <si>
    <t>Gaeiyan</t>
  </si>
  <si>
    <t>United Mihili</t>
  </si>
  <si>
    <t>yoo-NY-ted MEE-hee-lee</t>
  </si>
  <si>
    <t>/juːˈnaɪ.tɪd ˈmiː.hi.liː/</t>
  </si>
  <si>
    <t>.mil</t>
  </si>
  <si>
    <t>Talashi</t>
  </si>
  <si>
    <t>Mihilian</t>
  </si>
  <si>
    <t>Iareva</t>
  </si>
  <si>
    <t>EE-ah-REH-vah</t>
  </si>
  <si>
    <t>/iː.ɑːˈrɛ.vɑː/</t>
  </si>
  <si>
    <t>.iar</t>
  </si>
  <si>
    <t>Droskaneth</t>
  </si>
  <si>
    <t>Iarevan</t>
  </si>
  <si>
    <t>Astye</t>
  </si>
  <si>
    <t>AS-tee</t>
  </si>
  <si>
    <t>/ˈæs.ti/</t>
  </si>
  <si>
    <t>.ast</t>
  </si>
  <si>
    <t>Kavirro</t>
  </si>
  <si>
    <t>Astyen</t>
  </si>
  <si>
    <t>Laselteh</t>
  </si>
  <si>
    <t>LAH-seltsh</t>
  </si>
  <si>
    <t>/ˈlɑː.sɛltʃ/</t>
  </si>
  <si>
    <t>.las</t>
  </si>
  <si>
    <t>Dariya</t>
  </si>
  <si>
    <t>Laseltshen</t>
  </si>
  <si>
    <t>Haiza</t>
  </si>
  <si>
    <t>HAY-zah</t>
  </si>
  <si>
    <t>/ˈheɪ.zɑː/</t>
  </si>
  <si>
    <t>.hai</t>
  </si>
  <si>
    <t>Chavira</t>
  </si>
  <si>
    <t>Haizan</t>
  </si>
  <si>
    <t>Sadain</t>
  </si>
  <si>
    <t>sah-DAYN</t>
  </si>
  <si>
    <t>/ˈsɑː.deɪn/</t>
  </si>
  <si>
    <t>.sad</t>
  </si>
  <si>
    <t>Sivona</t>
  </si>
  <si>
    <t>Sadainite</t>
  </si>
  <si>
    <t>Disal Nila</t>
  </si>
  <si>
    <t>DI-sahl NEE-lah</t>
  </si>
  <si>
    <t>/ˈdɪ.sɑːl ˈniː.lɑː/</t>
  </si>
  <si>
    <t>.dis</t>
  </si>
  <si>
    <t>Naliti</t>
  </si>
  <si>
    <t>Disali</t>
  </si>
  <si>
    <t>Acrana</t>
  </si>
  <si>
    <t>AH-krah-nah</t>
  </si>
  <si>
    <t>/ɑːˈkrɑː.nə/</t>
  </si>
  <si>
    <t>.acr</t>
  </si>
  <si>
    <t>Samaru</t>
  </si>
  <si>
    <t>Acranan</t>
  </si>
  <si>
    <t>Volver</t>
  </si>
  <si>
    <t>VOLL-ver</t>
  </si>
  <si>
    <t>/ˈvɒl.vər/</t>
  </si>
  <si>
    <t>.vol</t>
  </si>
  <si>
    <t>Drolmukhazin</t>
  </si>
  <si>
    <t>Volvern</t>
  </si>
  <si>
    <t>Lydroa</t>
  </si>
  <si>
    <t>LID-roh-ah</t>
  </si>
  <si>
    <t>/ˈlɪd.roʊ.ɑː/</t>
  </si>
  <si>
    <t>.lyd</t>
  </si>
  <si>
    <t>Zarfan</t>
  </si>
  <si>
    <t>Lydroan</t>
  </si>
  <si>
    <t>North Ayre</t>
  </si>
  <si>
    <t>NORTH EYE-er</t>
  </si>
  <si>
    <t>/nɔːrθ ˈaɪ.ər/</t>
  </si>
  <si>
    <t>.ayr</t>
  </si>
  <si>
    <t>Kokema</t>
  </si>
  <si>
    <t>Ayrean</t>
  </si>
  <si>
    <t>Fermori</t>
  </si>
  <si>
    <t>FER-moh-ree</t>
  </si>
  <si>
    <t>/ˈfɜːr.moʊ.ri/</t>
  </si>
  <si>
    <t>.fer</t>
  </si>
  <si>
    <t>Khalviro</t>
  </si>
  <si>
    <t>Fermorian</t>
  </si>
  <si>
    <t>Pha Hii</t>
  </si>
  <si>
    <t>FAH HEE</t>
  </si>
  <si>
    <t>/ˈfɑː hiː/</t>
  </si>
  <si>
    <t>.pha</t>
  </si>
  <si>
    <t>Hiian</t>
  </si>
  <si>
    <t>Heiso</t>
  </si>
  <si>
    <t>HAY-soh</t>
  </si>
  <si>
    <t>/ˈheɪ.soʊ/</t>
  </si>
  <si>
    <t>Ayuma/Acrola</t>
  </si>
  <si>
    <t>.hei</t>
  </si>
  <si>
    <t>Mivlo</t>
  </si>
  <si>
    <t>Heisan</t>
  </si>
  <si>
    <t>Arbiya</t>
  </si>
  <si>
    <t>AR-bee-yah</t>
  </si>
  <si>
    <t>/ˈɑːr.bi.jə/</t>
  </si>
  <si>
    <t>.arb</t>
  </si>
  <si>
    <t>Kraevu</t>
  </si>
  <si>
    <t>Arbiyan</t>
  </si>
  <si>
    <t>Ilicuhe</t>
  </si>
  <si>
    <t>EE-lee-koo-heh</t>
  </si>
  <si>
    <t>/iːˈliː.kuː.hɛ/</t>
  </si>
  <si>
    <t>.ili</t>
  </si>
  <si>
    <t>Sakhen</t>
  </si>
  <si>
    <t>Ilicuhan</t>
  </si>
  <si>
    <t>Acetoa</t>
  </si>
  <si>
    <t>ah-SEH-toh-ah</t>
  </si>
  <si>
    <t>/ɑːˈsɛ.toʊ.ə/</t>
  </si>
  <si>
    <t>.ace</t>
  </si>
  <si>
    <t>Yezhito</t>
  </si>
  <si>
    <t>Acetoan</t>
  </si>
  <si>
    <t>Isari</t>
  </si>
  <si>
    <t>EE-sah-ree</t>
  </si>
  <si>
    <t>/iːˈsɑː.ri/</t>
  </si>
  <si>
    <t>.isa</t>
  </si>
  <si>
    <t>Damsiri</t>
  </si>
  <si>
    <t>Isarian</t>
  </si>
  <si>
    <t>Sivoso</t>
  </si>
  <si>
    <t>SEE-voh-soh</t>
  </si>
  <si>
    <t>/ˈsiː.voʊ.soʊ/</t>
  </si>
  <si>
    <t>.siv</t>
  </si>
  <si>
    <t>Amrata</t>
  </si>
  <si>
    <t>Sivosan</t>
  </si>
  <si>
    <t>Otiiric</t>
  </si>
  <si>
    <t>oh-TEE-rik</t>
  </si>
  <si>
    <t>/ˌoʊˈtiː.rɪk/</t>
  </si>
  <si>
    <t>.oti</t>
  </si>
  <si>
    <t>Fyntek</t>
  </si>
  <si>
    <t>Otiirican</t>
  </si>
  <si>
    <t>Eldjo</t>
  </si>
  <si>
    <t>EL-joh</t>
  </si>
  <si>
    <t>/ˈɛl.dʒoʊ/</t>
  </si>
  <si>
    <t>.eld</t>
  </si>
  <si>
    <t>Shorakim</t>
  </si>
  <si>
    <t>Eldjan</t>
  </si>
  <si>
    <t>Umarcia</t>
  </si>
  <si>
    <t>oo-MAR-see-ah</t>
  </si>
  <si>
    <t>/ˌuːˈmɑːr.si.ə/</t>
  </si>
  <si>
    <t>.uma</t>
  </si>
  <si>
    <t>Hirvani</t>
  </si>
  <si>
    <t>Umarcian</t>
  </si>
  <si>
    <t>Maalle</t>
  </si>
  <si>
    <t>MAH-leh</t>
  </si>
  <si>
    <t>/ˈmɑː.leɪ/</t>
  </si>
  <si>
    <t>.maa</t>
  </si>
  <si>
    <t>Rudeka</t>
  </si>
  <si>
    <t>Maallean</t>
  </si>
  <si>
    <t>Mendereide</t>
  </si>
  <si>
    <t>MEN-deh-rayd</t>
  </si>
  <si>
    <t>/ˌmɛn.dəˈreɪd/</t>
  </si>
  <si>
    <t>.men</t>
  </si>
  <si>
    <t>Tovani</t>
  </si>
  <si>
    <t>Mendereidan</t>
  </si>
  <si>
    <t>Pelan</t>
  </si>
  <si>
    <t>PEH-lahn</t>
  </si>
  <si>
    <t>/ˈpɛ.lɑːn/</t>
  </si>
  <si>
    <t>.pla</t>
  </si>
  <si>
    <t>Taoqu</t>
  </si>
  <si>
    <t xml:space="preserve">Pelani </t>
  </si>
  <si>
    <t>Reerica</t>
  </si>
  <si>
    <t>REE-rih-kah</t>
  </si>
  <si>
    <t>/ˈriː.rɪ.kɑː/</t>
  </si>
  <si>
    <t>.ree</t>
  </si>
  <si>
    <t>Halumbaro</t>
  </si>
  <si>
    <t>Reerican</t>
  </si>
  <si>
    <t>Hkuqo</t>
  </si>
  <si>
    <t>HKOO-koh</t>
  </si>
  <si>
    <t>/ˈhkuː.koʊ/</t>
  </si>
  <si>
    <t>.hku</t>
  </si>
  <si>
    <t>Tanshiva</t>
  </si>
  <si>
    <t>Hkuqoan</t>
  </si>
  <si>
    <t>Fincen</t>
  </si>
  <si>
    <t>FIN-sen</t>
  </si>
  <si>
    <t>/ˈfɪn.sən/</t>
  </si>
  <si>
    <t>.fcn</t>
  </si>
  <si>
    <t>Tiyomi</t>
  </si>
  <si>
    <t>Fincense</t>
  </si>
  <si>
    <t>Kusierna</t>
  </si>
  <si>
    <t>koo-SYEHR-nah</t>
  </si>
  <si>
    <t>/kuːˈsjɛr.nɑː/</t>
  </si>
  <si>
    <t>.kus</t>
  </si>
  <si>
    <t>Mikavasi</t>
  </si>
  <si>
    <t>Kusiernian</t>
  </si>
  <si>
    <t>Deschon</t>
  </si>
  <si>
    <t>DEH-shon</t>
  </si>
  <si>
    <t>/ˈdɛ.ʃɒn/</t>
  </si>
  <si>
    <t>.dsc</t>
  </si>
  <si>
    <t>Obelinti</t>
  </si>
  <si>
    <t>Deschonian</t>
  </si>
  <si>
    <t>Iainoa</t>
  </si>
  <si>
    <t>EE-ah-ee-noh-ah</t>
  </si>
  <si>
    <t>/iːˌɑː.iˈnoʊ.ɑː/</t>
  </si>
  <si>
    <t>.iai</t>
  </si>
  <si>
    <t>Evue</t>
  </si>
  <si>
    <t>Iainoan</t>
  </si>
  <si>
    <t>Nia</t>
  </si>
  <si>
    <t>NEE-ah</t>
  </si>
  <si>
    <t>/ˈniː.ɑː/</t>
  </si>
  <si>
    <t>.nia</t>
  </si>
  <si>
    <t>Kovasi</t>
  </si>
  <si>
    <t>Nian</t>
  </si>
  <si>
    <t>Isnti</t>
  </si>
  <si>
    <t>ISN-tee</t>
  </si>
  <si>
    <t>/ˈɪs.n.ti/</t>
  </si>
  <si>
    <t>.isn</t>
  </si>
  <si>
    <t>Mahsira</t>
  </si>
  <si>
    <t>Ucrua</t>
  </si>
  <si>
    <t>oo-CROO-ah</t>
  </si>
  <si>
    <t>/ˌuːˈkruː.ɑː/</t>
  </si>
  <si>
    <t>.ucr</t>
  </si>
  <si>
    <t>Frevinta</t>
  </si>
  <si>
    <t>Ucruan</t>
  </si>
  <si>
    <t>Prystr Hii</t>
  </si>
  <si>
    <t>PRY-str HEE</t>
  </si>
  <si>
    <t>/ˈpraɪ.str hiː/</t>
  </si>
  <si>
    <t>.pry</t>
  </si>
  <si>
    <t xml:space="preserve">Prystr </t>
  </si>
  <si>
    <t>Curata</t>
  </si>
  <si>
    <t>koo-RAH-tah</t>
  </si>
  <si>
    <t>/kuːˈrɑː.tə/</t>
  </si>
  <si>
    <t>.cur</t>
  </si>
  <si>
    <t>Hulong</t>
  </si>
  <si>
    <t>Curatan</t>
  </si>
  <si>
    <t>Phuris</t>
  </si>
  <si>
    <t>FYOO-ris</t>
  </si>
  <si>
    <t>/ˈfjuː.rɪs/</t>
  </si>
  <si>
    <t>.phu</t>
  </si>
  <si>
    <t>City of Dauris</t>
  </si>
  <si>
    <t>Phurian</t>
  </si>
  <si>
    <t>Prstreula</t>
  </si>
  <si>
    <t>PRA-stree-oo-lah</t>
  </si>
  <si>
    <t>/ˈprɑː.striː.uː.lɑː/</t>
  </si>
  <si>
    <t>.prs</t>
  </si>
  <si>
    <t>Kavani</t>
  </si>
  <si>
    <t>Prstreulan</t>
  </si>
  <si>
    <t>Mesjan Hyaa</t>
  </si>
  <si>
    <t>MES-jahn HEE-ah</t>
  </si>
  <si>
    <t>/ˈmɛs.dʒɑːn ˈhiː.ɑː/</t>
  </si>
  <si>
    <t>.mes</t>
  </si>
  <si>
    <t>Ythrenak</t>
  </si>
  <si>
    <t>Hyian</t>
  </si>
  <si>
    <t>Rijan bu</t>
  </si>
  <si>
    <t>REE-jahn boo</t>
  </si>
  <si>
    <t>/ˈriː.dʒɑːn buː/</t>
  </si>
  <si>
    <t>.rij</t>
  </si>
  <si>
    <t>Maphinde</t>
  </si>
  <si>
    <t>Buan</t>
  </si>
  <si>
    <t>Palina</t>
  </si>
  <si>
    <t>pah-LEE-nah</t>
  </si>
  <si>
    <t>/ˌpɑːˈliː.nɑː/</t>
  </si>
  <si>
    <t>.pal</t>
  </si>
  <si>
    <t>Lahzhao</t>
  </si>
  <si>
    <t>Palinian</t>
  </si>
  <si>
    <t>Nheyes Si</t>
  </si>
  <si>
    <t>NAY-es see</t>
  </si>
  <si>
    <t>/ˈneɪ.ɛs siː/</t>
  </si>
  <si>
    <t>.nhe</t>
  </si>
  <si>
    <t>MavagaT</t>
  </si>
  <si>
    <t>Nheyesian</t>
  </si>
  <si>
    <t>Exilium</t>
  </si>
  <si>
    <t>ek-SIL-ee-um</t>
  </si>
  <si>
    <t>/ˈɛk.sɪl.i.əm/</t>
  </si>
  <si>
    <t>.exi</t>
  </si>
  <si>
    <t>Dulvasra</t>
  </si>
  <si>
    <t>Exilian</t>
  </si>
  <si>
    <t>Feio Lie</t>
  </si>
  <si>
    <t>FAY-oh LYE</t>
  </si>
  <si>
    <t>/ˈfeɪ.oʊ laɪ/</t>
  </si>
  <si>
    <t>.fei</t>
  </si>
  <si>
    <t>Keliaro</t>
  </si>
  <si>
    <t>Feian</t>
  </si>
  <si>
    <t>Iquir</t>
  </si>
  <si>
    <t>EE-kwir</t>
  </si>
  <si>
    <t>/iːˈkwɪr/</t>
  </si>
  <si>
    <t>.iqu</t>
  </si>
  <si>
    <t>Chavillar</t>
  </si>
  <si>
    <t>Iquirian</t>
  </si>
  <si>
    <t>Onphello</t>
  </si>
  <si>
    <t>on-FEL-oh</t>
  </si>
  <si>
    <t>/ˌɒnˈfɛl.oʊ/</t>
  </si>
  <si>
    <t>.onp</t>
  </si>
  <si>
    <t>Khazor</t>
  </si>
  <si>
    <t>Onphellan</t>
  </si>
  <si>
    <t>Jshain</t>
  </si>
  <si>
    <t>JAY-shayn</t>
  </si>
  <si>
    <t>/dʒeɪ.ʃeɪn/</t>
  </si>
  <si>
    <t>.jsh</t>
  </si>
  <si>
    <t>Savyan</t>
  </si>
  <si>
    <t>Jshainian</t>
  </si>
  <si>
    <t>Uularin</t>
  </si>
  <si>
    <t>OO-lah-rin</t>
  </si>
  <si>
    <t>/ˈɜːr.bɪ.kjuː/</t>
  </si>
  <si>
    <t>.uul</t>
  </si>
  <si>
    <t>Zahlim</t>
  </si>
  <si>
    <t>Uularini</t>
  </si>
  <si>
    <t>Eldavpir</t>
  </si>
  <si>
    <t>EL-dav-peer</t>
  </si>
  <si>
    <t>/ˈɛl.dæv.pɪr/</t>
  </si>
  <si>
    <t>.eda</t>
  </si>
  <si>
    <t>Lunfrix</t>
  </si>
  <si>
    <t>Eldavpiri</t>
  </si>
  <si>
    <t>Grazail</t>
  </si>
  <si>
    <t>GRAH-zayl</t>
  </si>
  <si>
    <t>/ˈɡrɑː.zeɪl/</t>
  </si>
  <si>
    <t>.gra</t>
  </si>
  <si>
    <t>Mushira</t>
  </si>
  <si>
    <t>Grazailite</t>
  </si>
  <si>
    <t>Lieri</t>
  </si>
  <si>
    <t>LEE-eh-ree</t>
  </si>
  <si>
    <t>/ˈliː.eɪ.ri/</t>
  </si>
  <si>
    <t>Nabruik</t>
  </si>
  <si>
    <t>Lierin</t>
  </si>
  <si>
    <t>Oscairia</t>
  </si>
  <si>
    <t>oss-KAIR-ee-ah</t>
  </si>
  <si>
    <t>/ˌɒsˈkɛər.i.ə/</t>
  </si>
  <si>
    <t>.osc</t>
  </si>
  <si>
    <t>Morzelka</t>
  </si>
  <si>
    <t>Oscairian</t>
  </si>
  <si>
    <t>Othya</t>
  </si>
  <si>
    <t>OTH-yah</t>
  </si>
  <si>
    <t>/ˈɒθ.jɑː/</t>
  </si>
  <si>
    <t>.oth</t>
  </si>
  <si>
    <t>Harlitak</t>
  </si>
  <si>
    <t>Othyan</t>
  </si>
  <si>
    <t>Kaastini</t>
  </si>
  <si>
    <t>KAH-stin-ee</t>
  </si>
  <si>
    <t>/ˈkɑː.stɪ.ni/</t>
  </si>
  <si>
    <t>.kaa</t>
  </si>
  <si>
    <t>Suharimti</t>
  </si>
  <si>
    <t>Ruylku</t>
  </si>
  <si>
    <t>ROO-eel-koo</t>
  </si>
  <si>
    <t>/ˈruː.iːl.kuː/</t>
  </si>
  <si>
    <t>.ruy</t>
  </si>
  <si>
    <t>Kelvizu</t>
  </si>
  <si>
    <t>Ruylkun</t>
  </si>
  <si>
    <t>Taing</t>
  </si>
  <si>
    <t>TAYNG</t>
  </si>
  <si>
    <t>/teɪŋ/</t>
  </si>
  <si>
    <t>.tai</t>
  </si>
  <si>
    <t>Kanrido</t>
  </si>
  <si>
    <t>Taingesez</t>
  </si>
  <si>
    <t>Zenashan</t>
  </si>
  <si>
    <t>ZEH-nah-shahn</t>
  </si>
  <si>
    <t>/ˈzɛ.nɑː.ʃɑːn/</t>
  </si>
  <si>
    <t>.zen</t>
  </si>
  <si>
    <t>Zirafu</t>
  </si>
  <si>
    <t>Inrea</t>
  </si>
  <si>
    <t>IN-ree-ah</t>
  </si>
  <si>
    <t>/ˈɪn.ri.ɑː/</t>
  </si>
  <si>
    <t>.inr</t>
  </si>
  <si>
    <t>Dalsjiv</t>
  </si>
  <si>
    <t>Inrean</t>
  </si>
  <si>
    <t>Fire Coast</t>
  </si>
  <si>
    <t>FIRE coast</t>
  </si>
  <si>
    <t>/faɪər koʊst/</t>
  </si>
  <si>
    <t>.fir</t>
  </si>
  <si>
    <t>Kamoraya</t>
  </si>
  <si>
    <t>Fyran</t>
  </si>
  <si>
    <t>Galca</t>
  </si>
  <si>
    <t>GAL-kah</t>
  </si>
  <si>
    <t>/ˈɡæl.kɑː/</t>
  </si>
  <si>
    <t>.gal</t>
  </si>
  <si>
    <t>Dherkiv</t>
  </si>
  <si>
    <t>Galcan</t>
  </si>
  <si>
    <t>Viussi</t>
  </si>
  <si>
    <t>vee-OO-see</t>
  </si>
  <si>
    <t>/ˌviːˈuː.si/</t>
  </si>
  <si>
    <t>.viu</t>
  </si>
  <si>
    <t>Zambhori</t>
  </si>
  <si>
    <t>Viussian</t>
  </si>
  <si>
    <t>Ihner</t>
  </si>
  <si>
    <t>IH-ner</t>
  </si>
  <si>
    <t>/ˈɪn.ər/</t>
  </si>
  <si>
    <t>.ihn</t>
  </si>
  <si>
    <t>Talmeera</t>
  </si>
  <si>
    <t>Ihnerian</t>
  </si>
  <si>
    <t>Taoisia</t>
  </si>
  <si>
    <t>tay-OH-see-ah</t>
  </si>
  <si>
    <t>/ˌteɪˈoʊ.si.ə/</t>
  </si>
  <si>
    <t>.tao</t>
  </si>
  <si>
    <t>Kumazi</t>
  </si>
  <si>
    <t>Taoisian</t>
  </si>
  <si>
    <t>Taniduna</t>
  </si>
  <si>
    <t>TAH-nee-DOO-nah</t>
  </si>
  <si>
    <t>/ˌtɑː.niˈduː.nə/</t>
  </si>
  <si>
    <t>.tan</t>
  </si>
  <si>
    <t>Zolittique</t>
  </si>
  <si>
    <t>Tanidunan</t>
  </si>
  <si>
    <t>Tomscilus</t>
  </si>
  <si>
    <t>TOM-sih-lus</t>
  </si>
  <si>
    <t>/ˈtɒm.sɪ.ləs/</t>
  </si>
  <si>
    <t>.tom</t>
  </si>
  <si>
    <t>Ternyu</t>
  </si>
  <si>
    <t>Tomscilian</t>
  </si>
  <si>
    <t>Andsaudare</t>
  </si>
  <si>
    <t>AND-sow-DAH-reh</t>
  </si>
  <si>
    <t>/ˌænd.saʊˈdɑː.reɪ/</t>
  </si>
  <si>
    <t>.and</t>
  </si>
  <si>
    <t>Ravalor</t>
  </si>
  <si>
    <t>Andsaudaran</t>
  </si>
  <si>
    <t>Peka</t>
  </si>
  <si>
    <t>PEH-kah</t>
  </si>
  <si>
    <t>/ˈpɛ.kɑː/</t>
  </si>
  <si>
    <t>.pek</t>
  </si>
  <si>
    <t>Kerefa</t>
  </si>
  <si>
    <t>Pekan</t>
  </si>
  <si>
    <t>Lasri</t>
  </si>
  <si>
    <t>LAHS-ree</t>
  </si>
  <si>
    <t>/ˈlɑːs.ri/</t>
  </si>
  <si>
    <t>.lar</t>
  </si>
  <si>
    <t>Rukara</t>
  </si>
  <si>
    <t>Lasrian</t>
  </si>
  <si>
    <t>Walporein</t>
  </si>
  <si>
    <t>WALL-por-ayn</t>
  </si>
  <si>
    <t>/ˈwɔːl.pɔːr.eɪn/</t>
  </si>
  <si>
    <t>.wal</t>
  </si>
  <si>
    <t>Sokira</t>
  </si>
  <si>
    <t>Walporeinian</t>
  </si>
  <si>
    <t>Shinam</t>
  </si>
  <si>
    <t>SHEE-nahm</t>
  </si>
  <si>
    <t>/ˈʃiː.nɑːm/</t>
  </si>
  <si>
    <t>.shi</t>
  </si>
  <si>
    <t>Mirzulek</t>
  </si>
  <si>
    <t>Shinamese</t>
  </si>
  <si>
    <t>Baluyde</t>
  </si>
  <si>
    <t>BAH-loo-ide</t>
  </si>
  <si>
    <t>/ˈbɑː.luː.aɪd/</t>
  </si>
  <si>
    <t>.bal</t>
  </si>
  <si>
    <t>Kirotu</t>
  </si>
  <si>
    <t>Baluydan</t>
  </si>
  <si>
    <t>Koruch</t>
  </si>
  <si>
    <t>KOH-ruch</t>
  </si>
  <si>
    <t>/ˈkɔː.rʊtʃ/</t>
  </si>
  <si>
    <t>.kor</t>
  </si>
  <si>
    <t>Basturah</t>
  </si>
  <si>
    <t>Koruchi</t>
  </si>
  <si>
    <t>Yihnurda</t>
  </si>
  <si>
    <t>YIH-nur-gah</t>
  </si>
  <si>
    <t>/ˈjɪn.ɜːr.gɑː/</t>
  </si>
  <si>
    <t>.yih</t>
  </si>
  <si>
    <t>Parloth</t>
  </si>
  <si>
    <t>Yihnurdan</t>
  </si>
  <si>
    <t>Guise</t>
  </si>
  <si>
    <t>GIZE</t>
  </si>
  <si>
    <t>/ɡaɪz/</t>
  </si>
  <si>
    <t>.gui</t>
  </si>
  <si>
    <t>Tosakaa</t>
  </si>
  <si>
    <t>Guisese</t>
  </si>
  <si>
    <t>Ozinia</t>
  </si>
  <si>
    <t>oh-ZIN-ee-ah</t>
  </si>
  <si>
    <t>/ˌoʊˈzɪn.i.ə/</t>
  </si>
  <si>
    <t>.ozi</t>
  </si>
  <si>
    <t>Nuswi</t>
  </si>
  <si>
    <t>Ozinian</t>
  </si>
  <si>
    <t>Byllu</t>
  </si>
  <si>
    <t>BILL-oo</t>
  </si>
  <si>
    <t>/ˈbɪl.uː/</t>
  </si>
  <si>
    <t>.byl</t>
  </si>
  <si>
    <t>Dundryan</t>
  </si>
  <si>
    <t>Kiesian</t>
  </si>
  <si>
    <t>Jathua</t>
  </si>
  <si>
    <t>JAH-thoo-ah</t>
  </si>
  <si>
    <t>/ˈdʒɑː.θuː.ɑː/</t>
  </si>
  <si>
    <t>.jat</t>
  </si>
  <si>
    <t>Nyvek</t>
  </si>
  <si>
    <t>Jathuan</t>
  </si>
  <si>
    <t>Crila Republic</t>
  </si>
  <si>
    <t>KREE-lah REH-puh-blik</t>
  </si>
  <si>
    <t>/ˈkriː.lɑː rɪˈpʌb.lɪk/</t>
  </si>
  <si>
    <t>.cri</t>
  </si>
  <si>
    <t>Risavo</t>
  </si>
  <si>
    <t>Crilan</t>
  </si>
  <si>
    <t>Aetintio</t>
  </si>
  <si>
    <t>AY-tin-tee-oh</t>
  </si>
  <si>
    <t>/ˈeɪ.tɪn.ti.oʊ/</t>
  </si>
  <si>
    <t>.aet</t>
  </si>
  <si>
    <t>Elora</t>
  </si>
  <si>
    <t>Jau</t>
  </si>
  <si>
    <t>JOW</t>
  </si>
  <si>
    <t>/dʒaʊ/</t>
  </si>
  <si>
    <t>.jau</t>
  </si>
  <si>
    <t>Muntai</t>
  </si>
  <si>
    <t>Jauan</t>
  </si>
  <si>
    <t>Rtesania</t>
  </si>
  <si>
    <t>RTEH-sah-nee-ah</t>
  </si>
  <si>
    <t>/ˌrtɛˈsɑː.ni.ə/</t>
  </si>
  <si>
    <t>.rte</t>
  </si>
  <si>
    <t>Bardin</t>
  </si>
  <si>
    <t>Rtesanian</t>
  </si>
  <si>
    <t>Slyiaduun</t>
  </si>
  <si>
    <t>SLY-ah-doon</t>
  </si>
  <si>
    <t>/ˈslaɪ.ɑː.duːn/</t>
  </si>
  <si>
    <t>.syl</t>
  </si>
  <si>
    <t>Liaojin</t>
  </si>
  <si>
    <t>Eparia</t>
  </si>
  <si>
    <t>eh-PAH-ree-ah</t>
  </si>
  <si>
    <t>/ˌɛpˈɑːr.i.ə/</t>
  </si>
  <si>
    <t>.epa</t>
  </si>
  <si>
    <t>Tarimav</t>
  </si>
  <si>
    <t>Eparian</t>
  </si>
  <si>
    <t>Stinebar</t>
  </si>
  <si>
    <t>STYNE-bar</t>
  </si>
  <si>
    <t>/ˈstaɪn.bɑːr/</t>
  </si>
  <si>
    <t>.sti</t>
  </si>
  <si>
    <t>Laphaai</t>
  </si>
  <si>
    <t>Stinebarian</t>
  </si>
  <si>
    <t>Yutnitu</t>
  </si>
  <si>
    <t>YOOT-nee-too</t>
  </si>
  <si>
    <t>/ˈjuːt.niː.tuː/</t>
  </si>
  <si>
    <t>.yut</t>
  </si>
  <si>
    <t>Teroc</t>
  </si>
  <si>
    <t>Yutnitun</t>
  </si>
  <si>
    <t>Candenat</t>
  </si>
  <si>
    <t>KAN-deh-nat</t>
  </si>
  <si>
    <t>/ˈkæn.də.næt/</t>
  </si>
  <si>
    <t>.can</t>
  </si>
  <si>
    <t>Pavrette</t>
  </si>
  <si>
    <t>Candenati</t>
  </si>
  <si>
    <t>Umendel</t>
  </si>
  <si>
    <t>oo-MEN-del</t>
  </si>
  <si>
    <t>/ˌuːˈmɛn.dəl/</t>
  </si>
  <si>
    <t>.ume</t>
  </si>
  <si>
    <t>Vireptan</t>
  </si>
  <si>
    <t>Umendelite</t>
  </si>
  <si>
    <t>Aplasia</t>
  </si>
  <si>
    <t>ah-PLAY-zee-ah</t>
  </si>
  <si>
    <t>/ɑːˈpleɪ.zi.ə/</t>
  </si>
  <si>
    <t>.apl</t>
  </si>
  <si>
    <t>Yondhu</t>
  </si>
  <si>
    <t xml:space="preserve">Aplasian </t>
  </si>
  <si>
    <t>Ikzen</t>
  </si>
  <si>
    <t>IK-zen</t>
  </si>
  <si>
    <t>/ˈɪk.zən/</t>
  </si>
  <si>
    <t>.ikz</t>
  </si>
  <si>
    <t>Velotha</t>
  </si>
  <si>
    <t>Ikzener</t>
  </si>
  <si>
    <t>Canldives</t>
  </si>
  <si>
    <t>KANL-dyves</t>
  </si>
  <si>
    <t>/ˈkænld.aɪvz/</t>
  </si>
  <si>
    <t>.cvd</t>
  </si>
  <si>
    <t>Maranthulo</t>
  </si>
  <si>
    <t>Canldivese</t>
  </si>
  <si>
    <t>Sattle</t>
  </si>
  <si>
    <t>SAT-ul</t>
  </si>
  <si>
    <t>/ˈsæt.əl/</t>
  </si>
  <si>
    <t>.sat</t>
  </si>
  <si>
    <t>Espralit</t>
  </si>
  <si>
    <t>Sattlean</t>
  </si>
  <si>
    <t>Pruim Fijan</t>
  </si>
  <si>
    <t>PROO-im FEE-jahn</t>
  </si>
  <si>
    <t>/ˈpruː.ɪm ˈfiː.dʒɑːn/</t>
  </si>
  <si>
    <t>.pru</t>
  </si>
  <si>
    <t>Senkowari</t>
  </si>
  <si>
    <t>Fijani</t>
  </si>
  <si>
    <t>Danocia</t>
  </si>
  <si>
    <t>da-NO-see-ah</t>
  </si>
  <si>
    <t>/ˌdæ.noʊˈsiː.ə/</t>
  </si>
  <si>
    <t>.dan</t>
  </si>
  <si>
    <t>Tazmirak</t>
  </si>
  <si>
    <t>Danocian</t>
  </si>
  <si>
    <t>New Kizura</t>
  </si>
  <si>
    <t>nyoo KIH-zoo-rah</t>
  </si>
  <si>
    <t>/njuː ˈkɪ.zʊr.ɑː/</t>
  </si>
  <si>
    <t>.kiz</t>
  </si>
  <si>
    <t>Kizuran</t>
  </si>
  <si>
    <t>Saa</t>
  </si>
  <si>
    <t>SAH</t>
  </si>
  <si>
    <t>/sɑː/</t>
  </si>
  <si>
    <t>.saa</t>
  </si>
  <si>
    <t>Suvallor</t>
  </si>
  <si>
    <t>Saan</t>
  </si>
  <si>
    <t>Amcha</t>
  </si>
  <si>
    <t>AM-chah</t>
  </si>
  <si>
    <t>/ˈæm.tʃɑː/</t>
  </si>
  <si>
    <t>.amc</t>
  </si>
  <si>
    <t>Harnuk</t>
  </si>
  <si>
    <t>Amchan</t>
  </si>
  <si>
    <t>Hyelen</t>
  </si>
  <si>
    <t>HY-eh-len</t>
  </si>
  <si>
    <t>/ˈhaɪ.ɛ.lən/</t>
  </si>
  <si>
    <t>.hye</t>
  </si>
  <si>
    <t>PrajuleD</t>
  </si>
  <si>
    <t>Hyelenian</t>
  </si>
  <si>
    <t>Welenu Fana</t>
  </si>
  <si>
    <t>WEH-leh-noo FAH-nah</t>
  </si>
  <si>
    <t>/ˌwɛ.lɛˈnuː ˈfɑː.nɑː/</t>
  </si>
  <si>
    <t>.wel</t>
  </si>
  <si>
    <t>Skalvira</t>
  </si>
  <si>
    <t>Fanian</t>
  </si>
  <si>
    <t>Urbiqu</t>
  </si>
  <si>
    <t>UR-bih-kyoo</t>
  </si>
  <si>
    <t>.urb</t>
  </si>
  <si>
    <t>Alshira</t>
  </si>
  <si>
    <t>Urbiquan</t>
  </si>
  <si>
    <t>Metndria</t>
  </si>
  <si>
    <t>METN-dree-ah</t>
  </si>
  <si>
    <t>/ˈmɛtnd.ri.ɑː/</t>
  </si>
  <si>
    <t>.met</t>
  </si>
  <si>
    <t>Hidoro</t>
  </si>
  <si>
    <t>Metndrian</t>
  </si>
  <si>
    <t>Zhanshe</t>
  </si>
  <si>
    <t>ZHAN-sheh</t>
  </si>
  <si>
    <t>/ˈʒɑːn.ʃeɪ/</t>
  </si>
  <si>
    <t>.zha</t>
  </si>
  <si>
    <t>Tumnar</t>
  </si>
  <si>
    <t>Zhanshean</t>
  </si>
  <si>
    <t>Niretui and Anulan</t>
  </si>
  <si>
    <t>NEE-reh-TOO-ee and AH-noo-lahn</t>
  </si>
  <si>
    <t>/ˌniː.rɛˈtuː.i ænd ˈɑː.nuː.lɑːn/</t>
  </si>
  <si>
    <t>.nir</t>
  </si>
  <si>
    <t>Tarneshi</t>
  </si>
  <si>
    <t>Niretuian,Anulan</t>
  </si>
  <si>
    <t>Migoku</t>
  </si>
  <si>
    <t>MEE-go-koo</t>
  </si>
  <si>
    <t>/ˈmiː.goʊ.kuː/</t>
  </si>
  <si>
    <t>.mig</t>
  </si>
  <si>
    <t>Trisande</t>
  </si>
  <si>
    <t>Migokan</t>
  </si>
  <si>
    <t>Rinew</t>
  </si>
  <si>
    <t>RY-new</t>
  </si>
  <si>
    <t>/ˈraɪ.njuː/</t>
  </si>
  <si>
    <t>.rin</t>
  </si>
  <si>
    <t>Hujbei</t>
  </si>
  <si>
    <t>Rinewan</t>
  </si>
  <si>
    <t>Veelmit</t>
  </si>
  <si>
    <t>VEEL-mit</t>
  </si>
  <si>
    <t>/ˈviːl.mɪt/</t>
  </si>
  <si>
    <t>.vee</t>
  </si>
  <si>
    <t>Anohan</t>
  </si>
  <si>
    <t>Veelmitian</t>
  </si>
  <si>
    <t>Shomjind</t>
  </si>
  <si>
    <t>SHOM-jind</t>
  </si>
  <si>
    <t>/ˈʃɒm.dʒɪnd/</t>
  </si>
  <si>
    <t>.sho</t>
  </si>
  <si>
    <t>City 1 (Arimoa)</t>
  </si>
  <si>
    <t>Shomjindian</t>
  </si>
  <si>
    <t>Elja and Munusia</t>
  </si>
  <si>
    <t>EL-yah and moo-NOO-see-ah</t>
  </si>
  <si>
    <t>/ˈɛl.jɑː ænd muːˈnuː.si.ə/</t>
  </si>
  <si>
    <t>.elj</t>
  </si>
  <si>
    <t>Su Hitan / Mishigi</t>
  </si>
  <si>
    <t>Eljan, Munusian</t>
  </si>
  <si>
    <t>Rkmepuia</t>
  </si>
  <si>
    <t>ruk-MEH-poo-ee-ah</t>
  </si>
  <si>
    <t>/ˌrʌkˈmɛ.puː.i.ɑː/</t>
  </si>
  <si>
    <t>.rkm</t>
  </si>
  <si>
    <t>Somari</t>
  </si>
  <si>
    <t>Rkmepuii</t>
  </si>
  <si>
    <t>Yoprioq</t>
  </si>
  <si>
    <t>YO-pri-ok</t>
  </si>
  <si>
    <t>/ˈjoʊ.pri.ɒk/</t>
  </si>
  <si>
    <t>.yop</t>
  </si>
  <si>
    <t>Tufariyan</t>
  </si>
  <si>
    <t>Yoprioqan</t>
  </si>
  <si>
    <t>Niul Spijan</t>
  </si>
  <si>
    <t>NEE-ul SPEE-jahn</t>
  </si>
  <si>
    <t>/ˈniː.ʌl ˈspiː.dʒɑːn/</t>
  </si>
  <si>
    <t>.niu</t>
  </si>
  <si>
    <t>Chludu Ura</t>
  </si>
  <si>
    <t>Spijani</t>
  </si>
  <si>
    <t>Hiwush</t>
  </si>
  <si>
    <t>HI-wush</t>
  </si>
  <si>
    <t>/ˈhɪ.wʊʃ/</t>
  </si>
  <si>
    <t>.hiw</t>
  </si>
  <si>
    <t>Egatsute</t>
  </si>
  <si>
    <t>Hiwushi</t>
  </si>
  <si>
    <t>Cloja</t>
  </si>
  <si>
    <t>KLOH-jah</t>
  </si>
  <si>
    <t>/ˈkloʊ.dʒɑː/</t>
  </si>
  <si>
    <t>.clo</t>
  </si>
  <si>
    <t>Kezapi</t>
  </si>
  <si>
    <t>Clojan</t>
  </si>
  <si>
    <t>Rethern</t>
  </si>
  <si>
    <t>REH-thurn</t>
  </si>
  <si>
    <t>/ˈrɛ.θɜːrn/</t>
  </si>
  <si>
    <t>.ret</t>
  </si>
  <si>
    <t>Xxvii</t>
  </si>
  <si>
    <t>Rethernian</t>
  </si>
  <si>
    <t>Western Migoku</t>
  </si>
  <si>
    <t>WEST-ern MEE-go-koo</t>
  </si>
  <si>
    <t>/ˈwɛs.tərn ˈmiː.goʊ.kuː/</t>
  </si>
  <si>
    <t>.wmi</t>
  </si>
  <si>
    <t>Jemlosta</t>
  </si>
  <si>
    <t>Migokuan</t>
  </si>
  <si>
    <t>Enina</t>
  </si>
  <si>
    <t>eh-NEE-nah</t>
  </si>
  <si>
    <t>/ɛˈniː.nə/</t>
  </si>
  <si>
    <t>.eni</t>
  </si>
  <si>
    <t>Ementav</t>
  </si>
  <si>
    <t xml:space="preserve">Eninan </t>
  </si>
  <si>
    <t>Far Lands</t>
  </si>
  <si>
    <t>FAR lands</t>
  </si>
  <si>
    <t>/fɑːr lændz/</t>
  </si>
  <si>
    <t>.far</t>
  </si>
  <si>
    <t>Ueente</t>
  </si>
  <si>
    <t xml:space="preserve">Farlander </t>
  </si>
  <si>
    <t>Isuibul</t>
  </si>
  <si>
    <t>EE-soo-ih-bul</t>
  </si>
  <si>
    <t>/iːˈsuː.ɪ.bʊl/</t>
  </si>
  <si>
    <t>.isu</t>
  </si>
  <si>
    <t>Karundal</t>
  </si>
  <si>
    <t>Isuibuler</t>
  </si>
  <si>
    <t>Tonder</t>
  </si>
  <si>
    <t>TON-der</t>
  </si>
  <si>
    <t>/ˈtɒn.dər/</t>
  </si>
  <si>
    <t>.ton</t>
  </si>
  <si>
    <t>Tonderian</t>
  </si>
  <si>
    <t>Letan</t>
  </si>
  <si>
    <t>LEH-tahn</t>
  </si>
  <si>
    <t>/ˈlɛ.tɑːn/</t>
  </si>
  <si>
    <t>.let</t>
  </si>
  <si>
    <t>Actilica</t>
  </si>
  <si>
    <t>Tvecoca</t>
  </si>
  <si>
    <t>tveh-KOH-kah</t>
  </si>
  <si>
    <t>/ˌtvɛˈkoʊ.kɑː/</t>
  </si>
  <si>
    <t>.tve</t>
  </si>
  <si>
    <t>Lurvani</t>
  </si>
  <si>
    <t>Tvecocan</t>
  </si>
  <si>
    <t>Trevilla</t>
  </si>
  <si>
    <t>treh-VILL-ah</t>
  </si>
  <si>
    <t>/ˌtrɛˈvɪl.ɑː/</t>
  </si>
  <si>
    <t>.tre</t>
  </si>
  <si>
    <t>City Tirnsch</t>
  </si>
  <si>
    <t>Trevillian</t>
  </si>
  <si>
    <t>Cruthi Anoso</t>
  </si>
  <si>
    <t>KROO-thee AH-noh-soh</t>
  </si>
  <si>
    <t>/ˈkruː.θi ˈɑː.noʊ.soʊ/</t>
  </si>
  <si>
    <t>.cru</t>
  </si>
  <si>
    <t>Lunarev</t>
  </si>
  <si>
    <t>Cruthite</t>
  </si>
  <si>
    <t>Totals</t>
  </si>
  <si>
    <t>N/a</t>
  </si>
  <si>
    <t>Num</t>
  </si>
  <si>
    <t>Geoscheme</t>
  </si>
  <si>
    <t>East Quia</t>
  </si>
  <si>
    <t>|-</t>
  </si>
  <si>
    <t>North New Ayre</t>
  </si>
  <si>
    <t>South Ayuma</t>
  </si>
  <si>
    <r>
      <rPr>
        <color rgb="FF1155CC"/>
        <u/>
      </rPr>
      <t>Gaeiya</t>
    </r>
  </si>
  <si>
    <t>|}</t>
  </si>
  <si>
    <t>Column 1</t>
  </si>
  <si>
    <t>Middle Acrola</t>
  </si>
  <si>
    <t>North Acrola</t>
  </si>
  <si>
    <t>South Acrola</t>
  </si>
  <si>
    <t>Central Atirha</t>
  </si>
  <si>
    <t>East Atirha</t>
  </si>
  <si>
    <t>West Atirha</t>
  </si>
  <si>
    <t>Central Ayuma</t>
  </si>
  <si>
    <t>North Ayuma</t>
  </si>
  <si>
    <t>West Ayuma</t>
  </si>
  <si>
    <t>East Mahea</t>
  </si>
  <si>
    <t>North Mahea</t>
  </si>
  <si>
    <t>South Mahea</t>
  </si>
  <si>
    <t>West Mahea</t>
  </si>
  <si>
    <t>North Massir</t>
  </si>
  <si>
    <t>South Massir</t>
  </si>
  <si>
    <t>West Massir</t>
  </si>
  <si>
    <t>South New Ayre</t>
  </si>
  <si>
    <t>North Quia</t>
  </si>
  <si>
    <t>South Quia</t>
  </si>
  <si>
    <t>West Quia</t>
  </si>
  <si>
    <t>Allineces</t>
  </si>
  <si>
    <t>Alliance</t>
  </si>
  <si>
    <t>Economic</t>
  </si>
  <si>
    <t>Military</t>
  </si>
  <si>
    <t xml:space="preserve"> Strategic Interests</t>
  </si>
  <si>
    <t xml:space="preserve"> Current Status</t>
  </si>
  <si>
    <t xml:space="preserve"> Primary Threats</t>
  </si>
  <si>
    <t>301M</t>
  </si>
  <si>
    <t>W8,5T</t>
  </si>
  <si>
    <t>M28,492</t>
  </si>
  <si>
    <t>ADT, BDT, DAC, RSDA</t>
  </si>
  <si>
    <t>Maintaining technological supremacy, countering Dahe in Eanif-Vish, energy independence, DAC leadership</t>
  </si>
  <si>
    <t>Post-election transition. Focus on trade policy, border security, and Rianan alliances. Defense spending at 3.4% GDP.</t>
  </si>
  <si>
    <t>Areoix Lie, Pelugrotoa</t>
  </si>
  <si>
    <t>890M</t>
  </si>
  <si>
    <t>M9,5T</t>
  </si>
  <si>
    <t>M10,755</t>
  </si>
  <si>
    <t>BDT, DAC, RRO, SHISA</t>
  </si>
  <si>
    <t>Naval expansion in Adrad Sea, Massiran free trade zone, technological self-reliance, industrial competitiveness</t>
  </si>
  <si>
    <t>Economic slowdown, demographic challenges. Energy diversification. Tensions with Pelugrotoa over Seytiemas and tech.</t>
  </si>
  <si>
    <t xml:space="preserve">Areoix Lie
, Ocaun, Pelugrotoa
</t>
  </si>
  <si>
    <t>347M</t>
  </si>
  <si>
    <t>M4,1T</t>
  </si>
  <si>
    <t>M11,861</t>
  </si>
  <si>
    <t>APA, MPU, NMCC</t>
  </si>
  <si>
    <t>Military expansion across Mahea, Mahean Petroleum Union, Focus on asymmetric capabilities and energy leverage.</t>
  </si>
  <si>
    <t>New administration. Economic growth. Tensions with Sunsokua over Riala Island and Oil drilling rights.</t>
  </si>
  <si>
    <t xml:space="preserve">Dahe, Ocaun,
 Sunsokua
</t>
  </si>
  <si>
    <t>579M</t>
  </si>
  <si>
    <t>M4,5T</t>
  </si>
  <si>
    <t>M7,937</t>
  </si>
  <si>
    <t>AANS, APA</t>
  </si>
  <si>
    <t>Countering Estijan, Pelugrotoan partnership, energy security, counter-terrorism</t>
  </si>
  <si>
    <t>AANS active. Rapid economic growth. Defense modernization. Resource exports critical.</t>
  </si>
  <si>
    <t>Estijan, Raledria</t>
  </si>
  <si>
    <t>260M</t>
  </si>
  <si>
    <t>M2,8T</t>
  </si>
  <si>
    <t>M10,754</t>
  </si>
  <si>
    <t>AFTZ</t>
  </si>
  <si>
    <t>Ayuman dominance, defense modernization, maintaining influence in former Huan states, countering Arten and Raledria expansion</t>
  </si>
  <si>
    <t>Labour government focuses on economic stability. Energy diversification from Areoix Lie. Border tensions with Fermori persist</t>
  </si>
  <si>
    <t>Areoix Lie, Raledria</t>
  </si>
  <si>
    <t>74M</t>
  </si>
  <si>
    <t>M2,6T</t>
  </si>
  <si>
    <t>M35,397</t>
  </si>
  <si>
    <t>DAC</t>
  </si>
  <si>
    <t>Moaneill sovereignty, energy exports, defense spending, supporting Pelan, Raledria relations</t>
  </si>
  <si>
    <t>New government focuses on defense modernization. Ayren security priority. Economic challenges</t>
  </si>
  <si>
    <t>Pelan, Migration</t>
  </si>
  <si>
    <t>69M</t>
  </si>
  <si>
    <t>M1,5T</t>
  </si>
  <si>
    <t>M22,302</t>
  </si>
  <si>
    <t>DAC, RSDA</t>
  </si>
  <si>
    <t>Energy transition, defense spending increase, industrial competitiveness, trade agreements</t>
  </si>
  <si>
    <t>Post-election coalition formation. Defense spending target 4% GDP. Energy diversification from Pelugrotoa.</t>
  </si>
  <si>
    <t>Emara, Estijan</t>
  </si>
  <si>
    <t>90M</t>
  </si>
  <si>
    <t>M2.1T</t>
  </si>
  <si>
    <t>M23,214</t>
  </si>
  <si>
    <t>Global Emara, Kera-Ubrana pivot, defense modernization, Border tensions with Etretes persist.</t>
  </si>
  <si>
    <t>Defense spending increase. Strong support for Ukraine. Tensions in Koaissan region. Nuclear modernization.</t>
  </si>
  <si>
    <t>Raledria, Verusa</t>
  </si>
  <si>
    <t>79M</t>
  </si>
  <si>
    <t>M1.0T</t>
  </si>
  <si>
    <t>M12,579</t>
  </si>
  <si>
    <t>SHDA, SHISA</t>
  </si>
  <si>
    <t>Energy market control, economic diversification, regional influence, countering Pelugrotoa</t>
  </si>
  <si>
    <t>Economic diversification efforts. Normalization talks with Pelugrotoa. countering Ocaun.</t>
  </si>
  <si>
    <t>Pelugrotoa, Ocaun</t>
  </si>
  <si>
    <t>425M</t>
  </si>
  <si>
    <t>M1.4T</t>
  </si>
  <si>
    <t>M3,408</t>
  </si>
  <si>
    <t>QU</t>
  </si>
  <si>
    <t>Quian leadership, digital infrastructure, countering Raledrian infuence, energy security, space capabilities</t>
  </si>
  <si>
    <t>Rapid economic growth. Strengthening ties with Dahe and Pelugrotoa. Border tensions with Wundry persist.</t>
  </si>
  <si>
    <t>81M</t>
  </si>
  <si>
    <t>M1.6T</t>
  </si>
  <si>
    <t>M20,635</t>
  </si>
  <si>
    <t>DAC+</t>
  </si>
  <si>
    <t>National integration, migration control, energy security, defense modernization</t>
  </si>
  <si>
    <t>Right-wing government. Support for Raledria. Energy diversification from Sunsokua. Economic challenges.</t>
  </si>
  <si>
    <t>71M</t>
  </si>
  <si>
    <t>M790B</t>
  </si>
  <si>
    <t>M10,992</t>
  </si>
  <si>
    <t>DAC+, SHISA</t>
  </si>
  <si>
    <t>Maritime security, trade hub, balancing Dahen-Pelugrotoan, technology</t>
  </si>
  <si>
    <t>New OSI administration. Pelugrotoan tensions. Strong Dahen support. Semiconductor hub.</t>
  </si>
  <si>
    <t>Dual Cenryia, Pelugrotoa</t>
  </si>
  <si>
    <t>62M</t>
  </si>
  <si>
    <t>M793B</t>
  </si>
  <si>
    <t>M12,738</t>
  </si>
  <si>
    <t>Countering Pelugrotoa, defense spending increase, energy security, technology leadership</t>
  </si>
  <si>
    <t>New administration. Economic growth. Strategic location in Hinsakian Resource exports.</t>
  </si>
  <si>
    <t>53M</t>
  </si>
  <si>
    <t>M539B</t>
  </si>
  <si>
    <t>M10,119</t>
  </si>
  <si>
    <t>QU, SHISA</t>
  </si>
  <si>
    <t>Nuclear program, regional proxy influence, countering Raledrian/Pelugrotoan, energy exports</t>
  </si>
  <si>
    <t>Leadership transition. Nuclear tensions. Proxy conflicts with United Mihili.</t>
  </si>
  <si>
    <t>29M</t>
  </si>
  <si>
    <t>M747B</t>
  </si>
  <si>
    <t>M25,000</t>
  </si>
  <si>
    <t>Strategic autonomy, Ayuman influence, nuclear deterrence, defense industry, climate leadership</t>
  </si>
  <si>
    <t>Conservetive government focuses on migration. Strong support for Migoku. DAC partnership active.</t>
  </si>
  <si>
    <t>Estijan, Emara</t>
  </si>
  <si>
    <t>93M</t>
  </si>
  <si>
    <t>M956B</t>
  </si>
  <si>
    <t>M10,198</t>
  </si>
  <si>
    <t>Environmental protection, DAC Membership, regional influence, energy independence</t>
  </si>
  <si>
    <t>DAC membership. Environmental policies. Economic recovery. Regional diplomacy.</t>
  </si>
  <si>
    <t>Astye, Economic</t>
  </si>
  <si>
    <t>85M</t>
  </si>
  <si>
    <t>M962B</t>
  </si>
  <si>
    <t>M11,230</t>
  </si>
  <si>
    <t>AANS</t>
  </si>
  <si>
    <t>Regional influence, energy hub, countering Hkuqoan groups, balancing East-West</t>
  </si>
  <si>
    <t>AANS member with strained relations. Jau operations. Economic challenges. Ealdorii relations complex.</t>
  </si>
  <si>
    <t>21M</t>
  </si>
  <si>
    <t>M489B</t>
  </si>
  <si>
    <t>M22,897</t>
  </si>
  <si>
    <t>Security, countering Vesozata, normalization with neighboring states, technology exports</t>
  </si>
  <si>
    <t>Hathians conflict ongoing. Emaran tensions. Normalization paused. Strong Dahen support.</t>
  </si>
  <si>
    <t>Emara, Hathians, Vesozata</t>
  </si>
  <si>
    <t>M409B</t>
  </si>
  <si>
    <t>M14,048</t>
  </si>
  <si>
    <t>Quian Union southern flank, defense modernization, supporting Verste, economic security</t>
  </si>
  <si>
    <t>New left-wing government. Dahen trade critical. Migration challenges. Energy sector reforms.</t>
  </si>
  <si>
    <t>M834B</t>
  </si>
  <si>
    <t>M15,556</t>
  </si>
  <si>
    <t>Raledrian relations, migration management, energy independence, trade</t>
  </si>
  <si>
    <t>Right-wing government. Raledrian trade critical. Migration challenges. Population growth.</t>
  </si>
  <si>
    <t>Raledria, Terrorism</t>
  </si>
  <si>
    <t>121M</t>
  </si>
  <si>
    <t>M377B</t>
  </si>
  <si>
    <t>M3,099</t>
  </si>
  <si>
    <t>RAL-VSZ Alliance</t>
  </si>
  <si>
    <t>Territorial integrity, Raledrian Allience, global integration, defense</t>
  </si>
  <si>
    <t xml:space="preserve">Strained relations with Dahe. Eparia operations. Economic growth. </t>
  </si>
  <si>
    <t>Economic, Crime</t>
  </si>
  <si>
    <t>236M</t>
  </si>
  <si>
    <t>M741B</t>
  </si>
  <si>
    <t>M3,135</t>
  </si>
  <si>
    <t>MPU, NMCC</t>
  </si>
  <si>
    <t>Undoson protection, regional influence, energy independence, counter-terrorism</t>
  </si>
  <si>
    <t>New administration. Economic growth. Resource exports. Strong Pelugrotoan support.</t>
  </si>
  <si>
    <t>Dahe, Migration</t>
  </si>
  <si>
    <t>44M</t>
  </si>
  <si>
    <t>M473B</t>
  </si>
  <si>
    <t>M10,635</t>
  </si>
  <si>
    <t>DAC+, RSDA</t>
  </si>
  <si>
    <t>RSDA leadership, maritime security, economic growth, balancing Raledrian-Emaran</t>
  </si>
  <si>
    <t>Economic crisis. Ucrua border tensions. Raledrian support. Energy diversification.</t>
  </si>
  <si>
    <t>Dahe, Emara</t>
  </si>
  <si>
    <t>88M</t>
  </si>
  <si>
    <t>M43B</t>
  </si>
  <si>
    <t>M488</t>
  </si>
  <si>
    <t>Nuclear program, regional proxy influence, countering Pelugrotoa, economic independence</t>
  </si>
  <si>
    <t>Civil war ongoing. Raledrian support critical. Reconstruction needs.</t>
  </si>
  <si>
    <t>Everyone</t>
  </si>
  <si>
    <t>M225B</t>
  </si>
  <si>
    <t>M2,560</t>
  </si>
  <si>
    <t>SACC</t>
  </si>
  <si>
    <t>Regional leadership, energy exports, counter-terrorism, economic diversification</t>
  </si>
  <si>
    <t>Largest south acrolan economy. Security challenges in north. Oil-dependent. Population growth.</t>
  </si>
  <si>
    <t>ACF, Economic</t>
  </si>
  <si>
    <t>Ashani</t>
  </si>
  <si>
    <t>20M</t>
  </si>
  <si>
    <t>M633B</t>
  </si>
  <si>
    <t>M30,590</t>
  </si>
  <si>
    <t>Energy exports, regional influence, technology hub, normalization</t>
  </si>
  <si>
    <t>Economic diversification. Normalization with Ashain. Regional diplomacy. Energy wealth.</t>
  </si>
  <si>
    <t>United Mihili, Migration</t>
  </si>
  <si>
    <t>Historical</t>
  </si>
  <si>
    <t>Done</t>
  </si>
  <si>
    <t>Greece/Bulgaria</t>
  </si>
  <si>
    <t>Korea</t>
  </si>
  <si>
    <t>Arabia</t>
  </si>
  <si>
    <t>Iraq</t>
  </si>
  <si>
    <t>Ethiopia</t>
  </si>
  <si>
    <t>North Iraq</t>
  </si>
  <si>
    <t>Britan</t>
  </si>
  <si>
    <t>Russia</t>
  </si>
  <si>
    <t>Bangledesh</t>
  </si>
  <si>
    <t>Hungary</t>
  </si>
  <si>
    <t>Mexico</t>
  </si>
  <si>
    <t>Sweden</t>
  </si>
  <si>
    <t>Pakistan</t>
  </si>
  <si>
    <t>Central Asia</t>
  </si>
  <si>
    <t>Nigeria</t>
  </si>
  <si>
    <t>Tibet</t>
  </si>
  <si>
    <t>Cyprus/Israle</t>
  </si>
  <si>
    <t>Greece</t>
  </si>
  <si>
    <t>South India</t>
  </si>
  <si>
    <t>Praesy</t>
  </si>
  <si>
    <t>Chile</t>
  </si>
  <si>
    <t>Indonesia</t>
  </si>
  <si>
    <t>Thailand</t>
  </si>
  <si>
    <t>Canada</t>
  </si>
  <si>
    <t>Poland</t>
  </si>
  <si>
    <t>Argentina</t>
  </si>
  <si>
    <t>Taiwan</t>
  </si>
  <si>
    <t>North Italy</t>
  </si>
  <si>
    <t>South Italy</t>
  </si>
  <si>
    <t>Denmark</t>
  </si>
  <si>
    <t>Turkey</t>
  </si>
  <si>
    <t>Belarus</t>
  </si>
  <si>
    <t>Malaysia</t>
  </si>
  <si>
    <t>Greek colony</t>
  </si>
  <si>
    <t>Manchuria</t>
  </si>
  <si>
    <t>Norway</t>
  </si>
  <si>
    <t>Cambodia</t>
  </si>
  <si>
    <t>Part of Indonesia</t>
  </si>
  <si>
    <t>Armenia</t>
  </si>
  <si>
    <t>Geaiya</t>
  </si>
  <si>
    <t>Bolivia</t>
  </si>
  <si>
    <t>Congo</t>
  </si>
  <si>
    <t>Peru</t>
  </si>
  <si>
    <t>Laseltsh</t>
  </si>
  <si>
    <t>Alaska</t>
  </si>
  <si>
    <t>Estonia</t>
  </si>
  <si>
    <t>South Africa</t>
  </si>
  <si>
    <t>Ecuador</t>
  </si>
  <si>
    <t>Finland</t>
  </si>
  <si>
    <t>Vermont</t>
  </si>
  <si>
    <t>Inca/preu</t>
  </si>
  <si>
    <t>Philipines</t>
  </si>
  <si>
    <t>Gyuana</t>
  </si>
  <si>
    <t>Angola</t>
  </si>
  <si>
    <t>Laos</t>
  </si>
  <si>
    <t>Mali</t>
  </si>
  <si>
    <t>Switzerland</t>
  </si>
  <si>
    <t>Cameroon</t>
  </si>
  <si>
    <t>Butan</t>
  </si>
  <si>
    <t>Bulgaria</t>
  </si>
  <si>
    <t>Gabon</t>
  </si>
  <si>
    <t>Hati</t>
  </si>
  <si>
    <t>Azerbizan</t>
  </si>
  <si>
    <t>Nepal</t>
  </si>
  <si>
    <t>Figi</t>
  </si>
  <si>
    <t>Hondorus</t>
  </si>
  <si>
    <t>Ghana</t>
  </si>
  <si>
    <t>Hong Kong</t>
  </si>
  <si>
    <t>Lithuania</t>
  </si>
  <si>
    <t>Netherlands</t>
  </si>
  <si>
    <t>Bukina Faso</t>
  </si>
  <si>
    <t>Mongolia</t>
  </si>
  <si>
    <t>Costa Rica</t>
  </si>
  <si>
    <t>Uzbekistan</t>
  </si>
  <si>
    <t>Sudan</t>
  </si>
  <si>
    <t>Lebanon</t>
  </si>
  <si>
    <t>Botswana</t>
  </si>
  <si>
    <t>Slovinia</t>
  </si>
  <si>
    <t>Macau</t>
  </si>
  <si>
    <t>.gea</t>
  </si>
  <si>
    <t>Geaiyan</t>
  </si>
  <si>
    <t>Laseltshan</t>
  </si>
  <si>
    <t>Praesian</t>
  </si>
  <si>
    <t>NORTH air</t>
  </si>
  <si>
    <t>/nɔːrθ ɛər/</t>
  </si>
  <si>
    <t>EE-lee-</t>
  </si>
  <si>
    <t>PRAY-see</t>
  </si>
  <si>
    <t>/ˈpreɪ.si/</t>
  </si>
  <si>
    <t>Column 3</t>
  </si>
  <si>
    <t>Column 9</t>
  </si>
  <si>
    <t>Number</t>
  </si>
  <si>
    <t>Before</t>
  </si>
  <si>
    <t>GDP Nominal</t>
  </si>
  <si>
    <t>PPP</t>
  </si>
  <si>
    <t>Miultiplyer</t>
  </si>
  <si>
    <t>GDP Capita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</si>
</sst>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"/>
    <numFmt numFmtId="165" formatCode="0.000"/>
    <numFmt numFmtId="166" formatCode="[$$]#,##0"/>
    <numFmt numFmtId="167" formatCode="&quot;$&quot;#,##0"/>
    <numFmt numFmtId="168" formatCode="+0"/>
    <numFmt numFmtId="169" formatCode="#,###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b/>
      <color theme="1"/>
      <name val="Arial"/>
      <scheme val="minor"/>
    </font>
    <font>
      <color rgb="FF434343"/>
      <name val="Roboto"/>
    </font>
    <font>
      <b/>
      <color rgb="FF434343"/>
      <name val="Roboto"/>
    </font>
    <font>
      <color theme="1"/>
      <name val="Arial"/>
    </font>
    <font>
      <color rgb="FFFFFFFF"/>
      <name val="Arial"/>
    </font>
    <font>
      <b/>
      <color theme="1"/>
      <name val="Roboto"/>
    </font>
    <font>
      <b/>
      <color rgb="FF000000"/>
      <name val="Roboto"/>
    </font>
    <font>
      <b/>
      <color theme="1"/>
      <name val="Arial"/>
    </font>
    <font>
      <color rgb="FF434343"/>
      <name val="Arial"/>
    </font>
    <font>
      <u/>
      <color rgb="FF0000FF"/>
    </font>
    <font>
      <color theme="1"/>
      <name val="Roboto"/>
    </font>
    <font>
      <i/>
      <color rgb="FFFFFFFF"/>
      <name val="Roboto"/>
    </font>
    <font>
      <b/>
      <i/>
      <color theme="1"/>
      <name val="Arial"/>
      <scheme val="minor"/>
    </font>
    <font>
      <i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CCD9D4"/>
        <bgColor rgb="FFCCD9D4"/>
      </patternFill>
    </fill>
    <fill>
      <patternFill patternType="solid">
        <fgColor rgb="FFCDD9D4"/>
        <bgColor rgb="FFCDD9D4"/>
      </patternFill>
    </fill>
  </fills>
  <borders count="22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CCD9D4"/>
      </left>
      <right style="thin">
        <color rgb="FFCCD9D4"/>
      </right>
      <top>
        <color rgb="FF284E3F"/>
      </top>
      <bottom style="thin">
        <color rgb="FF284E3F"/>
      </bottom>
    </border>
    <border>
      <left style="thin">
        <color rgb="FFCCD9D4"/>
      </left>
      <right style="thin">
        <color rgb="FF284E3F"/>
      </right>
      <top>
        <color rgb="FF284E3F"/>
      </top>
      <bottom style="thin">
        <color rgb="FF284E3F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284E3F"/>
      </left>
      <right style="thin">
        <color rgb="FFF6F8F9"/>
      </right>
      <bottom style="thin">
        <color rgb="FFF6F8F9"/>
      </bottom>
    </border>
    <border>
      <left style="thin">
        <color rgb="FFF6F8F9"/>
      </left>
      <right style="thin">
        <color rgb="FFF6F8F9"/>
      </right>
      <bottom style="thin">
        <color rgb="FFF6F8F9"/>
      </bottom>
    </border>
    <border>
      <left style="thin">
        <color rgb="FFF6F8F9"/>
      </left>
      <right style="thin">
        <color rgb="FF284E3F"/>
      </right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CDD9D4"/>
      </right>
      <top>
        <color rgb="FF284E3F"/>
      </top>
      <bottom style="thin">
        <color rgb="FF284E3F"/>
      </bottom>
    </border>
    <border>
      <left style="thin">
        <color rgb="FFCDD9D4"/>
      </left>
      <right style="thin">
        <color rgb="FFCDD9D4"/>
      </right>
      <top>
        <color rgb="FF284E3F"/>
      </top>
      <bottom style="thin">
        <color rgb="FF284E3F"/>
      </bottom>
    </border>
    <border>
      <left style="thin">
        <color rgb="FFCDD9D4"/>
      </left>
      <right style="thin">
        <color rgb="FF284E3F"/>
      </right>
      <top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right style="thin">
        <color rgb="FF356854"/>
      </righ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3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1" fillId="2" fontId="2" numFmtId="49" xfId="0" applyAlignment="1" applyBorder="1" applyFill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1" fillId="2" fontId="2" numFmtId="10" xfId="0" applyAlignment="1" applyBorder="1" applyFont="1" applyNumberFormat="1">
      <alignment horizontal="center" readingOrder="0" shrinkToFit="0" vertical="center" wrapText="0"/>
    </xf>
    <xf borderId="2" fillId="2" fontId="2" numFmtId="10" xfId="0" applyAlignment="1" applyBorder="1" applyFont="1" applyNumberFormat="1">
      <alignment horizontal="center" readingOrder="0" shrinkToFit="0" vertical="center" wrapText="0"/>
    </xf>
    <xf borderId="0" fillId="0" fontId="3" numFmtId="49" xfId="0" applyAlignment="1" applyFont="1" applyNumberFormat="1">
      <alignment horizontal="center" readingOrder="0" shrinkToFit="0" vertical="center" wrapText="0"/>
    </xf>
    <xf borderId="3" fillId="3" fontId="4" numFmtId="164" xfId="0" applyAlignment="1" applyBorder="1" applyFill="1" applyFont="1" applyNumberFormat="1">
      <alignment horizontal="center" shrinkToFit="0" vertical="center" wrapText="0"/>
    </xf>
    <xf borderId="3" fillId="3" fontId="4" numFmtId="49" xfId="0" applyAlignment="1" applyBorder="1" applyFont="1" applyNumberFormat="1">
      <alignment horizontal="center" shrinkToFit="0" vertical="center" wrapText="0"/>
    </xf>
    <xf borderId="0" fillId="0" fontId="1" numFmtId="166" xfId="0" applyAlignment="1" applyFont="1" applyNumberFormat="1">
      <alignment horizontal="center" shrinkToFit="0" vertical="center" wrapText="0"/>
    </xf>
    <xf borderId="0" fillId="0" fontId="1" numFmtId="167" xfId="0" applyAlignment="1" applyFont="1" applyNumberFormat="1">
      <alignment horizontal="center" readingOrder="0" shrinkToFit="0" vertical="center" wrapText="0"/>
    </xf>
    <xf borderId="0" fillId="0" fontId="1" numFmtId="1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4" xfId="0" applyAlignment="1" applyFont="1" applyNumberFormat="1">
      <alignment horizontal="center" readingOrder="0" shrinkToFit="0" vertical="center" wrapText="0"/>
    </xf>
    <xf borderId="0" fillId="0" fontId="1" numFmtId="168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3" fillId="3" fontId="4" numFmtId="166" xfId="0" applyAlignment="1" applyBorder="1" applyFont="1" applyNumberFormat="1">
      <alignment horizontal="center" shrinkToFit="0" vertical="center" wrapText="0"/>
    </xf>
    <xf borderId="3" fillId="3" fontId="4" numFmtId="10" xfId="0" applyAlignment="1" applyBorder="1" applyFont="1" applyNumberFormat="1">
      <alignment horizontal="center" shrinkToFit="0" vertical="center" wrapText="0"/>
    </xf>
    <xf borderId="4" fillId="4" fontId="4" numFmtId="164" xfId="0" applyAlignment="1" applyBorder="1" applyFill="1" applyFont="1" applyNumberFormat="1">
      <alignment horizontal="center" shrinkToFit="0" vertical="center" wrapText="0"/>
    </xf>
    <xf borderId="4" fillId="4" fontId="4" numFmtId="0" xfId="0" applyAlignment="1" applyBorder="1" applyFont="1">
      <alignment horizontal="center" shrinkToFit="0" vertical="center" wrapText="0"/>
    </xf>
    <xf borderId="4" fillId="4" fontId="4" numFmtId="49" xfId="0" applyAlignment="1" applyBorder="1" applyFont="1" applyNumberFormat="1">
      <alignment horizontal="center" shrinkToFit="0" vertical="center" wrapText="0"/>
    </xf>
    <xf borderId="0" fillId="0" fontId="1" numFmtId="166" xfId="0" applyAlignment="1" applyFont="1" applyNumberFormat="1">
      <alignment horizontal="center" readingOrder="0" shrinkToFit="0" vertical="center" wrapText="0"/>
    </xf>
    <xf borderId="4" fillId="4" fontId="4" numFmtId="166" xfId="0" applyAlignment="1" applyBorder="1" applyFont="1" applyNumberFormat="1">
      <alignment horizontal="center" shrinkToFit="0" vertical="center" wrapText="0"/>
    </xf>
    <xf borderId="4" fillId="4" fontId="4" numFmtId="10" xfId="0" applyAlignment="1" applyBorder="1" applyFont="1" applyNumberFormat="1">
      <alignment horizontal="center" shrinkToFit="0" vertical="center" wrapText="0"/>
    </xf>
    <xf borderId="0" fillId="0" fontId="3" numFmtId="49" xfId="0" applyAlignment="1" applyFont="1" applyNumberFormat="1">
      <alignment horizontal="center" readingOrder="0" shrinkToFit="0" vertical="center" wrapText="0"/>
    </xf>
    <xf borderId="3" fillId="4" fontId="4" numFmtId="164" xfId="0" applyAlignment="1" applyBorder="1" applyFont="1" applyNumberFormat="1">
      <alignment horizontal="center" shrinkToFit="0" vertical="center" wrapText="0"/>
    </xf>
    <xf borderId="3" fillId="4" fontId="4" numFmtId="49" xfId="0" applyAlignment="1" applyBorder="1" applyFont="1" applyNumberFormat="1">
      <alignment horizontal="center" shrinkToFit="0" vertical="center" wrapText="0"/>
    </xf>
    <xf borderId="3" fillId="4" fontId="4" numFmtId="166" xfId="0" applyAlignment="1" applyBorder="1" applyFont="1" applyNumberFormat="1">
      <alignment horizontal="center" shrinkToFit="0" vertical="center" wrapText="0"/>
    </xf>
    <xf borderId="3" fillId="4" fontId="4" numFmtId="10" xfId="0" applyAlignment="1" applyBorder="1" applyFont="1" applyNumberFormat="1">
      <alignment horizontal="center" shrinkToFit="0" vertical="center" wrapText="0"/>
    </xf>
    <xf borderId="4" fillId="3" fontId="4" numFmtId="164" xfId="0" applyAlignment="1" applyBorder="1" applyFont="1" applyNumberFormat="1">
      <alignment horizontal="center" shrinkToFit="0" vertical="center" wrapText="0"/>
    </xf>
    <xf borderId="4" fillId="3" fontId="4" numFmtId="49" xfId="0" applyAlignment="1" applyBorder="1" applyFont="1" applyNumberFormat="1">
      <alignment horizontal="center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4" fillId="3" fontId="4" numFmtId="166" xfId="0" applyAlignment="1" applyBorder="1" applyFont="1" applyNumberFormat="1">
      <alignment horizontal="center" shrinkToFit="0" vertical="center" wrapText="0"/>
    </xf>
    <xf borderId="4" fillId="3" fontId="4" numFmtId="10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3" fillId="4" fontId="4" numFmtId="0" xfId="0" applyAlignment="1" applyBorder="1" applyFont="1">
      <alignment horizontal="center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5" fillId="4" fontId="4" numFmtId="10" xfId="0" applyAlignment="1" applyBorder="1" applyFont="1" applyNumberFormat="1">
      <alignment horizontal="center" shrinkToFit="0" vertical="center" wrapText="0"/>
    </xf>
    <xf borderId="3" fillId="3" fontId="4" numFmtId="0" xfId="0" applyAlignment="1" applyBorder="1" applyFont="1">
      <alignment horizontal="center" shrinkToFit="0" vertical="center" wrapText="0"/>
    </xf>
    <xf borderId="0" fillId="0" fontId="1" numFmtId="3" xfId="0" applyAlignment="1" applyFont="1" applyNumberFormat="1">
      <alignment horizontal="center" readingOrder="0" shrinkToFit="0" vertical="center" wrapText="0"/>
    </xf>
    <xf borderId="6" fillId="3" fontId="4" numFmtId="10" xfId="0" applyAlignment="1" applyBorder="1" applyFont="1" applyNumberFormat="1">
      <alignment horizontal="center" shrinkToFit="0" vertical="center" wrapText="0"/>
    </xf>
    <xf borderId="4" fillId="3" fontId="4" numFmtId="0" xfId="0" applyAlignment="1" applyBorder="1" applyFont="1">
      <alignment horizontal="center" shrinkToFit="0" vertical="center" wrapText="0"/>
    </xf>
    <xf borderId="5" fillId="3" fontId="4" numFmtId="10" xfId="0" applyAlignment="1" applyBorder="1" applyFont="1" applyNumberFormat="1">
      <alignment horizontal="center" shrinkToFit="0" vertical="center" wrapText="0"/>
    </xf>
    <xf borderId="6" fillId="4" fontId="4" numFmtId="10" xfId="0" applyAlignment="1" applyBorder="1" applyFont="1" applyNumberFormat="1">
      <alignment horizontal="center" shrinkToFit="0" vertical="center" wrapText="0"/>
    </xf>
    <xf borderId="3" fillId="0" fontId="1" numFmtId="49" xfId="0" applyAlignment="1" applyBorder="1" applyFont="1" applyNumberFormat="1">
      <alignment horizontal="center" readingOrder="0" shrinkToFit="0" vertical="center" wrapText="0"/>
    </xf>
    <xf borderId="3" fillId="4" fontId="4" numFmtId="49" xfId="0" applyAlignment="1" applyBorder="1" applyFont="1" applyNumberFormat="1">
      <alignment horizontal="center" readingOrder="0" shrinkToFit="0" vertical="center" wrapText="0"/>
    </xf>
    <xf borderId="0" fillId="4" fontId="4" numFmtId="49" xfId="0" applyAlignment="1" applyFont="1" applyNumberFormat="1">
      <alignment horizontal="center" shrinkToFit="0" vertical="center" wrapText="0"/>
    </xf>
    <xf borderId="0" fillId="4" fontId="5" numFmtId="49" xfId="0" applyAlignment="1" applyFont="1" applyNumberFormat="1">
      <alignment horizontal="center" readingOrder="0" shrinkToFit="0" vertical="center" wrapText="0"/>
    </xf>
    <xf borderId="4" fillId="0" fontId="1" numFmtId="49" xfId="0" applyAlignment="1" applyBorder="1" applyFont="1" applyNumberFormat="1">
      <alignment horizontal="center" readingOrder="0" shrinkToFit="0" vertical="center" wrapText="0"/>
    </xf>
    <xf borderId="0" fillId="4" fontId="4" numFmtId="0" xfId="0" applyAlignment="1" applyFont="1">
      <alignment horizontal="center" shrinkToFit="0" vertical="center" wrapText="0"/>
    </xf>
    <xf borderId="0" fillId="3" fontId="5" numFmtId="49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3" fillId="0" fontId="1" numFmtId="164" xfId="0" applyAlignment="1" applyBorder="1" applyFont="1" applyNumberForma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6" xfId="0" applyAlignment="1" applyFont="1" applyNumberFormat="1">
      <alignment horizontal="center" shrinkToFit="0" vertical="center" wrapText="0"/>
    </xf>
    <xf borderId="0" fillId="0" fontId="1" numFmtId="167" xfId="0" applyAlignment="1" applyFont="1" applyNumberFormat="1">
      <alignment horizontal="center" shrinkToFit="0" vertical="center" wrapText="0"/>
    </xf>
    <xf borderId="0" fillId="0" fontId="1" numFmtId="1" xfId="0" applyAlignment="1" applyFont="1" applyNumberFormat="1">
      <alignment horizontal="center" shrinkToFit="0" vertical="center" wrapText="0"/>
    </xf>
    <xf borderId="0" fillId="0" fontId="1" numFmtId="165" xfId="0" applyAlignment="1" applyFont="1" applyNumberFormat="1">
      <alignment horizontal="center" shrinkToFit="0" vertical="center" wrapText="0"/>
    </xf>
    <xf borderId="0" fillId="0" fontId="1" numFmtId="4" xfId="0" applyAlignment="1" applyFont="1" applyNumberFormat="1">
      <alignment horizontal="center" shrinkToFit="0" vertical="center" wrapText="0"/>
    </xf>
    <xf borderId="0" fillId="0" fontId="1" numFmtId="168" xfId="0" applyAlignment="1" applyFont="1" applyNumberFormat="1">
      <alignment horizontal="center" shrinkToFit="0" vertical="center" wrapText="0"/>
    </xf>
    <xf borderId="0" fillId="3" fontId="4" numFmtId="164" xfId="0" applyAlignment="1" applyFont="1" applyNumberFormat="1">
      <alignment horizontal="center" readingOrder="0" shrinkToFit="0" vertical="center" wrapText="0"/>
    </xf>
    <xf borderId="7" fillId="5" fontId="6" numFmtId="0" xfId="0" applyAlignment="1" applyBorder="1" applyFill="1" applyFont="1">
      <alignment horizontal="center" shrinkToFit="0" vertical="center" wrapText="0"/>
    </xf>
    <xf borderId="0" fillId="0" fontId="1" numFmtId="1" xfId="0" applyAlignment="1" applyFont="1" applyNumberFormat="1">
      <alignment horizontal="center" shrinkToFit="0" vertical="center" wrapText="0"/>
    </xf>
    <xf borderId="7" fillId="5" fontId="4" numFmtId="166" xfId="0" applyAlignment="1" applyBorder="1" applyFont="1" applyNumberFormat="1">
      <alignment horizontal="center" shrinkToFit="0" vertical="center" wrapText="0"/>
    </xf>
    <xf borderId="8" fillId="5" fontId="4" numFmtId="10" xfId="0" applyAlignment="1" applyBorder="1" applyFont="1" applyNumberFormat="1">
      <alignment horizontal="center" shrinkToFit="0" vertical="center" wrapText="0"/>
    </xf>
    <xf borderId="0" fillId="0" fontId="1" numFmtId="0" xfId="0" applyAlignment="1" applyFont="1">
      <alignment readingOrder="0"/>
    </xf>
    <xf borderId="3" fillId="0" fontId="1" numFmtId="164" xfId="0" applyAlignment="1" applyBorder="1" applyFont="1" applyNumberFormat="1">
      <alignment readingOrder="0"/>
    </xf>
    <xf borderId="0" fillId="3" fontId="6" numFmtId="0" xfId="0" applyAlignment="1" applyFont="1">
      <alignment vertical="bottom"/>
    </xf>
    <xf borderId="0" fillId="0" fontId="1" numFmtId="0" xfId="0" applyAlignment="1" applyFont="1">
      <alignment horizontal="right" readingOrder="0"/>
    </xf>
    <xf borderId="0" fillId="0" fontId="1" numFmtId="0" xfId="0" applyFont="1"/>
    <xf borderId="0" fillId="0" fontId="1" numFmtId="167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1" numFmtId="0" xfId="0" applyAlignment="1" applyFont="1">
      <alignment horizontal="right"/>
    </xf>
    <xf borderId="0" fillId="3" fontId="6" numFmtId="0" xfId="0" applyAlignment="1" applyFont="1">
      <alignment vertical="bottom"/>
    </xf>
    <xf borderId="0" fillId="3" fontId="6" numFmtId="10" xfId="0" applyAlignment="1" applyFont="1" applyNumberFormat="1">
      <alignment vertical="bottom"/>
    </xf>
    <xf borderId="0" fillId="3" fontId="7" numFmtId="10" xfId="0" applyAlignment="1" applyFont="1" applyNumberFormat="1">
      <alignment horizontal="right" vertical="bottom"/>
    </xf>
    <xf borderId="0" fillId="0" fontId="1" numFmtId="164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horizontal="right"/>
    </xf>
    <xf borderId="0" fillId="4" fontId="6" numFmtId="0" xfId="0" applyAlignment="1" applyFont="1">
      <alignment vertical="bottom"/>
    </xf>
    <xf borderId="0" fillId="4" fontId="6" numFmtId="10" xfId="0" applyAlignment="1" applyFont="1" applyNumberFormat="1">
      <alignment vertical="bottom"/>
    </xf>
    <xf borderId="0" fillId="0" fontId="1" numFmtId="166" xfId="0" applyFont="1" applyNumberFormat="1"/>
    <xf borderId="0" fillId="0" fontId="6" numFmtId="10" xfId="0" applyAlignment="1" applyFont="1" applyNumberFormat="1">
      <alignment vertical="bottom"/>
    </xf>
    <xf borderId="9" fillId="0" fontId="8" numFmtId="0" xfId="0" applyAlignment="1" applyBorder="1" applyFont="1">
      <alignment horizontal="center" readingOrder="0" shrinkToFit="0" vertical="bottom" wrapText="1"/>
    </xf>
    <xf borderId="9" fillId="2" fontId="9" numFmtId="49" xfId="0" applyAlignment="1" applyBorder="1" applyFont="1" applyNumberFormat="1">
      <alignment horizontal="center" readingOrder="0" shrinkToFit="0" wrapText="0"/>
    </xf>
    <xf borderId="9" fillId="0" fontId="3" numFmtId="164" xfId="0" applyAlignment="1" applyBorder="1" applyFont="1" applyNumberFormat="1">
      <alignment horizontal="center" readingOrder="0"/>
    </xf>
    <xf borderId="9" fillId="0" fontId="3" numFmtId="49" xfId="0" applyAlignment="1" applyBorder="1" applyFont="1" applyNumberFormat="1">
      <alignment horizontal="center" readingOrder="0"/>
    </xf>
    <xf borderId="9" fillId="0" fontId="8" numFmtId="49" xfId="0" applyAlignment="1" applyBorder="1" applyFont="1" applyNumberFormat="1">
      <alignment horizontal="center" readingOrder="0" shrinkToFit="0" vertical="bottom" wrapText="1"/>
    </xf>
    <xf borderId="9" fillId="0" fontId="10" numFmtId="49" xfId="0" applyAlignment="1" applyBorder="1" applyFont="1" applyNumberFormat="1">
      <alignment horizontal="center" readingOrder="0" vertical="bottom"/>
    </xf>
    <xf borderId="9" fillId="0" fontId="3" numFmtId="0" xfId="0" applyAlignment="1" applyBorder="1" applyFont="1">
      <alignment horizontal="center" readingOrder="0"/>
    </xf>
    <xf borderId="0" fillId="0" fontId="10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3" fontId="6" numFmtId="0" xfId="0" applyAlignment="1" applyFont="1">
      <alignment horizontal="right" vertical="bottom"/>
    </xf>
    <xf borderId="0" fillId="3" fontId="6" numFmtId="0" xfId="0" applyAlignment="1" applyFont="1">
      <alignment horizontal="right" readingOrder="0" vertical="bottom"/>
    </xf>
    <xf borderId="0" fillId="0" fontId="1" numFmtId="0" xfId="0" applyAlignment="1" applyFont="1">
      <alignment horizontal="center" readingOrder="0"/>
    </xf>
    <xf borderId="4" fillId="3" fontId="4" numFmtId="164" xfId="0" applyAlignment="1" applyBorder="1" applyFont="1" applyNumberFormat="1">
      <alignment horizontal="center" shrinkToFit="0" wrapText="0"/>
    </xf>
    <xf borderId="4" fillId="3" fontId="4" numFmtId="164" xfId="0" applyAlignment="1" applyBorder="1" applyFont="1" applyNumberFormat="1">
      <alignment horizontal="center" shrinkToFit="0" wrapText="0"/>
    </xf>
    <xf borderId="0" fillId="0" fontId="3" numFmtId="1" xfId="0" applyAlignment="1" applyFont="1" applyNumberFormat="1">
      <alignment horizontal="center" readingOrder="0"/>
    </xf>
    <xf borderId="0" fillId="3" fontId="4" numFmtId="3" xfId="0" applyAlignment="1" applyFont="1" applyNumberFormat="1">
      <alignment horizontal="center" shrinkToFit="0" wrapText="0"/>
    </xf>
    <xf borderId="0" fillId="0" fontId="1" numFmtId="4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3" fillId="4" fontId="4" numFmtId="164" xfId="0" applyAlignment="1" applyBorder="1" applyFont="1" applyNumberFormat="1">
      <alignment horizontal="center" shrinkToFit="0" wrapText="0"/>
    </xf>
    <xf borderId="3" fillId="4" fontId="4" numFmtId="164" xfId="0" applyAlignment="1" applyBorder="1" applyFont="1" applyNumberFormat="1">
      <alignment horizontal="center" shrinkToFit="0" wrapText="0"/>
    </xf>
    <xf borderId="0" fillId="4" fontId="4" numFmtId="3" xfId="0" applyAlignment="1" applyFont="1" applyNumberFormat="1">
      <alignment horizontal="center" shrinkToFit="0" wrapText="0"/>
    </xf>
    <xf borderId="0" fillId="4" fontId="6" numFmtId="0" xfId="0" applyAlignment="1" applyFont="1">
      <alignment vertical="bottom"/>
    </xf>
    <xf borderId="0" fillId="4" fontId="6" numFmtId="0" xfId="0" applyAlignment="1" applyFont="1">
      <alignment horizontal="right" vertical="bottom"/>
    </xf>
    <xf borderId="0" fillId="4" fontId="6" numFmtId="0" xfId="0" applyAlignment="1" applyFont="1">
      <alignment horizontal="right" readingOrder="0" vertical="bottom"/>
    </xf>
    <xf borderId="0" fillId="0" fontId="1" numFmtId="1" xfId="0" applyAlignment="1" applyFont="1" applyNumberFormat="1">
      <alignment horizontal="center" readingOrder="0"/>
    </xf>
    <xf borderId="4" fillId="4" fontId="4" numFmtId="164" xfId="0" applyAlignment="1" applyBorder="1" applyFont="1" applyNumberFormat="1">
      <alignment horizontal="center" shrinkToFit="0" wrapText="0"/>
    </xf>
    <xf borderId="4" fillId="4" fontId="4" numFmtId="164" xfId="0" applyAlignment="1" applyBorder="1" applyFont="1" applyNumberFormat="1">
      <alignment horizontal="center" shrinkToFit="0" wrapText="0"/>
    </xf>
    <xf borderId="0" fillId="0" fontId="1" numFmtId="0" xfId="0" applyAlignment="1" applyFont="1">
      <alignment horizontal="center" readingOrder="0"/>
    </xf>
    <xf borderId="3" fillId="3" fontId="4" numFmtId="164" xfId="0" applyAlignment="1" applyBorder="1" applyFont="1" applyNumberFormat="1">
      <alignment horizontal="center" shrinkToFit="0" wrapText="0"/>
    </xf>
    <xf borderId="3" fillId="3" fontId="4" numFmtId="164" xfId="0" applyAlignment="1" applyBorder="1" applyFont="1" applyNumberFormat="1">
      <alignment horizontal="center" shrinkToFit="0" wrapText="0"/>
    </xf>
    <xf borderId="0" fillId="0" fontId="1" numFmtId="0" xfId="0" applyAlignment="1" applyFont="1">
      <alignment horizontal="center" readingOrder="0"/>
    </xf>
    <xf borderId="3" fillId="4" fontId="4" numFmtId="164" xfId="0" applyAlignment="1" applyBorder="1" applyFont="1" applyNumberFormat="1">
      <alignment horizontal="center" readingOrder="0" shrinkToFit="0" wrapText="0"/>
    </xf>
    <xf borderId="3" fillId="4" fontId="4" numFmtId="164" xfId="0" applyAlignment="1" applyBorder="1" applyFont="1" applyNumberFormat="1">
      <alignment horizontal="center" readingOrder="0" shrinkToFit="0" wrapText="0"/>
    </xf>
    <xf borderId="0" fillId="0" fontId="6" numFmtId="3" xfId="0" applyAlignment="1" applyFont="1" applyNumberFormat="1">
      <alignment horizontal="center" readingOrder="0" vertical="bottom"/>
    </xf>
    <xf borderId="0" fillId="0" fontId="1" numFmtId="4" xfId="0" applyAlignment="1" applyFont="1" applyNumberFormat="1">
      <alignment horizontal="center" readingOrder="0"/>
    </xf>
    <xf borderId="4" fillId="3" fontId="4" numFmtId="164" xfId="0" applyAlignment="1" applyBorder="1" applyFont="1" applyNumberFormat="1">
      <alignment horizontal="center" readingOrder="0" shrinkToFit="0" wrapText="0"/>
    </xf>
    <xf borderId="4" fillId="3" fontId="4" numFmtId="164" xfId="0" applyAlignment="1" applyBorder="1" applyFont="1" applyNumberFormat="1">
      <alignment horizontal="center" readingOrder="0" shrinkToFit="0" wrapText="0"/>
    </xf>
    <xf borderId="3" fillId="3" fontId="4" numFmtId="164" xfId="0" applyAlignment="1" applyBorder="1" applyFont="1" applyNumberFormat="1">
      <alignment horizontal="center" readingOrder="0" shrinkToFit="0" wrapText="0"/>
    </xf>
    <xf borderId="3" fillId="3" fontId="4" numFmtId="164" xfId="0" applyAlignment="1" applyBorder="1" applyFont="1" applyNumberFormat="1">
      <alignment horizontal="center" readingOrder="0" shrinkToFit="0" wrapText="0"/>
    </xf>
    <xf borderId="0" fillId="3" fontId="4" numFmtId="3" xfId="0" applyAlignment="1" applyFont="1" applyNumberFormat="1">
      <alignment horizontal="center" readingOrder="0" shrinkToFit="0" wrapText="0"/>
    </xf>
    <xf borderId="4" fillId="4" fontId="4" numFmtId="164" xfId="0" applyAlignment="1" applyBorder="1" applyFont="1" applyNumberFormat="1">
      <alignment horizontal="center" readingOrder="0" shrinkToFit="0" wrapText="0"/>
    </xf>
    <xf borderId="4" fillId="4" fontId="4" numFmtId="164" xfId="0" applyAlignment="1" applyBorder="1" applyFont="1" applyNumberFormat="1">
      <alignment horizontal="center" readingOrder="0" shrinkToFit="0" wrapText="0"/>
    </xf>
    <xf borderId="0" fillId="0" fontId="6" numFmtId="0" xfId="0" applyAlignment="1" applyFont="1">
      <alignment horizontal="center" readingOrder="0" vertical="bottom"/>
    </xf>
    <xf borderId="0" fillId="0" fontId="6" numFmtId="3" xfId="0" applyAlignment="1" applyFont="1" applyNumberFormat="1">
      <alignment horizontal="center" readingOrder="0" shrinkToFit="0" vertical="bottom" wrapText="0"/>
    </xf>
    <xf borderId="0" fillId="0" fontId="6" numFmtId="49" xfId="0" applyAlignment="1" applyFont="1" applyNumberFormat="1">
      <alignment horizontal="center" readingOrder="0" shrinkToFit="0" vertical="bottom" wrapText="0"/>
    </xf>
    <xf borderId="0" fillId="0" fontId="6" numFmtId="166" xfId="0" applyAlignment="1" applyFont="1" applyNumberFormat="1">
      <alignment horizontal="center" readingOrder="0" shrinkToFit="0" vertical="bottom" wrapText="0"/>
    </xf>
    <xf borderId="0" fillId="0" fontId="6" numFmtId="167" xfId="0" applyAlignment="1" applyFont="1" applyNumberFormat="1">
      <alignment horizontal="center" readingOrder="0" shrinkToFit="0" vertical="bottom" wrapText="0"/>
    </xf>
    <xf borderId="0" fillId="0" fontId="6" numFmtId="164" xfId="0" applyAlignment="1" applyFont="1" applyNumberFormat="1">
      <alignment horizontal="center" readingOrder="0" shrinkToFit="0" vertical="bottom" wrapText="0"/>
    </xf>
    <xf borderId="0" fillId="0" fontId="6" numFmtId="49" xfId="0" applyAlignment="1" applyFont="1" applyNumberForma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6" numFmtId="169" xfId="0" applyAlignment="1" applyFont="1" applyNumberFormat="1">
      <alignment horizontal="right" shrinkToFit="0" vertical="bottom" wrapText="0"/>
    </xf>
    <xf borderId="0" fillId="0" fontId="6" numFmtId="49" xfId="0" applyAlignment="1" applyFont="1" applyNumberFormat="1">
      <alignment horizontal="center" shrinkToFit="0" vertical="bottom" wrapText="0"/>
    </xf>
    <xf borderId="0" fillId="0" fontId="6" numFmtId="0" xfId="0" applyAlignment="1" applyFont="1">
      <alignment horizontal="center" readingOrder="0" vertical="bottom"/>
    </xf>
    <xf borderId="0" fillId="0" fontId="6" numFmtId="49" xfId="0" applyAlignment="1" applyFont="1" applyNumberFormat="1">
      <alignment horizontal="center" readingOrder="0" vertical="bottom"/>
    </xf>
    <xf borderId="0" fillId="0" fontId="6" numFmtId="166" xfId="0" applyAlignment="1" applyFont="1" applyNumberFormat="1">
      <alignment horizontal="center" readingOrder="0" vertical="bottom"/>
    </xf>
    <xf borderId="0" fillId="0" fontId="6" numFmtId="167" xfId="0" applyAlignment="1" applyFont="1" applyNumberFormat="1">
      <alignment horizontal="center" readingOrder="0" vertical="bottom"/>
    </xf>
    <xf borderId="0" fillId="0" fontId="6" numFmtId="164" xfId="0" applyAlignment="1" applyFont="1" applyNumberFormat="1">
      <alignment horizontal="center" readingOrder="0" vertical="bottom"/>
    </xf>
    <xf borderId="0" fillId="0" fontId="6" numFmtId="169" xfId="0" applyAlignment="1" applyFont="1" applyNumberFormat="1">
      <alignment horizontal="right" vertical="bottom"/>
    </xf>
    <xf borderId="0" fillId="0" fontId="6" numFmtId="49" xfId="0" applyAlignment="1" applyFont="1" applyNumberFormat="1">
      <alignment horizontal="center" vertical="bottom"/>
    </xf>
    <xf borderId="0" fillId="0" fontId="4" numFmtId="3" xfId="0" applyAlignment="1" applyFont="1" applyNumberFormat="1">
      <alignment horizontal="center" readingOrder="0" shrinkToFit="0" wrapText="0"/>
    </xf>
    <xf borderId="0" fillId="0" fontId="4" numFmtId="4" xfId="0" applyAlignment="1" applyFont="1" applyNumberFormat="1">
      <alignment horizontal="center" readingOrder="0" shrinkToFit="0" wrapText="0"/>
    </xf>
    <xf borderId="0" fillId="0" fontId="4" numFmtId="0" xfId="0" applyAlignment="1" applyFont="1">
      <alignment horizontal="center" readingOrder="0" shrinkToFit="0" wrapText="0"/>
    </xf>
    <xf borderId="0" fillId="0" fontId="4" numFmtId="49" xfId="0" applyAlignment="1" applyFont="1" applyNumberFormat="1">
      <alignment horizontal="center" readingOrder="0" shrinkToFit="0" wrapText="0"/>
    </xf>
    <xf borderId="0" fillId="0" fontId="4" numFmtId="49" xfId="0" applyAlignment="1" applyFont="1" applyNumberFormat="1">
      <alignment horizontal="center" shrinkToFit="0" wrapText="0"/>
    </xf>
    <xf borderId="10" fillId="0" fontId="8" numFmtId="0" xfId="0" applyAlignment="1" applyBorder="1" applyFont="1">
      <alignment horizontal="center" readingOrder="0" shrinkToFit="0" vertical="bottom" wrapText="1"/>
    </xf>
    <xf borderId="10" fillId="2" fontId="9" numFmtId="49" xfId="0" applyAlignment="1" applyBorder="1" applyFont="1" applyNumberFormat="1">
      <alignment horizontal="center" readingOrder="0" shrinkToFit="0" wrapText="0"/>
    </xf>
    <xf borderId="10" fillId="0" fontId="3" numFmtId="164" xfId="0" applyAlignment="1" applyBorder="1" applyFont="1" applyNumberFormat="1">
      <alignment horizontal="center" readingOrder="0"/>
    </xf>
    <xf borderId="10" fillId="0" fontId="3" numFmtId="49" xfId="0" applyAlignment="1" applyBorder="1" applyFont="1" applyNumberFormat="1">
      <alignment horizontal="center" readingOrder="0"/>
    </xf>
    <xf borderId="10" fillId="0" fontId="8" numFmtId="49" xfId="0" applyAlignment="1" applyBorder="1" applyFont="1" applyNumberFormat="1">
      <alignment horizontal="center" readingOrder="0" shrinkToFit="0" vertical="bottom" wrapText="1"/>
    </xf>
    <xf borderId="10" fillId="0" fontId="10" numFmtId="49" xfId="0" applyAlignment="1" applyBorder="1" applyFont="1" applyNumberFormat="1">
      <alignment horizontal="center" readingOrder="0" vertical="bottom"/>
    </xf>
    <xf borderId="10" fillId="0" fontId="3" numFmtId="0" xfId="0" applyAlignment="1" applyBorder="1" applyFont="1">
      <alignment horizontal="center" readingOrder="0"/>
    </xf>
    <xf borderId="0" fillId="0" fontId="4" numFmtId="49" xfId="0" applyAlignment="1" applyFont="1" applyNumberFormat="1">
      <alignment shrinkToFit="0" wrapText="0"/>
    </xf>
    <xf borderId="0" fillId="0" fontId="4" numFmtId="49" xfId="0" applyAlignment="1" applyFont="1" applyNumberFormat="1">
      <alignment horizontal="right" shrinkToFit="0" wrapText="0"/>
    </xf>
    <xf borderId="0" fillId="0" fontId="4" numFmtId="0" xfId="0" applyAlignment="1" applyFont="1">
      <alignment shrinkToFit="0" wrapText="0"/>
    </xf>
    <xf borderId="0" fillId="0" fontId="6" numFmtId="49" xfId="0" applyFont="1" applyNumberFormat="1"/>
    <xf borderId="0" fillId="0" fontId="4" numFmtId="49" xfId="0" applyAlignment="1" applyFont="1" applyNumberFormat="1">
      <alignment horizontal="right" readingOrder="0" shrinkToFit="0" wrapText="0"/>
    </xf>
    <xf borderId="0" fillId="0" fontId="4" numFmtId="49" xfId="0" applyAlignment="1" applyFont="1" applyNumberFormat="1">
      <alignment horizontal="center" shrinkToFit="0" wrapText="0"/>
    </xf>
    <xf borderId="11" fillId="4" fontId="4" numFmtId="0" xfId="0" applyAlignment="1" applyBorder="1" applyFont="1">
      <alignment shrinkToFit="0" wrapText="0"/>
    </xf>
    <xf borderId="12" fillId="4" fontId="4" numFmtId="49" xfId="0" applyAlignment="1" applyBorder="1" applyFont="1" applyNumberFormat="1">
      <alignment horizontal="right" shrinkToFit="0" wrapText="0"/>
    </xf>
    <xf borderId="12" fillId="4" fontId="6" numFmtId="49" xfId="0" applyBorder="1" applyFont="1" applyNumberFormat="1"/>
    <xf borderId="12" fillId="4" fontId="4" numFmtId="49" xfId="0" applyAlignment="1" applyBorder="1" applyFont="1" applyNumberFormat="1">
      <alignment horizontal="right" readingOrder="0" shrinkToFit="0" wrapText="0"/>
    </xf>
    <xf borderId="13" fillId="4" fontId="4" numFmtId="49" xfId="0" applyAlignment="1" applyBorder="1" applyFont="1" applyNumberFormat="1">
      <alignment horizontal="right" shrinkToFit="0" wrapText="0"/>
    </xf>
    <xf borderId="14" fillId="3" fontId="4" numFmtId="0" xfId="0" applyAlignment="1" applyBorder="1" applyFont="1">
      <alignment shrinkToFit="0" wrapText="0"/>
    </xf>
    <xf borderId="3" fillId="3" fontId="4" numFmtId="49" xfId="0" applyAlignment="1" applyBorder="1" applyFont="1" applyNumberFormat="1">
      <alignment horizontal="right" shrinkToFit="0" wrapText="0"/>
    </xf>
    <xf borderId="3" fillId="3" fontId="6" numFmtId="49" xfId="0" applyBorder="1" applyFont="1" applyNumberFormat="1"/>
    <xf borderId="3" fillId="3" fontId="4" numFmtId="49" xfId="0" applyAlignment="1" applyBorder="1" applyFont="1" applyNumberFormat="1">
      <alignment horizontal="right" readingOrder="0" shrinkToFit="0" wrapText="0"/>
    </xf>
    <xf borderId="6" fillId="3" fontId="4" numFmtId="49" xfId="0" applyAlignment="1" applyBorder="1" applyFont="1" applyNumberFormat="1">
      <alignment horizontal="right" shrinkToFit="0" wrapText="0"/>
    </xf>
    <xf borderId="15" fillId="4" fontId="4" numFmtId="0" xfId="0" applyAlignment="1" applyBorder="1" applyFont="1">
      <alignment shrinkToFit="0" wrapText="0"/>
    </xf>
    <xf borderId="4" fillId="4" fontId="4" numFmtId="49" xfId="0" applyAlignment="1" applyBorder="1" applyFont="1" applyNumberFormat="1">
      <alignment horizontal="right" shrinkToFit="0" wrapText="0"/>
    </xf>
    <xf borderId="4" fillId="4" fontId="4" numFmtId="49" xfId="0" applyAlignment="1" applyBorder="1" applyFont="1" applyNumberFormat="1">
      <alignment horizontal="right" readingOrder="0" shrinkToFit="0" wrapText="0"/>
    </xf>
    <xf borderId="5" fillId="4" fontId="4" numFmtId="49" xfId="0" applyAlignment="1" applyBorder="1" applyFont="1" applyNumberFormat="1">
      <alignment horizontal="right" shrinkToFit="0" wrapText="0"/>
    </xf>
    <xf borderId="14" fillId="3" fontId="4" numFmtId="49" xfId="0" applyAlignment="1" applyBorder="1" applyFont="1" applyNumberFormat="1">
      <alignment shrinkToFit="0" wrapText="0"/>
    </xf>
    <xf borderId="15" fillId="4" fontId="4" numFmtId="49" xfId="0" applyAlignment="1" applyBorder="1" applyFont="1" applyNumberFormat="1">
      <alignment shrinkToFit="0" wrapText="0"/>
    </xf>
    <xf borderId="4" fillId="4" fontId="6" numFmtId="49" xfId="0" applyBorder="1" applyFont="1" applyNumberFormat="1"/>
    <xf borderId="16" fillId="6" fontId="4" numFmtId="0" xfId="0" applyAlignment="1" applyBorder="1" applyFill="1" applyFont="1">
      <alignment shrinkToFit="0" wrapText="0"/>
    </xf>
    <xf borderId="17" fillId="6" fontId="4" numFmtId="49" xfId="0" applyAlignment="1" applyBorder="1" applyFont="1" applyNumberFormat="1">
      <alignment horizontal="right" shrinkToFit="0" wrapText="0"/>
    </xf>
    <xf borderId="18" fillId="6" fontId="4" numFmtId="49" xfId="0" applyAlignment="1" applyBorder="1" applyFont="1" applyNumberFormat="1">
      <alignment horizontal="right" shrinkToFit="0" wrapText="0"/>
    </xf>
    <xf borderId="0" fillId="0" fontId="4" numFmtId="49" xfId="0" applyAlignment="1" applyFont="1" applyNumberFormat="1">
      <alignment readingOrder="0" shrinkToFit="0" wrapText="0"/>
    </xf>
    <xf borderId="0" fillId="0" fontId="6" numFmtId="49" xfId="0" applyAlignment="1" applyFont="1" applyNumberFormat="1">
      <alignment vertical="bottom"/>
    </xf>
    <xf borderId="0" fillId="0" fontId="6" numFmtId="49" xfId="0" applyAlignment="1" applyFont="1" applyNumberFormat="1">
      <alignment readingOrder="0" vertical="bottom"/>
    </xf>
    <xf borderId="0" fillId="0" fontId="1" numFmtId="49" xfId="0" applyFont="1" applyNumberFormat="1"/>
    <xf borderId="0" fillId="0" fontId="4" numFmtId="49" xfId="0" applyAlignment="1" applyFont="1" applyNumberFormat="1">
      <alignment shrinkToFit="0" wrapText="0"/>
    </xf>
    <xf borderId="0" fillId="0" fontId="4" numFmtId="49" xfId="0" applyAlignment="1" applyFont="1" applyNumberFormat="1">
      <alignment horizontal="center" readingOrder="0" shrinkToFit="0" wrapText="0"/>
    </xf>
    <xf borderId="0" fillId="0" fontId="1" numFmtId="49" xfId="0" applyFont="1" applyNumberFormat="1"/>
    <xf borderId="0" fillId="0" fontId="1" numFmtId="49" xfId="0" applyAlignment="1" applyFont="1" applyNumberFormat="1">
      <alignment readingOrder="0"/>
    </xf>
    <xf borderId="0" fillId="0" fontId="11" numFmtId="49" xfId="0" applyAlignment="1" applyFont="1" applyNumberFormat="1">
      <alignment shrinkToFit="0" wrapText="0"/>
    </xf>
    <xf borderId="0" fillId="0" fontId="6" numFmtId="0" xfId="0" applyAlignment="1" applyFont="1">
      <alignment vertical="bottom"/>
    </xf>
    <xf borderId="0" fillId="0" fontId="6" numFmtId="49" xfId="0" applyAlignment="1" applyFont="1" applyNumberFormat="1">
      <alignment horizontal="right" vertical="bottom"/>
    </xf>
    <xf borderId="0" fillId="0" fontId="6" numFmtId="49" xfId="0" applyAlignment="1" applyFont="1" applyNumberFormat="1">
      <alignment vertical="bottom"/>
    </xf>
    <xf borderId="0" fillId="0" fontId="1" numFmtId="0" xfId="0" applyFont="1"/>
    <xf borderId="0" fillId="0" fontId="1" numFmtId="49" xfId="0" applyAlignment="1" applyFont="1" applyNumberFormat="1">
      <alignment horizontal="right" readingOrder="0"/>
    </xf>
    <xf borderId="0" fillId="0" fontId="3" numFmtId="49" xfId="0" applyAlignment="1" applyFont="1" applyNumberFormat="1">
      <alignment horizontal="right" readingOrder="0"/>
    </xf>
    <xf borderId="0" fillId="0" fontId="12" numFmtId="0" xfId="0" applyAlignment="1" applyFont="1">
      <alignment readingOrder="0"/>
    </xf>
    <xf borderId="0" fillId="0" fontId="1" numFmtId="49" xfId="0" applyAlignment="1" applyFont="1" applyNumberFormat="1">
      <alignment horizontal="right"/>
    </xf>
    <xf borderId="0" fillId="0" fontId="1" numFmtId="49" xfId="0" applyAlignment="1" applyFont="1" applyNumberFormat="1">
      <alignment horizontal="center"/>
    </xf>
    <xf borderId="0" fillId="0" fontId="6" numFmtId="49" xfId="0" applyAlignment="1" applyFont="1" applyNumberFormat="1">
      <alignment horizontal="right" vertical="bottom"/>
    </xf>
    <xf borderId="0" fillId="0" fontId="6" numFmtId="49" xfId="0" applyAlignment="1" applyFont="1" applyNumberFormat="1">
      <alignment horizontal="right" readingOrder="0" vertical="bottom"/>
    </xf>
    <xf borderId="0" fillId="0" fontId="6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3" numFmtId="0" xfId="0" applyAlignment="1" applyFont="1">
      <alignment horizontal="center" readingOrder="0" shrinkToFit="0" vertical="bottom" wrapText="1"/>
    </xf>
    <xf borderId="0" fillId="0" fontId="13" numFmtId="49" xfId="0" applyAlignment="1" applyFont="1" applyNumberFormat="1">
      <alignment horizontal="center" readingOrder="0" shrinkToFit="0" vertical="bottom" wrapText="1"/>
    </xf>
    <xf borderId="0" fillId="0" fontId="6" numFmtId="49" xfId="0" applyAlignment="1" applyFont="1" applyNumberFormat="1">
      <alignment horizontal="center" readingOrder="0" shrinkToFit="0" vertical="bottom" wrapText="0"/>
    </xf>
    <xf borderId="3" fillId="0" fontId="1" numFmtId="0" xfId="0" applyAlignment="1" applyBorder="1" applyFont="1">
      <alignment horizontal="center" readingOrder="0" shrinkToFit="0" vertical="center" wrapText="0"/>
    </xf>
    <xf borderId="3" fillId="3" fontId="4" numFmtId="164" xfId="0" applyAlignment="1" applyBorder="1" applyFont="1" applyNumberFormat="1">
      <alignment horizontal="center" shrinkToFit="0" vertical="center" wrapText="0"/>
    </xf>
    <xf borderId="0" fillId="0" fontId="3" numFmtId="1" xfId="0" applyAlignment="1" applyFont="1" applyNumberFormat="1">
      <alignment horizontal="center" readingOrder="0" shrinkToFit="0" vertical="center" wrapText="0"/>
    </xf>
    <xf borderId="3" fillId="4" fontId="4" numFmtId="3" xfId="0" applyAlignment="1" applyBorder="1" applyFont="1" applyNumberFormat="1">
      <alignment horizontal="center" shrinkToFit="0" vertical="center" wrapText="0"/>
    </xf>
    <xf borderId="4" fillId="3" fontId="4" numFmtId="164" xfId="0" applyAlignment="1" applyBorder="1" applyFont="1" applyNumberFormat="1">
      <alignment horizontal="center" shrinkToFit="0" vertical="center" wrapText="0"/>
    </xf>
    <xf borderId="4" fillId="0" fontId="6" numFmtId="3" xfId="0" applyAlignment="1" applyBorder="1" applyFont="1" applyNumberFormat="1">
      <alignment horizontal="center" shrinkToFit="0" vertical="bottom" wrapText="0"/>
    </xf>
    <xf borderId="3" fillId="4" fontId="4" numFmtId="164" xfId="0" applyAlignment="1" applyBorder="1" applyFont="1" applyNumberFormat="1">
      <alignment horizontal="center" shrinkToFit="0" vertical="center" wrapText="0"/>
    </xf>
    <xf borderId="3" fillId="0" fontId="6" numFmtId="3" xfId="0" applyAlignment="1" applyBorder="1" applyFont="1" applyNumberFormat="1">
      <alignment horizontal="center" shrinkToFit="0" vertical="bottom" wrapText="0"/>
    </xf>
    <xf borderId="4" fillId="4" fontId="4" numFmtId="164" xfId="0" applyAlignment="1" applyBorder="1" applyFont="1" applyNumberFormat="1">
      <alignment horizontal="center" shrinkToFit="0" vertical="center" wrapText="0"/>
    </xf>
    <xf borderId="4" fillId="4" fontId="4" numFmtId="3" xfId="0" applyAlignment="1" applyBorder="1" applyFont="1" applyNumberFormat="1">
      <alignment horizontal="center" shrinkToFit="0" vertical="center" wrapText="0"/>
    </xf>
    <xf borderId="3" fillId="3" fontId="4" numFmtId="3" xfId="0" applyAlignment="1" applyBorder="1" applyFont="1" applyNumberFormat="1">
      <alignment horizontal="center" shrinkToFit="0" vertical="center" wrapText="0"/>
    </xf>
    <xf borderId="4" fillId="3" fontId="4" numFmtId="3" xfId="0" applyAlignment="1" applyBorder="1" applyFont="1" applyNumberFormat="1">
      <alignment horizontal="center" shrinkToFit="0" vertical="center" wrapText="0"/>
    </xf>
    <xf borderId="0" fillId="0" fontId="1" numFmtId="4" xfId="0" applyAlignment="1" applyFont="1" applyNumberFormat="1">
      <alignment horizontal="center" shrinkToFit="0" vertical="center" wrapText="0"/>
    </xf>
    <xf borderId="0" fillId="4" fontId="4" numFmtId="3" xfId="0" applyAlignment="1" applyFont="1" applyNumberFormat="1">
      <alignment horizontal="center" shrinkToFit="0" vertical="center" wrapText="0"/>
    </xf>
    <xf borderId="0" fillId="4" fontId="4" numFmtId="49" xfId="0" applyAlignment="1" applyFont="1" applyNumberFormat="1">
      <alignment horizontal="center" readingOrder="0" shrinkToFit="0" vertical="center" wrapText="0"/>
    </xf>
    <xf borderId="0" fillId="3" fontId="4" numFmtId="0" xfId="0" applyAlignment="1" applyFont="1">
      <alignment horizontal="center" readingOrder="0" shrinkToFit="0" vertical="center" wrapText="0"/>
    </xf>
    <xf borderId="0" fillId="3" fontId="4" numFmtId="3" xfId="0" applyAlignment="1" applyFont="1" applyNumberFormat="1">
      <alignment horizontal="center" shrinkToFit="0" vertical="center" wrapText="0"/>
    </xf>
    <xf borderId="0" fillId="3" fontId="4" numFmtId="49" xfId="0" applyAlignment="1" applyFont="1" applyNumberFormat="1">
      <alignment horizontal="center" readingOrder="0" shrinkToFit="0" vertical="center" wrapText="0"/>
    </xf>
    <xf borderId="19" fillId="0" fontId="6" numFmtId="3" xfId="0" applyAlignment="1" applyBorder="1" applyFont="1" applyNumberFormat="1">
      <alignment horizontal="center" shrinkToFit="0" vertical="bottom" wrapText="0"/>
    </xf>
    <xf borderId="0" fillId="0" fontId="6" numFmtId="3" xfId="0" applyAlignment="1" applyFont="1" applyNumberFormat="1">
      <alignment horizontal="center" shrinkToFit="0" vertical="bottom" wrapText="0"/>
    </xf>
    <xf borderId="0" fillId="4" fontId="11" numFmtId="3" xfId="0" applyAlignment="1" applyFont="1" applyNumberFormat="1">
      <alignment horizontal="center" shrinkToFit="0" vertical="center" wrapText="0"/>
    </xf>
    <xf borderId="0" fillId="0" fontId="1" numFmtId="3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4" fillId="0" fontId="1" numFmtId="164" xfId="0" applyAlignment="1" applyBorder="1" applyFont="1" applyNumberFormat="1">
      <alignment horizontal="center" shrinkToFit="0" vertical="center" wrapText="0"/>
    </xf>
    <xf borderId="3" fillId="3" fontId="4" numFmtId="3" xfId="0" applyAlignment="1" applyBorder="1" applyFont="1" applyNumberForma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7" fillId="5" fontId="4" numFmtId="164" xfId="0" applyAlignment="1" applyBorder="1" applyFont="1" applyNumberFormat="1">
      <alignment horizontal="center" shrinkToFit="0" vertical="center" wrapText="0"/>
    </xf>
    <xf borderId="0" fillId="0" fontId="6" numFmtId="0" xfId="0" applyAlignment="1" applyFont="1">
      <alignment horizontal="center" readingOrder="0" shrinkToFit="0" vertical="bottom" wrapText="0"/>
    </xf>
    <xf borderId="0" fillId="3" fontId="6" numFmtId="164" xfId="0" applyAlignment="1" applyFont="1" applyNumberFormat="1">
      <alignment horizontal="center" shrinkToFit="0" vertical="bottom" wrapText="0"/>
    </xf>
    <xf borderId="3" fillId="0" fontId="1" numFmtId="164" xfId="0" applyAlignment="1" applyBorder="1" applyFont="1" applyNumberFormat="1">
      <alignment horizontal="center" readingOrder="0" shrinkToFit="0" vertical="center" wrapText="0"/>
    </xf>
    <xf borderId="0" fillId="0" fontId="6" numFmtId="0" xfId="0" applyAlignment="1" applyFont="1">
      <alignment horizontal="center" shrinkToFit="0" vertical="bottom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bottom" wrapText="0"/>
    </xf>
    <xf borderId="0" fillId="0" fontId="6" numFmtId="3" xfId="0" applyAlignment="1" applyFont="1" applyNumberFormat="1">
      <alignment horizontal="center" readingOrder="0" shrinkToFit="0" vertical="bottom" wrapText="0"/>
    </xf>
    <xf borderId="0" fillId="0" fontId="6" numFmtId="4" xfId="0" applyAlignment="1" applyFont="1" applyNumberFormat="1">
      <alignment horizontal="center" shrinkToFit="0" vertical="bottom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3" fillId="3" fontId="4" numFmtId="49" xfId="0" applyAlignment="1" applyBorder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7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4" fillId="4" fontId="4" numFmtId="49" xfId="0" applyAlignment="1" applyBorder="1" applyFont="1" applyNumberForma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3" fillId="4" fontId="4" numFmtId="49" xfId="0" applyAlignment="1" applyBorder="1" applyFont="1" applyNumberFormat="1">
      <alignment readingOrder="0" shrinkToFit="0" vertical="center" wrapText="0"/>
    </xf>
    <xf borderId="3" fillId="3" fontId="4" numFmtId="0" xfId="0" applyAlignment="1" applyBorder="1" applyFont="1">
      <alignment horizontal="right" readingOrder="0" shrinkToFit="0" vertical="center" wrapText="0"/>
    </xf>
    <xf borderId="4" fillId="3" fontId="4" numFmtId="49" xfId="0" applyAlignment="1" applyBorder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horizontal="right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4" fontId="4" numFmtId="49" xfId="0" applyAlignment="1" applyFont="1" applyNumberFormat="1">
      <alignment readingOrder="0" shrinkToFit="0" vertical="center" wrapText="0"/>
    </xf>
    <xf borderId="0" fillId="0" fontId="1" numFmtId="1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horizontal="left" readingOrder="0" shrinkToFit="0" vertical="center" wrapText="0"/>
    </xf>
    <xf borderId="0" fillId="0" fontId="1" numFmtId="4" xfId="0" applyAlignment="1" applyFont="1" applyNumberFormat="1">
      <alignment horizontal="left" readingOrder="0" shrinkToFit="0" vertical="center" wrapText="0"/>
    </xf>
    <xf borderId="0" fillId="0" fontId="1" numFmtId="168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4" numFmtId="164" xfId="0" applyAlignment="1" applyFont="1" applyNumberFormat="1">
      <alignment horizontal="right" readingOrder="0"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67" xfId="0" applyAlignment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 readingOrder="0"/>
    </xf>
    <xf borderId="0" fillId="0" fontId="1" numFmtId="166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Font="1"/>
    <xf borderId="0" fillId="0" fontId="3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3" fontId="4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0" xfId="0" applyAlignment="1" applyFont="1" applyNumberFormat="1">
      <alignment horizontal="right" readingOrder="0" shrinkToFit="0" vertical="center" wrapText="0"/>
    </xf>
    <xf borderId="3" fillId="4" fontId="4" numFmtId="0" xfId="0" applyAlignment="1" applyBorder="1" applyFont="1">
      <alignment shrinkToFit="0" vertical="center" wrapText="0"/>
    </xf>
    <xf borderId="3" fillId="4" fontId="4" numFmtId="49" xfId="0" applyAlignment="1" applyBorder="1" applyFont="1" applyNumberFormat="1">
      <alignment shrinkToFit="0" vertical="center" wrapText="0"/>
    </xf>
    <xf borderId="3" fillId="4" fontId="4" numFmtId="164" xfId="0" applyAlignment="1" applyBorder="1" applyFont="1" applyNumberFormat="1">
      <alignment horizontal="right" shrinkToFit="0" vertical="center" wrapText="0"/>
    </xf>
    <xf borderId="0" fillId="0" fontId="1" numFmtId="1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168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horizontal="right" readingOrder="0" shrinkToFit="0" vertical="center" wrapText="0"/>
    </xf>
    <xf borderId="3" fillId="3" fontId="4" numFmtId="10" xfId="0" applyAlignment="1" applyBorder="1" applyFont="1" applyNumberFormat="1">
      <alignment horizontal="right" shrinkToFit="0" vertical="center" wrapText="0"/>
    </xf>
    <xf borderId="4" fillId="4" fontId="4" numFmtId="49" xfId="0" applyAlignment="1" applyBorder="1" applyFont="1" applyNumberFormat="1">
      <alignment shrinkToFit="0" vertical="center" wrapText="0"/>
    </xf>
    <xf borderId="4" fillId="4" fontId="4" numFmtId="164" xfId="0" applyAlignment="1" applyBorder="1" applyFont="1" applyNumberFormat="1">
      <alignment horizontal="right" shrinkToFit="0" vertical="center" wrapText="0"/>
    </xf>
    <xf borderId="0" fillId="0" fontId="1" numFmtId="166" xfId="0" applyAlignment="1" applyFont="1" applyNumberFormat="1">
      <alignment horizontal="right" readingOrder="0" shrinkToFit="0" vertical="center" wrapText="0"/>
    </xf>
    <xf borderId="4" fillId="0" fontId="1" numFmtId="10" xfId="0" applyAlignment="1" applyBorder="1" applyFont="1" applyNumberFormat="1">
      <alignment horizontal="right" readingOrder="0" shrinkToFit="0" vertical="center" wrapText="0"/>
    </xf>
    <xf borderId="3" fillId="3" fontId="4" numFmtId="49" xfId="0" applyAlignment="1" applyBorder="1" applyFont="1" applyNumberFormat="1">
      <alignment shrinkToFit="0" vertical="center" wrapText="0"/>
    </xf>
    <xf borderId="3" fillId="3" fontId="4" numFmtId="164" xfId="0" applyAlignment="1" applyBorder="1" applyFont="1" applyNumberFormat="1">
      <alignment horizontal="right" shrinkToFit="0" vertical="center" wrapText="0"/>
    </xf>
    <xf borderId="3" fillId="0" fontId="1" numFmtId="10" xfId="0" applyAlignment="1" applyBorder="1" applyFont="1" applyNumberFormat="1">
      <alignment horizontal="right" readingOrder="0" shrinkToFit="0" vertical="center" wrapText="0"/>
    </xf>
    <xf borderId="4" fillId="4" fontId="4" numFmtId="0" xfId="0" applyAlignment="1" applyBorder="1" applyFont="1">
      <alignment shrinkToFit="0" vertical="center" wrapText="0"/>
    </xf>
    <xf borderId="4" fillId="0" fontId="1" numFmtId="10" xfId="0" applyAlignment="1" applyBorder="1" applyFont="1" applyNumberFormat="1">
      <alignment horizontal="right" readingOrder="0" shrinkToFit="0" vertical="center" wrapText="0"/>
    </xf>
    <xf borderId="3" fillId="3" fontId="4" numFmtId="0" xfId="0" applyAlignment="1" applyBorder="1" applyFont="1">
      <alignment shrinkToFit="0" vertical="center" wrapText="0"/>
    </xf>
    <xf borderId="4" fillId="3" fontId="4" numFmtId="0" xfId="0" applyAlignment="1" applyBorder="1" applyFont="1">
      <alignment shrinkToFit="0" vertical="center" wrapText="0"/>
    </xf>
    <xf borderId="4" fillId="3" fontId="4" numFmtId="49" xfId="0" applyAlignment="1" applyBorder="1" applyFont="1" applyNumberFormat="1">
      <alignment shrinkToFit="0" vertical="center" wrapText="0"/>
    </xf>
    <xf borderId="4" fillId="3" fontId="4" numFmtId="164" xfId="0" applyAlignment="1" applyBorder="1" applyFont="1" applyNumberFormat="1">
      <alignment horizontal="right" shrinkToFit="0" vertical="center" wrapText="0"/>
    </xf>
    <xf borderId="7" fillId="5" fontId="6" numFmtId="0" xfId="0" applyAlignment="1" applyBorder="1" applyFont="1">
      <alignment shrinkToFit="0" vertical="center" wrapText="0"/>
    </xf>
    <xf borderId="0" fillId="0" fontId="1" numFmtId="1" xfId="0" applyAlignment="1" applyFont="1" applyNumberFormat="1">
      <alignment shrinkToFit="0" vertical="center" wrapText="0"/>
    </xf>
    <xf borderId="0" fillId="0" fontId="1" numFmtId="166" xfId="0" applyAlignment="1" applyFont="1" applyNumberFormat="1">
      <alignment horizontal="right" shrinkToFit="0" vertical="center" wrapText="0"/>
    </xf>
    <xf borderId="0" fillId="0" fontId="1" numFmtId="10" xfId="0" applyAlignment="1" applyFont="1" applyNumberFormat="1">
      <alignment horizontal="right" shrinkToFit="0" vertical="center" wrapText="0"/>
    </xf>
    <xf borderId="0" fillId="0" fontId="1" numFmtId="10" xfId="0" applyAlignment="1" applyFont="1" applyNumberFormat="1">
      <alignment horizontal="right"/>
    </xf>
    <xf borderId="0" fillId="0" fontId="1" numFmtId="10" xfId="0" applyAlignment="1" applyFont="1" applyNumberFormat="1">
      <alignment horizontal="right"/>
    </xf>
    <xf borderId="0" fillId="4" fontId="4" numFmtId="10" xfId="0" applyAlignment="1" applyFont="1" applyNumberFormat="1">
      <alignment horizontal="right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4" fontId="4" numFmtId="10" xfId="0" applyAlignment="1" applyFont="1" applyNumberFormat="1">
      <alignment horizontal="righ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3" fontId="4" numFmtId="10" xfId="0" applyAlignment="1" applyFont="1" applyNumberFormat="1">
      <alignment horizontal="right" shrinkToFit="0" vertical="center" wrapText="0"/>
    </xf>
    <xf borderId="0" fillId="3" fontId="4" numFmtId="10" xfId="0" applyAlignment="1" applyFont="1" applyNumberFormat="1">
      <alignment horizontal="right" readingOrder="0" shrinkToFit="0" vertical="center" wrapText="0"/>
    </xf>
    <xf borderId="0" fillId="0" fontId="1" numFmtId="49" xfId="0" applyAlignment="1" applyFont="1" applyNumberFormat="1">
      <alignment horizontal="right" readingOrder="0" shrinkToFit="0" vertical="center" wrapText="0"/>
    </xf>
    <xf borderId="0" fillId="0" fontId="1" numFmtId="10" xfId="0" applyAlignment="1" applyFont="1" applyNumberFormat="1">
      <alignment horizontal="right"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4" fillId="0" fontId="1" numFmtId="164" xfId="0" applyAlignment="1" applyBorder="1" applyFont="1" applyNumberFormat="1">
      <alignment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167" xfId="0" applyAlignment="1" applyFont="1" applyNumberFormat="1">
      <alignment shrinkToFit="0" vertical="center" wrapText="0"/>
    </xf>
    <xf borderId="0" fillId="0" fontId="1" numFmtId="1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0" fontId="1" numFmtId="168" xfId="0" applyAlignment="1" applyFont="1" applyNumberFormat="1">
      <alignment shrinkToFit="0" vertical="center" wrapText="0"/>
    </xf>
    <xf borderId="20" fillId="2" fontId="2" numFmtId="0" xfId="0" applyAlignment="1" applyBorder="1" applyFont="1">
      <alignment horizontal="right" readingOrder="0" shrinkToFit="0" vertical="center" wrapText="0"/>
    </xf>
    <xf borderId="1" fillId="2" fontId="2" numFmtId="164" xfId="0" applyAlignment="1" applyBorder="1" applyFont="1" applyNumberFormat="1">
      <alignment horizontal="center" readingOrder="0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1" xfId="0" applyAlignment="1" applyFont="1" applyNumberFormat="1">
      <alignment shrinkToFit="0" vertical="center" wrapText="0"/>
    </xf>
    <xf borderId="0" fillId="0" fontId="3" numFmtId="166" xfId="0" applyAlignment="1" applyFont="1" applyNumberFormat="1">
      <alignment shrinkToFit="0" vertical="center" wrapText="0"/>
    </xf>
    <xf borderId="0" fillId="0" fontId="3" numFmtId="167" xfId="0" applyAlignment="1" applyFont="1" applyNumberFormat="1">
      <alignment readingOrder="0" shrinkToFit="0" vertical="center" wrapText="0"/>
    </xf>
    <xf borderId="0" fillId="0" fontId="3" numFmtId="166" xfId="0" applyAlignment="1" applyFont="1" applyNumberFormat="1">
      <alignment shrinkToFit="0" vertical="center" wrapText="0"/>
    </xf>
    <xf borderId="20" fillId="2" fontId="2" numFmtId="0" xfId="0" applyAlignment="1" applyBorder="1" applyFont="1">
      <alignment horizontal="center" readingOrder="0" shrinkToFit="0" vertical="center" wrapText="0"/>
    </xf>
    <xf borderId="21" fillId="2" fontId="14" numFmtId="49" xfId="0" applyAlignment="1" applyBorder="1" applyFont="1" applyNumberFormat="1">
      <alignment horizontal="center" readingOrder="0" shrinkToFit="0" vertical="center" wrapText="0"/>
    </xf>
    <xf borderId="1" fillId="2" fontId="14" numFmtId="0" xfId="0" applyAlignment="1" applyBorder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0" fontId="15" numFmtId="164" xfId="0" applyAlignment="1" applyFont="1" applyNumberFormat="1">
      <alignment horizontal="center" shrinkToFit="0" vertical="center" wrapText="0"/>
    </xf>
    <xf borderId="0" fillId="0" fontId="3" numFmtId="164" xfId="0" applyAlignment="1" applyFont="1" applyNumberFormat="1">
      <alignment horizontal="center" readingOrder="0" shrinkToFit="0" vertical="center" wrapText="0"/>
    </xf>
    <xf borderId="0" fillId="0" fontId="15" numFmtId="0" xfId="0" applyAlignment="1" applyFont="1">
      <alignment horizontal="center" readingOrder="0" shrinkToFit="0" vertical="center" wrapText="0"/>
    </xf>
    <xf borderId="0" fillId="0" fontId="3" numFmtId="164" xfId="0" applyAlignment="1" applyFont="1" applyNumberFormat="1">
      <alignment horizontal="center" readingOrder="0" shrinkToFit="0" vertical="center" wrapText="0"/>
    </xf>
    <xf borderId="0" fillId="0" fontId="3" numFmtId="166" xfId="0" applyAlignment="1" applyFont="1" applyNumberFormat="1">
      <alignment horizontal="center" readingOrder="0" shrinkToFit="0" vertical="center" wrapText="0"/>
    </xf>
    <xf borderId="0" fillId="0" fontId="3" numFmtId="167" xfId="0" applyAlignment="1" applyFont="1" applyNumberFormat="1">
      <alignment horizontal="center" readingOrder="0" shrinkToFit="0" vertical="center" wrapText="0"/>
    </xf>
    <xf borderId="0" fillId="0" fontId="3" numFmtId="166" xfId="0" applyAlignment="1" applyFont="1" applyNumberFormat="1">
      <alignment horizontal="center" readingOrder="0" shrinkToFit="0" vertical="center" wrapText="0"/>
    </xf>
    <xf borderId="0" fillId="0" fontId="3" numFmtId="1" xfId="0" applyAlignment="1" applyFont="1" applyNumberFormat="1">
      <alignment horizontal="center" readingOrder="0" shrinkToFit="0" vertical="center" wrapText="0"/>
    </xf>
    <xf borderId="0" fillId="0" fontId="16" numFmtId="164" xfId="0" applyAlignment="1" applyFont="1" applyNumberFormat="1">
      <alignment horizontal="center" shrinkToFit="0" vertical="center" wrapText="0"/>
    </xf>
    <xf borderId="0" fillId="0" fontId="16" numFmtId="0" xfId="0" applyAlignment="1" applyFont="1">
      <alignment horizontal="center" readingOrder="0" shrinkToFit="0" vertical="center" wrapText="0"/>
    </xf>
    <xf borderId="0" fillId="0" fontId="1" numFmtId="167" xfId="0" applyAlignment="1" applyFont="1" applyNumberFormat="1">
      <alignment horizontal="center" readingOrder="0" shrinkToFit="0" vertical="center" wrapText="0"/>
    </xf>
    <xf borderId="0" fillId="0" fontId="1" numFmtId="166" xfId="0" applyAlignment="1" applyFont="1" applyNumberFormat="1">
      <alignment horizontal="center" readingOrder="0" shrinkToFit="0" vertical="center" wrapText="0"/>
    </xf>
    <xf borderId="0" fillId="0" fontId="1" numFmtId="1" xfId="0" applyAlignment="1" applyFont="1" applyNumberFormat="1">
      <alignment horizontal="center" readingOrder="0" shrinkToFit="0" vertical="center" wrapText="0"/>
    </xf>
    <xf borderId="0" fillId="0" fontId="1" numFmtId="1" xfId="0" applyAlignment="1" applyFont="1" applyNumberFormat="1">
      <alignment horizontal="left" readingOrder="0" shrinkToFit="0" vertical="center" wrapText="0"/>
    </xf>
    <xf borderId="0" fillId="0" fontId="1" numFmtId="6" xfId="0" applyAlignment="1" applyFont="1" applyNumberFormat="1">
      <alignment horizontal="center" readingOrder="0" shrinkToFit="0" vertical="center" wrapText="0"/>
    </xf>
    <xf borderId="1" fillId="2" fontId="2" numFmtId="1" xfId="0" applyAlignment="1" applyBorder="1" applyFont="1" applyNumberFormat="1">
      <alignment horizontal="center" readingOrder="0" shrinkToFit="0" vertical="center" wrapText="0"/>
    </xf>
    <xf borderId="0" fillId="0" fontId="1" numFmtId="1" xfId="0" applyAlignment="1" applyFont="1" applyNumberFormat="1">
      <alignment readingOrder="0" shrinkToFit="0" vertical="center" wrapText="0"/>
    </xf>
    <xf borderId="0" fillId="0" fontId="1" numFmtId="6" xfId="0" applyAlignment="1" applyFont="1" applyNumberFormat="1">
      <alignment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4" xfId="0" applyAlignment="1" applyFont="1" applyNumberFormat="1">
      <alignment shrinkToFit="0" vertical="center" wrapText="0"/>
    </xf>
    <xf borderId="15" fillId="0" fontId="1" numFmtId="49" xfId="0" applyAlignment="1" applyBorder="1" applyFont="1" applyNumberFormat="1">
      <alignment readingOrder="0" shrinkToFit="0" vertical="center" wrapText="0"/>
    </xf>
    <xf borderId="14" fillId="0" fontId="3" numFmtId="49" xfId="0" applyAlignment="1" applyBorder="1" applyFont="1" applyNumberFormat="1">
      <alignment readingOrder="0" shrinkToFit="0" vertical="center" wrapText="0"/>
    </xf>
    <xf borderId="7" fillId="5" fontId="6" numFmtId="1" xfId="0" applyAlignment="1" applyBorder="1" applyFont="1" applyNumberFormat="1">
      <alignment shrinkToFit="0" vertical="center" wrapText="0"/>
    </xf>
    <xf borderId="0" fillId="0" fontId="1" numFmtId="1" xfId="0" applyAlignment="1" applyFont="1" applyNumberFormat="1">
      <alignment readingOrder="0"/>
    </xf>
    <xf borderId="0" fillId="0" fontId="1" numFmtId="6" xfId="0" applyFont="1" applyNumberFormat="1"/>
    <xf borderId="0" fillId="3" fontId="6" numFmtId="1" xfId="0" applyAlignment="1" applyFont="1" applyNumberFormat="1">
      <alignment vertical="bottom"/>
    </xf>
    <xf borderId="0" fillId="0" fontId="6" numFmtId="1" xfId="0" applyAlignment="1" applyFont="1" applyNumberFormat="1">
      <alignment vertical="bottom"/>
    </xf>
    <xf borderId="0" fillId="0" fontId="1" numFmtId="6" xfId="0" applyAlignment="1" applyFont="1" applyNumberForma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1">
    <tableStyle count="5" pivot="0" name="ALL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2" pivot="0" name="ALL-style 2">
      <tableStyleElement dxfId="2" type="firstRowStripe"/>
      <tableStyleElement dxfId="3" type="secondRowStripe"/>
    </tableStyle>
    <tableStyle count="2" pivot="0" name="Wiki maker-style">
      <tableStyleElement dxfId="3" type="firstRowStripe"/>
      <tableStyleElement dxfId="2" type="secondRowStripe"/>
    </tableStyle>
    <tableStyle count="2" pivot="0" name="Wiki maker-style 2">
      <tableStyleElement dxfId="2" type="firstRowStripe"/>
      <tableStyleElement dxfId="3" type="secondRowStripe"/>
    </tableStyle>
    <tableStyle count="2" pivot="0" name="Wiki maker-style 3">
      <tableStyleElement dxfId="3" type="firstRowStripe"/>
      <tableStyleElement dxfId="2" type="secondRowStripe"/>
    </tableStyle>
    <tableStyle count="2" pivot="0" name="Wiki maker-style 4">
      <tableStyleElement dxfId="2" type="firstRowStripe"/>
      <tableStyleElement dxfId="3" type="secondRowStripe"/>
    </tableStyle>
    <tableStyle count="2" pivot="0" name="Wiki maker-style 5">
      <tableStyleElement dxfId="2" type="firstRowStripe"/>
      <tableStyleElement dxfId="3" type="secondRowStripe"/>
    </tableStyle>
    <tableStyle count="2" pivot="0" name="Wiki maker-style 6">
      <tableStyleElement dxfId="3" type="firstRowStripe"/>
      <tableStyleElement dxfId="2" type="secondRowStripe"/>
    </tableStyle>
    <tableStyle count="2" pivot="0" name="Wiki maker-style 7">
      <tableStyleElement dxfId="3" type="firstRowStripe"/>
      <tableStyleElement dxfId="2" type="secondRowStripe"/>
    </tableStyle>
    <tableStyle count="4" pivot="0" name="Geoscheme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5" pivot="0" name="Great Importance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2" pivot="0" name="Great Importance-style 2">
      <tableStyleElement dxfId="2" type="firstRowStripe"/>
      <tableStyleElement dxfId="3" type="secondRowStripe"/>
    </tableStyle>
    <tableStyle count="4" pivot="0" name="Earth Comparsion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5" pivot="0" name="Acrola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2" pivot="0" name="Acrola-style 2">
      <tableStyleElement dxfId="2" type="firstRowStripe"/>
      <tableStyleElement dxfId="3" type="secondRowStripe"/>
    </tableStyle>
    <tableStyle count="5" pivot="0" name="Atirha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2" pivot="0" name="Atirha-style 2">
      <tableStyleElement dxfId="2" type="firstRowStripe"/>
      <tableStyleElement dxfId="3" type="secondRowStripe"/>
    </tableStyle>
    <tableStyle count="5" pivot="0" name="Ayuma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2" pivot="0" name="Ayuma-style 2">
      <tableStyleElement dxfId="2" type="firstRowStripe"/>
      <tableStyleElement dxfId="3" type="secondRowStripe"/>
    </tableStyle>
    <tableStyle count="5" pivot="0" name="Mahea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2" pivot="0" name="Mahea-style 2">
      <tableStyleElement dxfId="2" type="firstRowStripe"/>
      <tableStyleElement dxfId="3" type="secondRowStripe"/>
    </tableStyle>
    <tableStyle count="5" pivot="0" name="Massir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2" pivot="0" name="Massir-style 2">
      <tableStyleElement dxfId="2" type="firstRowStripe"/>
      <tableStyleElement dxfId="3" type="secondRowStripe"/>
    </tableStyle>
    <tableStyle count="5" pivot="0" name="New Ayre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2" pivot="0" name="New Ayre-style 2">
      <tableStyleElement dxfId="2" type="firstRowStripe"/>
      <tableStyleElement dxfId="3" type="secondRowStripe"/>
    </tableStyle>
    <tableStyle count="5" pivot="0" name="Quia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2" pivot="0" name="Quia-style 2">
      <tableStyleElement dxfId="2" type="firstRowStripe"/>
      <tableStyleElement dxfId="3" type="secondRowStripe"/>
    </tableStyle>
    <tableStyle count="4" pivot="0" name="Contiant compasrison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Geoscheme compasrison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5" pivot="0" name="SOL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2" pivot="0" name="SOL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609600</xdr:colOff>
      <xdr:row>1</xdr:row>
      <xdr:rowOff>0</xdr:rowOff>
    </xdr:from>
    <xdr:ext cx="600075" cy="238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1</xdr:row>
      <xdr:rowOff>0</xdr:rowOff>
    </xdr:from>
    <xdr:ext cx="600075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2</xdr:row>
      <xdr:rowOff>19050</xdr:rowOff>
    </xdr:from>
    <xdr:ext cx="523875" cy="2381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1</xdr:row>
      <xdr:rowOff>19050</xdr:rowOff>
    </xdr:from>
    <xdr:ext cx="523875" cy="2381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10</xdr:row>
      <xdr:rowOff>19050</xdr:rowOff>
    </xdr:from>
    <xdr:ext cx="523875" cy="2381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14</xdr:row>
      <xdr:rowOff>19050</xdr:rowOff>
    </xdr:from>
    <xdr:ext cx="523875" cy="2381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18</xdr:row>
      <xdr:rowOff>19050</xdr:rowOff>
    </xdr:from>
    <xdr:ext cx="523875" cy="2381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23</xdr:row>
      <xdr:rowOff>19050</xdr:rowOff>
    </xdr:from>
    <xdr:ext cx="523875" cy="2381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609600</xdr:colOff>
      <xdr:row>2</xdr:row>
      <xdr:rowOff>19050</xdr:rowOff>
    </xdr:from>
    <xdr:ext cx="600075" cy="238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609600</xdr:colOff>
      <xdr:row>3</xdr:row>
      <xdr:rowOff>38100</xdr:rowOff>
    </xdr:from>
    <xdr:ext cx="600075" cy="238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609600</xdr:colOff>
      <xdr:row>4</xdr:row>
      <xdr:rowOff>57150</xdr:rowOff>
    </xdr:from>
    <xdr:ext cx="600075" cy="238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609600</xdr:colOff>
      <xdr:row>5</xdr:row>
      <xdr:rowOff>57150</xdr:rowOff>
    </xdr:from>
    <xdr:ext cx="600075" cy="238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609600</xdr:colOff>
      <xdr:row>6</xdr:row>
      <xdr:rowOff>57150</xdr:rowOff>
    </xdr:from>
    <xdr:ext cx="600075" cy="238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609600</xdr:colOff>
      <xdr:row>7</xdr:row>
      <xdr:rowOff>57150</xdr:rowOff>
    </xdr:from>
    <xdr:ext cx="600075" cy="238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609600</xdr:colOff>
      <xdr:row>7</xdr:row>
      <xdr:rowOff>57150</xdr:rowOff>
    </xdr:from>
    <xdr:ext cx="600075" cy="238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609600</xdr:colOff>
      <xdr:row>10</xdr:row>
      <xdr:rowOff>19050</xdr:rowOff>
    </xdr:from>
    <xdr:ext cx="600075" cy="238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609600</xdr:colOff>
      <xdr:row>8</xdr:row>
      <xdr:rowOff>57150</xdr:rowOff>
    </xdr:from>
    <xdr:ext cx="600075" cy="238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13</xdr:row>
      <xdr:rowOff>19050</xdr:rowOff>
    </xdr:from>
    <xdr:ext cx="600075" cy="238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12</xdr:row>
      <xdr:rowOff>19050</xdr:rowOff>
    </xdr:from>
    <xdr:ext cx="600075" cy="238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11</xdr:row>
      <xdr:rowOff>19050</xdr:rowOff>
    </xdr:from>
    <xdr:ext cx="600075" cy="238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15</xdr:row>
      <xdr:rowOff>19050</xdr:rowOff>
    </xdr:from>
    <xdr:ext cx="600075" cy="238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16</xdr:row>
      <xdr:rowOff>19050</xdr:rowOff>
    </xdr:from>
    <xdr:ext cx="600075" cy="238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20</xdr:row>
      <xdr:rowOff>19050</xdr:rowOff>
    </xdr:from>
    <xdr:ext cx="600075" cy="238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21</xdr:row>
      <xdr:rowOff>19050</xdr:rowOff>
    </xdr:from>
    <xdr:ext cx="600075" cy="238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22</xdr:row>
      <xdr:rowOff>19050</xdr:rowOff>
    </xdr:from>
    <xdr:ext cx="600075" cy="238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25</xdr:row>
      <xdr:rowOff>19050</xdr:rowOff>
    </xdr:from>
    <xdr:ext cx="600075" cy="238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14</xdr:row>
      <xdr:rowOff>19050</xdr:rowOff>
    </xdr:from>
    <xdr:ext cx="600075" cy="238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2</xdr:row>
      <xdr:rowOff>0</xdr:rowOff>
    </xdr:from>
    <xdr:ext cx="600075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3</xdr:row>
      <xdr:rowOff>0</xdr:rowOff>
    </xdr:from>
    <xdr:ext cx="600075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5</xdr:row>
      <xdr:rowOff>0</xdr:rowOff>
    </xdr:from>
    <xdr:ext cx="600075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7</xdr:row>
      <xdr:rowOff>0</xdr:rowOff>
    </xdr:from>
    <xdr:ext cx="600075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7</xdr:row>
      <xdr:rowOff>0</xdr:rowOff>
    </xdr:from>
    <xdr:ext cx="600075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8</xdr:row>
      <xdr:rowOff>0</xdr:rowOff>
    </xdr:from>
    <xdr:ext cx="600075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9</xdr:row>
      <xdr:rowOff>0</xdr:rowOff>
    </xdr:from>
    <xdr:ext cx="600075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12</xdr:row>
      <xdr:rowOff>0</xdr:rowOff>
    </xdr:from>
    <xdr:ext cx="600075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15</xdr:row>
      <xdr:rowOff>0</xdr:rowOff>
    </xdr:from>
    <xdr:ext cx="600075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14</xdr:row>
      <xdr:rowOff>0</xdr:rowOff>
    </xdr:from>
    <xdr:ext cx="600075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19</xdr:row>
      <xdr:rowOff>19050</xdr:rowOff>
    </xdr:from>
    <xdr:ext cx="600075" cy="238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24</xdr:row>
      <xdr:rowOff>0</xdr:rowOff>
    </xdr:from>
    <xdr:ext cx="600075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23</xdr:row>
      <xdr:rowOff>0</xdr:rowOff>
    </xdr:from>
    <xdr:ext cx="600075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9</xdr:row>
      <xdr:rowOff>38100</xdr:rowOff>
    </xdr:from>
    <xdr:ext cx="600075" cy="238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3</xdr:row>
      <xdr:rowOff>19050</xdr:rowOff>
    </xdr:from>
    <xdr:ext cx="523875" cy="2381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18</xdr:row>
      <xdr:rowOff>0</xdr:rowOff>
    </xdr:from>
    <xdr:ext cx="600075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18</xdr:row>
      <xdr:rowOff>19050</xdr:rowOff>
    </xdr:from>
    <xdr:ext cx="600075" cy="238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26</xdr:row>
      <xdr:rowOff>19050</xdr:rowOff>
    </xdr:from>
    <xdr:ext cx="600075" cy="238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4</xdr:row>
      <xdr:rowOff>19050</xdr:rowOff>
    </xdr:from>
    <xdr:ext cx="523875" cy="2381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W174" displayName="ALL" name="ALL" id="1">
  <tableColumns count="23">
    <tableColumn totalsRowLabel="Totals" name="Name" id="1"/>
    <tableColumn totalsRowFunction="custom" name="Population" id="2"/>
    <tableColumn name="Pronunciation" id="3"/>
    <tableColumn name="IPA Use (https://ipa-reader.com/)" id="4"/>
    <tableColumn totalsRowLabel="N/a" name="Continent" id="5"/>
    <tableColumn totalsRowFunction="custom" name="GDP (Nominal)" id="6"/>
    <tableColumn totalsRowFunction="custom" name="Per (NOM)" id="7"/>
    <tableColumn totalsRowFunction="custom" name="GDP (PPP)" id="8"/>
    <tableColumn totalsRowFunction="custom" name="Per (PPP)" id="9"/>
    <tableColumn totalsRowFunction="custom" name="Density" id="10"/>
    <tableColumn totalsRowFunction="custom" name="Area (Km)" id="11"/>
    <tableColumn totalsRowFunction="custom" name="Area (Mi)" id="12"/>
    <tableColumn totalsRowLabel="N/a" name="KTDI" id="13"/>
    <tableColumn totalsRowLabel="N/a" name="GDI" id="14"/>
    <tableColumn totalsRowLabel="N/a" name="Phone " id="15"/>
    <tableColumn totalsRowLabel="N/a" name="Domain" id="16"/>
    <tableColumn totalsRowLabel="Suraspa" name="Capital" id="17"/>
    <tableColumn name="Demonym" id="18"/>
    <tableColumn totalsRowFunction="custom" name="Military NOM" id="19"/>
    <tableColumn totalsRowFunction="custom" name="Military NOM USD " id="20"/>
    <tableColumn totalsRowFunction="custom" name="Military PPP" id="21"/>
    <tableColumn totalsRowFunction="custom" name="Military PPP USD" id="22"/>
    <tableColumn totalsRowFunction="custom" name="Per GDP" id="23"/>
  </tableColumns>
  <tableStyleInfo name="ALL-style" showColumnStripes="0" showFirstColumn="1" showLastColumn="1" showRowStripes="1"/>
</table>
</file>

<file path=xl/tables/table2.xml><?xml version="1.0" encoding="utf-8"?>
<table xmlns="http://schemas.openxmlformats.org/spreadsheetml/2006/main" headerRowCount="0" ref="A175:W175" displayName="Table_1" name="Table_1" id="2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ALL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:B185" displayName="Table_2" name="Table_2" id="3">
  <tableColumns count="2">
    <tableColumn name="Column1" id="1"/>
    <tableColumn name="Column2" id="2"/>
  </tableColumns>
  <tableStyleInfo name="Wiki maker-style" showColumnStripes="0" showFirstColumn="1" showLastColumn="1" showRowStripes="1"/>
</table>
</file>

<file path=xl/tables/table4.xml><?xml version="1.0" encoding="utf-8"?>
<table xmlns="http://schemas.openxmlformats.org/spreadsheetml/2006/main" headerRowCount="0" ref="C2:J174" displayName="Table_3" name="Table_3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Wiki maker-style 2" showColumnStripes="0" showFirstColumn="1" showLastColumn="1" showRowStripes="1"/>
</table>
</file>

<file path=xl/tables/table5.xml><?xml version="1.0" encoding="utf-8"?>
<table xmlns="http://schemas.openxmlformats.org/spreadsheetml/2006/main" headerRowCount="0" ref="O3:R14" displayName="Table_4" name="Table_4" id="5">
  <tableColumns count="4">
    <tableColumn name="Column1" id="1"/>
    <tableColumn name="Column2" id="2"/>
    <tableColumn name="Column3" id="3"/>
    <tableColumn name="Column4" id="4"/>
  </tableColumns>
  <tableStyleInfo name="Wiki maker-style 3" showColumnStripes="0" showFirstColumn="1" showLastColumn="1" showRowStripes="1"/>
</table>
</file>

<file path=xl/tables/table6.xml><?xml version="1.0" encoding="utf-8"?>
<table xmlns="http://schemas.openxmlformats.org/spreadsheetml/2006/main" headerRowCount="0" ref="D175:J175" displayName="Table_5" name="Table_5" id="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Wiki maker-style 4" showColumnStripes="0" showFirstColumn="1" showLastColumn="1" showRowStripes="1"/>
</table>
</file>

<file path=xl/tables/table7.xml><?xml version="1.0" encoding="utf-8"?>
<table xmlns="http://schemas.openxmlformats.org/spreadsheetml/2006/main" headerRowCount="0" ref="D178:J178" displayName="Table_6" name="Table_6" id="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Wiki maker-style 5" showColumnStripes="0" showFirstColumn="1" showLastColumn="1" showRowStripes="1"/>
</table>
</file>

<file path=xl/tables/table8.xml><?xml version="1.0" encoding="utf-8"?>
<table xmlns="http://schemas.openxmlformats.org/spreadsheetml/2006/main" headerRowCount="0" ref="A194:B194" displayName="Table_7" name="Table_7" id="8">
  <tableColumns count="2">
    <tableColumn name="Column1" id="1"/>
    <tableColumn name="Column2" id="2"/>
  </tableColumns>
  <tableStyleInfo name="Wiki maker-style 6" showColumnStripes="0" showFirstColumn="1" showLastColumn="1" showRowStripes="1"/>
</table>
</file>

<file path=xl/tables/table9.xml><?xml version="1.0" encoding="utf-8"?>
<table xmlns="http://schemas.openxmlformats.org/spreadsheetml/2006/main" headerRowCount="0" ref="C194:J194" displayName="Table_8" name="Table_8" id="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Wiki maker-style 7" showColumnStripes="0" showFirstColumn="1" showLastColumn="1" showRowStripes="1"/>
</table>
</file>

<file path=xl/tables/table10.xml><?xml version="1.0" encoding="utf-8"?>
<table xmlns="http://schemas.openxmlformats.org/spreadsheetml/2006/main" ref="A1:J1003" displayName="Table2" name="Table2" id="10">
  <tableColumns count="10">
    <tableColumn name="Continent" id="1"/>
    <tableColumn name="Geoscheme" id="2"/>
    <tableColumn name="Name" id="3"/>
    <tableColumn name="Area (Km)" id="4"/>
    <tableColumn name="Population" id="5"/>
    <tableColumn name="Density" id="6"/>
    <tableColumn name="GDP (PPP)" id="7"/>
    <tableColumn name="GDP (Nominal)" id="8"/>
    <tableColumn name="Per (NOM)" id="9"/>
    <tableColumn name="Column 1" id="10"/>
  </tableColumns>
  <tableStyleInfo name="Geoscheme-style" showColumnStripes="0" showFirstColumn="1" showLastColumn="1" showRowStripes="1"/>
</table>
</file>

<file path=xl/tables/table11.xml><?xml version="1.0" encoding="utf-8"?>
<table xmlns="http://schemas.openxmlformats.org/spreadsheetml/2006/main" totalsRowCount="1" ref="A1:M28" displayName="ALL_3" name="ALL_3" id="11">
  <tableColumns count="13">
    <tableColumn name="Demonym" id="1"/>
    <tableColumn name="Name" id="2"/>
    <tableColumn name="Capital" id="3"/>
    <tableColumn name="Population" id="4"/>
    <tableColumn name="GDP (Nominal)" id="5"/>
    <tableColumn name="Per (NOM)" id="6"/>
    <tableColumn name="Allineces" id="7"/>
    <tableColumn name="Alliance" id="8"/>
    <tableColumn name="Economic" id="9"/>
    <tableColumn name="Military" id="10"/>
    <tableColumn name=" Strategic Interests" id="11"/>
    <tableColumn name=" Current Status" id="12"/>
    <tableColumn name=" Primary Threats" id="13"/>
  </tableColumns>
  <tableStyleInfo name="Great Importance-style" showColumnStripes="0" showFirstColumn="1" showLastColumn="1" showRowStripes="1"/>
</table>
</file>

<file path=xl/tables/table12.xml><?xml version="1.0" encoding="utf-8"?>
<table xmlns="http://schemas.openxmlformats.org/spreadsheetml/2006/main" headerRowCount="0" ref="A29:M29" displayName="Table_9" name="Table_9" id="1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Great Importance-style 2" showColumnStripes="0" showFirstColumn="1" showLastColumn="1" showRowStripes="1"/>
</table>
</file>

<file path=xl/tables/table13.xml><?xml version="1.0" encoding="utf-8"?>
<table xmlns="http://schemas.openxmlformats.org/spreadsheetml/2006/main" ref="A1:B185" displayName="Comparison" name="Comparison" id="13">
  <tableColumns count="2">
    <tableColumn name="Name" id="1"/>
    <tableColumn name="Historical" id="2"/>
  </tableColumns>
  <tableStyleInfo name="Earth Comparsion-style" showColumnStripes="0" showFirstColumn="1" showLastColumn="1" showRowStripes="1"/>
</table>
</file>

<file path=xl/tables/table14.xml><?xml version="1.0" encoding="utf-8"?>
<table xmlns="http://schemas.openxmlformats.org/spreadsheetml/2006/main" totalsRowCount="1" ref="A1:T27" displayName="Acrola" name="Acrola" id="14">
  <tableColumns count="20">
    <tableColumn totalsRowLabel="N/a" name="Continent" id="1"/>
    <tableColumn name="Pronunciation" id="2"/>
    <tableColumn name="IPA Use (https://ipa-reader.com/)" id="3"/>
    <tableColumn totalsRowLabel="Totals" name="Name" id="4"/>
    <tableColumn totalsRowFunction="custom" name="Population" id="5"/>
    <tableColumn totalsRowFunction="custom" name="GDP (Nominal)" id="6"/>
    <tableColumn totalsRowFunction="custom" name="Per (NOM)" id="7"/>
    <tableColumn totalsRowFunction="custom" name="GDP (PPP)" id="8"/>
    <tableColumn totalsRowFunction="custom" name="Per (PPP)" id="9"/>
    <tableColumn totalsRowFunction="custom" name="Density" id="10"/>
    <tableColumn totalsRowFunction="custom" name="Area (Km)" id="11"/>
    <tableColumn totalsRowFunction="custom" name="Area (Mi)" id="12"/>
    <tableColumn totalsRowLabel="N/a" name="KTDI" id="13"/>
    <tableColumn totalsRowLabel="N/a" name="GDI" id="14"/>
    <tableColumn totalsRowLabel="N/a" name="Phone " id="15"/>
    <tableColumn totalsRowLabel="N/a" name="Domain" id="16"/>
    <tableColumn totalsRowLabel="Suraspa" name="Capital" id="17"/>
    <tableColumn name="Demonym" id="18"/>
    <tableColumn totalsRowFunction="custom" name="Military" id="19"/>
    <tableColumn name="Per GDP" id="20"/>
  </tableColumns>
  <tableStyleInfo name="Acrola-style" showColumnStripes="0" showFirstColumn="1" showLastColumn="1" showRowStripes="1"/>
</table>
</file>

<file path=xl/tables/table15.xml><?xml version="1.0" encoding="utf-8"?>
<table xmlns="http://schemas.openxmlformats.org/spreadsheetml/2006/main" headerRowCount="0" ref="A28:T28" displayName="Table_10" name="Table_10" id="15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Acrola-style 2" showColumnStripes="0" showFirstColumn="1" showLastColumn="1" showRowStripes="1"/>
</table>
</file>

<file path=xl/tables/table16.xml><?xml version="1.0" encoding="utf-8"?>
<table xmlns="http://schemas.openxmlformats.org/spreadsheetml/2006/main" totalsRowCount="1" ref="A1:T22" displayName="Atirha" name="Atirha" id="16">
  <tableColumns count="20">
    <tableColumn totalsRowLabel="N/a" name="Continent" id="1"/>
    <tableColumn name="Pronunciation" id="2"/>
    <tableColumn name="IPA Use (https://ipa-reader.com/)" id="3"/>
    <tableColumn totalsRowLabel="Totals" name="Name" id="4"/>
    <tableColumn totalsRowFunction="custom" name="Population" id="5"/>
    <tableColumn totalsRowFunction="custom" name="GDP (Nominal)" id="6"/>
    <tableColumn totalsRowFunction="custom" name="Per (NOM)" id="7"/>
    <tableColumn totalsRowFunction="custom" name="GDP (PPP)" id="8"/>
    <tableColumn totalsRowFunction="custom" name="Per (PPP)" id="9"/>
    <tableColumn totalsRowFunction="custom" name="Density" id="10"/>
    <tableColumn totalsRowFunction="custom" name="Area (Km)" id="11"/>
    <tableColumn totalsRowFunction="custom" name="Area (Mi)" id="12"/>
    <tableColumn totalsRowLabel="N/a" name="KTDI" id="13"/>
    <tableColumn totalsRowLabel="N/a" name="GDI" id="14"/>
    <tableColumn totalsRowLabel="N/a" name="Phone " id="15"/>
    <tableColumn totalsRowLabel="N/a" name="Domain" id="16"/>
    <tableColumn totalsRowLabel="Suraspa" name="Capital" id="17"/>
    <tableColumn name="Demonym" id="18"/>
    <tableColumn totalsRowFunction="custom" name="Military" id="19"/>
    <tableColumn name="Per GDP" id="20"/>
  </tableColumns>
  <tableStyleInfo name="Atirha-style" showColumnStripes="0" showFirstColumn="1" showLastColumn="1" showRowStripes="1"/>
</table>
</file>

<file path=xl/tables/table17.xml><?xml version="1.0" encoding="utf-8"?>
<table xmlns="http://schemas.openxmlformats.org/spreadsheetml/2006/main" headerRowCount="0" ref="A23:T23" displayName="Table_11" name="Table_11" id="17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Atirha-style 2" showColumnStripes="0" showFirstColumn="1" showLastColumn="1" showRowStripes="1"/>
</table>
</file>

<file path=xl/tables/table18.xml><?xml version="1.0" encoding="utf-8"?>
<table xmlns="http://schemas.openxmlformats.org/spreadsheetml/2006/main" totalsRowCount="1" ref="A1:T31" displayName="Auyma" name="Auyma" id="18">
  <tableColumns count="20">
    <tableColumn totalsRowLabel="N/a" name="Continent" id="1"/>
    <tableColumn name="Pronunciation" id="2"/>
    <tableColumn name="IPA Use (https://ipa-reader.com/)" id="3"/>
    <tableColumn totalsRowLabel="Totals" name="Name" id="4"/>
    <tableColumn totalsRowFunction="custom" name="Population" id="5"/>
    <tableColumn totalsRowFunction="custom" name="GDP (Nominal)" id="6"/>
    <tableColumn totalsRowFunction="custom" name="Per (NOM)" id="7"/>
    <tableColumn totalsRowFunction="custom" name="GDP (PPP)" id="8"/>
    <tableColumn totalsRowFunction="custom" name="Per (PPP)" id="9"/>
    <tableColumn totalsRowFunction="custom" name="Density" id="10"/>
    <tableColumn totalsRowFunction="custom" name="Area (Km)" id="11"/>
    <tableColumn totalsRowFunction="custom" name="Area (Mi)" id="12"/>
    <tableColumn totalsRowLabel="N/a" name="KTDI" id="13"/>
    <tableColumn totalsRowLabel="N/a" name="GDI" id="14"/>
    <tableColumn totalsRowLabel="N/a" name="Phone " id="15"/>
    <tableColumn totalsRowLabel="N/a" name="Domain" id="16"/>
    <tableColumn totalsRowLabel="Suraspa" name="Capital" id="17"/>
    <tableColumn name="Demonym" id="18"/>
    <tableColumn totalsRowFunction="custom" name="Military" id="19"/>
    <tableColumn name="Per GDP" id="20"/>
  </tableColumns>
  <tableStyleInfo name="Ayuma-style" showColumnStripes="0" showFirstColumn="1" showLastColumn="1" showRowStripes="1"/>
</table>
</file>

<file path=xl/tables/table19.xml><?xml version="1.0" encoding="utf-8"?>
<table xmlns="http://schemas.openxmlformats.org/spreadsheetml/2006/main" headerRowCount="0" ref="A32:T32" displayName="Table_12" name="Table_12" id="19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Ayuma-style 2" showColumnStripes="0" showFirstColumn="1" showLastColumn="1" showRowStripes="1"/>
</table>
</file>

<file path=xl/tables/table20.xml><?xml version="1.0" encoding="utf-8"?>
<table xmlns="http://schemas.openxmlformats.org/spreadsheetml/2006/main" totalsRowCount="1" ref="A1:T27" displayName="Mahea" name="Mahea" id="20">
  <tableColumns count="20">
    <tableColumn totalsRowLabel="N/a" name="Continent" id="1"/>
    <tableColumn name="Pronunciation" id="2"/>
    <tableColumn name="IPA Use (https://ipa-reader.com/)" id="3"/>
    <tableColumn totalsRowLabel="Totals" name="Name" id="4"/>
    <tableColumn totalsRowFunction="custom" name="Population" id="5"/>
    <tableColumn totalsRowFunction="custom" name="GDP (Nominal)" id="6"/>
    <tableColumn totalsRowFunction="custom" name="Per (NOM)" id="7"/>
    <tableColumn totalsRowFunction="custom" name="GDP (PPP)" id="8"/>
    <tableColumn totalsRowFunction="custom" name="Per (PPP)" id="9"/>
    <tableColumn totalsRowFunction="custom" name="Density" id="10"/>
    <tableColumn totalsRowFunction="custom" name="Area (Km)" id="11"/>
    <tableColumn totalsRowFunction="custom" name="Area (Mi)" id="12"/>
    <tableColumn totalsRowLabel="N/a" name="KTDI" id="13"/>
    <tableColumn totalsRowLabel="N/a" name="GDI" id="14"/>
    <tableColumn totalsRowLabel="N/a" name="Phone " id="15"/>
    <tableColumn totalsRowLabel="N/a" name="Domain" id="16"/>
    <tableColumn totalsRowLabel="Suraspa" name="Capital" id="17"/>
    <tableColumn name="Demonym" id="18"/>
    <tableColumn totalsRowFunction="custom" name="Military" id="19"/>
    <tableColumn name="Per GDP" id="20"/>
  </tableColumns>
  <tableStyleInfo name="Mahea-style" showColumnStripes="0" showFirstColumn="1" showLastColumn="1" showRowStripes="1"/>
</table>
</file>

<file path=xl/tables/table21.xml><?xml version="1.0" encoding="utf-8"?>
<table xmlns="http://schemas.openxmlformats.org/spreadsheetml/2006/main" headerRowCount="0" ref="A28:T28" displayName="Table_13" name="Table_13" id="21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Mahea-style 2" showColumnStripes="0" showFirstColumn="1" showLastColumn="1" showRowStripes="1"/>
</table>
</file>

<file path=xl/tables/table22.xml><?xml version="1.0" encoding="utf-8"?>
<table xmlns="http://schemas.openxmlformats.org/spreadsheetml/2006/main" totalsRowCount="1" ref="A1:T28" displayName="ALL_2" name="ALL_2" id="22">
  <tableColumns count="20">
    <tableColumn totalsRowLabel="N/a" name="Continent" id="1"/>
    <tableColumn name="Pronunciation" id="2"/>
    <tableColumn name="IPA Use (https://ipa-reader.com/)" id="3"/>
    <tableColumn totalsRowLabel="Totals" name="Name" id="4"/>
    <tableColumn totalsRowFunction="custom" name="Population" id="5"/>
    <tableColumn totalsRowFunction="custom" name="GDP (Nominal)" id="6"/>
    <tableColumn totalsRowFunction="custom" name="Per (NOM)" id="7"/>
    <tableColumn totalsRowFunction="custom" name="GDP (PPP)" id="8"/>
    <tableColumn totalsRowFunction="custom" name="Per (PPP)" id="9"/>
    <tableColumn totalsRowFunction="custom" name="Density" id="10"/>
    <tableColumn totalsRowFunction="custom" name="Area (Km)" id="11"/>
    <tableColumn totalsRowFunction="custom" name="Area (Mi)" id="12"/>
    <tableColumn totalsRowLabel="N/a" name="KTDI" id="13"/>
    <tableColumn totalsRowLabel="N/a" name="GDI" id="14"/>
    <tableColumn totalsRowLabel="N/a" name="Phone " id="15"/>
    <tableColumn totalsRowLabel="N/a" name="Domain" id="16"/>
    <tableColumn totalsRowLabel="Suraspa" name="Capital" id="17"/>
    <tableColumn name="Demonym" id="18"/>
    <tableColumn totalsRowFunction="custom" name="Military" id="19"/>
    <tableColumn name="Per GDP" id="20"/>
  </tableColumns>
  <tableStyleInfo name="Massir-style" showColumnStripes="0" showFirstColumn="1" showLastColumn="1" showRowStripes="1"/>
</table>
</file>

<file path=xl/tables/table23.xml><?xml version="1.0" encoding="utf-8"?>
<table xmlns="http://schemas.openxmlformats.org/spreadsheetml/2006/main" headerRowCount="0" ref="A29:T29" displayName="Table_14" name="Table_14" id="23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Massir-style 2" showColumnStripes="0" showFirstColumn="1" showLastColumn="1" showRowStripes="1"/>
</table>
</file>

<file path=xl/tables/table24.xml><?xml version="1.0" encoding="utf-8"?>
<table xmlns="http://schemas.openxmlformats.org/spreadsheetml/2006/main" totalsRowCount="1" ref="A1:T25" displayName="New_Ayre" name="New_Ayre" id="24">
  <tableColumns count="20">
    <tableColumn totalsRowLabel="N/a" name="Continent" id="1"/>
    <tableColumn name="Pronunciation" id="2"/>
    <tableColumn name="IPA Use (https://ipa-reader.com/)" id="3"/>
    <tableColumn totalsRowLabel="Totals" name="Name" id="4"/>
    <tableColumn totalsRowFunction="custom" name="Population" id="5"/>
    <tableColumn totalsRowFunction="custom" name="GDP (Nominal)" id="6"/>
    <tableColumn totalsRowFunction="custom" name="Per (NOM)" id="7"/>
    <tableColumn totalsRowFunction="custom" name="GDP (PPP)" id="8"/>
    <tableColumn totalsRowFunction="custom" name="Per (PPP)" id="9"/>
    <tableColumn totalsRowFunction="custom" name="Density" id="10"/>
    <tableColumn totalsRowFunction="custom" name="Area (Km)" id="11"/>
    <tableColumn totalsRowFunction="custom" name="Area (Mi)" id="12"/>
    <tableColumn totalsRowLabel="N/a" name="KTDI" id="13"/>
    <tableColumn totalsRowLabel="N/a" name="GDI" id="14"/>
    <tableColumn totalsRowLabel="N/a" name="Phone " id="15"/>
    <tableColumn totalsRowLabel="N/a" name="Domain" id="16"/>
    <tableColumn totalsRowLabel="Suraspa" name="Capital" id="17"/>
    <tableColumn name="Demonym" id="18"/>
    <tableColumn totalsRowFunction="custom" name="Military" id="19"/>
    <tableColumn name="Per GDP" id="20"/>
  </tableColumns>
  <tableStyleInfo name="New Ayre-style" showColumnStripes="0" showFirstColumn="1" showLastColumn="1" showRowStripes="1"/>
</table>
</file>

<file path=xl/tables/table25.xml><?xml version="1.0" encoding="utf-8"?>
<table xmlns="http://schemas.openxmlformats.org/spreadsheetml/2006/main" headerRowCount="0" ref="A26:T26" displayName="Table_15" name="Table_15" id="25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New Ayre-style 2" showColumnStripes="0" showFirstColumn="1" showLastColumn="1" showRowStripes="1"/>
</table>
</file>

<file path=xl/tables/table26.xml><?xml version="1.0" encoding="utf-8"?>
<table xmlns="http://schemas.openxmlformats.org/spreadsheetml/2006/main" totalsRowCount="1" ref="A1:T26" displayName="Quia" name="Quia" id="26">
  <tableColumns count="20">
    <tableColumn totalsRowLabel="N/a" name="Continent" id="1"/>
    <tableColumn name="Pronunciation" id="2"/>
    <tableColumn name="IPA Use (https://ipa-reader.com/)" id="3"/>
    <tableColumn totalsRowLabel="Totals" name="Name" id="4"/>
    <tableColumn totalsRowFunction="custom" name="Population" id="5"/>
    <tableColumn totalsRowFunction="custom" name="GDP (Nominal)" id="6"/>
    <tableColumn totalsRowFunction="custom" name="Per (NOM)" id="7"/>
    <tableColumn totalsRowFunction="custom" name="GDP (PPP)" id="8"/>
    <tableColumn totalsRowFunction="custom" name="Per (PPP)" id="9"/>
    <tableColumn totalsRowFunction="custom" name="Density" id="10"/>
    <tableColumn totalsRowFunction="custom" name="Area (Km)" id="11"/>
    <tableColumn totalsRowFunction="custom" name="Area (Mi)" id="12"/>
    <tableColumn totalsRowLabel="N/a" name="KTDI" id="13"/>
    <tableColumn totalsRowLabel="N/a" name="GDI" id="14"/>
    <tableColumn totalsRowLabel="N/a" name="Phone " id="15"/>
    <tableColumn totalsRowLabel="N/a" name="Domain" id="16"/>
    <tableColumn totalsRowLabel="Suraspa" name="Capital" id="17"/>
    <tableColumn name="Demonym" id="18"/>
    <tableColumn totalsRowFunction="custom" name="Military" id="19"/>
    <tableColumn name="Per GDP" id="20"/>
  </tableColumns>
  <tableStyleInfo name="Quia-style" showColumnStripes="0" showFirstColumn="1" showLastColumn="1" showRowStripes="1"/>
</table>
</file>

<file path=xl/tables/table27.xml><?xml version="1.0" encoding="utf-8"?>
<table xmlns="http://schemas.openxmlformats.org/spreadsheetml/2006/main" headerRowCount="0" ref="A27:T27" displayName="Table_16" name="Table_16" id="27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Quia-style 2" showColumnStripes="0" showFirstColumn="1" showLastColumn="1" showRowStripes="1"/>
</table>
</file>

<file path=xl/tables/table28.xml><?xml version="1.0" encoding="utf-8"?>
<table xmlns="http://schemas.openxmlformats.org/spreadsheetml/2006/main" ref="A1:G8" displayName="Table1" name="Table1" id="28">
  <tableColumns count="7">
    <tableColumn name="Continent" id="1"/>
    <tableColumn name="Area (Km)" id="2"/>
    <tableColumn name="Population" id="3"/>
    <tableColumn name="Density" id="4"/>
    <tableColumn name="GDP (Nominal)" id="5"/>
    <tableColumn name="Per (NOM)" id="6"/>
    <tableColumn name="GDP (PPP)" id="7"/>
  </tableColumns>
  <tableStyleInfo name="Contiant compasrison-style" showColumnStripes="0" showFirstColumn="1" showLastColumn="1" showRowStripes="1"/>
</table>
</file>

<file path=xl/tables/table29.xml><?xml version="1.0" encoding="utf-8"?>
<table xmlns="http://schemas.openxmlformats.org/spreadsheetml/2006/main" ref="A1:K24" displayName="Table1_2" name="Table1_2" id="29">
  <tableColumns count="11">
    <tableColumn name="Continent" id="1"/>
    <tableColumn name="Geoscheme" id="2"/>
    <tableColumn name="Column 3" id="3"/>
    <tableColumn name="Area (Km)" id="4"/>
    <tableColumn name="Column 9" id="5"/>
    <tableColumn name="Population" id="6"/>
    <tableColumn name="GDP (Nominal)" id="7"/>
    <tableColumn name="Per (NOM)" id="8"/>
    <tableColumn name="GDP (PPP)" id="9"/>
    <tableColumn name="Number" id="10"/>
    <tableColumn name="Density" id="11"/>
  </tableColumns>
  <tableStyleInfo name="Geoscheme compasrison-style" showColumnStripes="0" showFirstColumn="1" showLastColumn="1" showRowStripes="1"/>
</table>
</file>

<file path=xl/tables/table30.xml><?xml version="1.0" encoding="utf-8"?>
<table xmlns="http://schemas.openxmlformats.org/spreadsheetml/2006/main" totalsRowCount="1" ref="A1:I174" displayName="SOL" name="SOL" id="30">
  <tableColumns count="9">
    <tableColumn name="Before" id="1"/>
    <tableColumn name="Name" id="2"/>
    <tableColumn name="GDP Nominal" id="3"/>
    <tableColumn name="PPP" id="4"/>
    <tableColumn name="Miultiplyer" id="5"/>
    <tableColumn totalsRowLabel="N/a" name="Continent" id="6"/>
    <tableColumn name="GDP Capita" id="7"/>
    <tableColumn name="KTDI" id="8"/>
    <tableColumn name="GDI" id="9"/>
  </tableColumns>
  <tableStyleInfo name="SOL-style" showColumnStripes="0" showFirstColumn="1" showLastColumn="1" showRowStripes="1"/>
</table>
</file>

<file path=xl/tables/table31.xml><?xml version="1.0" encoding="utf-8"?>
<table xmlns="http://schemas.openxmlformats.org/spreadsheetml/2006/main" headerRowCount="0" ref="A175:I175" displayName="Table_17" name="Table_17" id="3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OL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ndah.miraheze.org/wiki/Template:Country_data_Gaeiya?action=edit&amp;redlink=1" TargetMode="External"/><Relationship Id="rId2" Type="http://schemas.openxmlformats.org/officeDocument/2006/relationships/drawing" Target="../drawings/drawing2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15" Type="http://schemas.openxmlformats.org/officeDocument/2006/relationships/table" Target="../tables/table8.xml"/><Relationship Id="rId14" Type="http://schemas.openxmlformats.org/officeDocument/2006/relationships/table" Target="../tables/table7.xml"/><Relationship Id="rId16" Type="http://schemas.openxmlformats.org/officeDocument/2006/relationships/table" Target="../tables/table9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0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4.xml"/><Relationship Id="rId5" Type="http://schemas.openxmlformats.org/officeDocument/2006/relationships/table" Target="../tables/table1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16.xml"/><Relationship Id="rId5" Type="http://schemas.openxmlformats.org/officeDocument/2006/relationships/table" Target="../tables/table1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18.xml"/><Relationship Id="rId5" Type="http://schemas.openxmlformats.org/officeDocument/2006/relationships/table" Target="../tables/table1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20.xml"/><Relationship Id="rId5" Type="http://schemas.openxmlformats.org/officeDocument/2006/relationships/table" Target="../tables/table2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22.xml"/><Relationship Id="rId5" Type="http://schemas.openxmlformats.org/officeDocument/2006/relationships/table" Target="../tables/table23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4" Type="http://schemas.openxmlformats.org/officeDocument/2006/relationships/table" Target="../tables/table24.xml"/><Relationship Id="rId5" Type="http://schemas.openxmlformats.org/officeDocument/2006/relationships/table" Target="../tables/table25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26.xml"/><Relationship Id="rId5" Type="http://schemas.openxmlformats.org/officeDocument/2006/relationships/table" Target="../tables/table27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28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29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4" Type="http://schemas.openxmlformats.org/officeDocument/2006/relationships/table" Target="../tables/table30.xml"/><Relationship Id="rId5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2.63"/>
    <col customWidth="1" min="2" max="2" width="12.88"/>
    <col customWidth="1" min="3" max="4" width="20.63"/>
    <col customWidth="1" min="5" max="5" width="9.25"/>
    <col customWidth="1" min="6" max="6" width="16.38"/>
    <col customWidth="1" min="7" max="7" width="12.13"/>
    <col customWidth="1" min="8" max="8" width="17.38"/>
    <col customWidth="1" min="9" max="9" width="11.75"/>
    <col customWidth="1" min="10" max="10" width="7.88"/>
    <col customWidth="1" min="11" max="11" width="12.25"/>
    <col customWidth="1" min="12" max="12" width="12.38"/>
    <col customWidth="1" min="13" max="13" width="9.5"/>
    <col customWidth="1" min="15" max="15" width="10.25"/>
    <col customWidth="1" min="16" max="16" width="10.38"/>
    <col customWidth="1" min="19" max="19" width="17.38"/>
    <col customWidth="1" min="20" max="20" width="15.88"/>
    <col customWidth="1" min="21" max="21" width="17.0"/>
    <col customWidth="1" min="22" max="22" width="16.63"/>
    <col customWidth="1" min="23" max="23" width="11.38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1" t="s">
        <v>5</v>
      </c>
      <c r="G1" s="5" t="s">
        <v>6</v>
      </c>
      <c r="H1" s="1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7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8" t="s">
        <v>18</v>
      </c>
      <c r="T1" s="9" t="s">
        <v>19</v>
      </c>
      <c r="U1" s="3" t="s">
        <v>20</v>
      </c>
      <c r="V1" s="3" t="s">
        <v>21</v>
      </c>
      <c r="W1" s="10" t="s">
        <v>22</v>
      </c>
    </row>
    <row r="2" ht="22.5" customHeight="1">
      <c r="A2" s="11" t="s">
        <v>23</v>
      </c>
      <c r="B2" s="12">
        <f t="shared" ref="B2:B169" si="1">SUM(J2*K2)</f>
        <v>301115278.2</v>
      </c>
      <c r="C2" s="13" t="s">
        <v>24</v>
      </c>
      <c r="D2" s="13" t="s">
        <v>25</v>
      </c>
      <c r="E2" s="6" t="s">
        <v>26</v>
      </c>
      <c r="F2" s="14">
        <f t="shared" ref="F2:F169" si="2">SUM(G2*B2)</f>
        <v>8579395623719</v>
      </c>
      <c r="G2" s="15">
        <v>28492.0634920635</v>
      </c>
      <c r="H2" s="14">
        <v>8.579395623719494E12</v>
      </c>
      <c r="I2" s="15">
        <f t="shared" ref="I2:I173" si="3">sum(H2/B2)</f>
        <v>28492.06349</v>
      </c>
      <c r="J2" s="16">
        <v>127.8124</v>
      </c>
      <c r="K2" s="17">
        <v>2355916.0</v>
      </c>
      <c r="L2" s="18">
        <f t="shared" ref="L2:L169" si="4">SUM(K2*0.386102)</f>
        <v>909623.8794</v>
      </c>
      <c r="M2" s="19">
        <v>0.942</v>
      </c>
      <c r="N2" s="20">
        <v>8.66</v>
      </c>
      <c r="O2" s="21">
        <v>20.0</v>
      </c>
      <c r="P2" s="22" t="s">
        <v>27</v>
      </c>
      <c r="Q2" s="6" t="s">
        <v>28</v>
      </c>
      <c r="R2" s="1" t="s">
        <v>29</v>
      </c>
      <c r="S2" s="23">
        <f t="shared" ref="S2:S169" si="5">SUM(F2*W2)</f>
        <v>292557390769</v>
      </c>
      <c r="T2" s="23">
        <f t="shared" ref="T2:T173" si="6">SUM(F2*W2*1.5)</f>
        <v>438836086153</v>
      </c>
      <c r="U2" s="23">
        <f t="shared" ref="U2:U173" si="7">SUM(H2*W2)</f>
        <v>292557390769</v>
      </c>
      <c r="V2" s="23">
        <f t="shared" ref="V2:V173" si="8">SUM(H2*W2*1.5)</f>
        <v>438836086153</v>
      </c>
      <c r="W2" s="24">
        <v>0.0341</v>
      </c>
    </row>
    <row r="3" ht="22.5" customHeight="1">
      <c r="A3" s="11" t="s">
        <v>30</v>
      </c>
      <c r="B3" s="25">
        <f t="shared" si="1"/>
        <v>890601322.2</v>
      </c>
      <c r="C3" s="26" t="s">
        <v>31</v>
      </c>
      <c r="D3" s="27" t="s">
        <v>32</v>
      </c>
      <c r="E3" s="6" t="s">
        <v>33</v>
      </c>
      <c r="F3" s="14">
        <f t="shared" si="2"/>
        <v>9578388947394</v>
      </c>
      <c r="G3" s="15">
        <v>10754.9682539683</v>
      </c>
      <c r="H3" s="28">
        <v>1.80266089684552E13</v>
      </c>
      <c r="I3" s="15">
        <f t="shared" si="3"/>
        <v>20240.94117</v>
      </c>
      <c r="J3" s="16">
        <v>201.0773</v>
      </c>
      <c r="K3" s="17">
        <v>4429149.0</v>
      </c>
      <c r="L3" s="18">
        <f t="shared" si="4"/>
        <v>1710103.287</v>
      </c>
      <c r="M3" s="19">
        <v>0.895</v>
      </c>
      <c r="N3" s="20">
        <v>6.21</v>
      </c>
      <c r="O3" s="21">
        <v>51.0</v>
      </c>
      <c r="P3" s="22" t="s">
        <v>34</v>
      </c>
      <c r="Q3" s="6" t="s">
        <v>35</v>
      </c>
      <c r="R3" s="6" t="s">
        <v>36</v>
      </c>
      <c r="S3" s="29">
        <f t="shared" si="5"/>
        <v>289267346211</v>
      </c>
      <c r="T3" s="29">
        <f t="shared" si="6"/>
        <v>433901019317</v>
      </c>
      <c r="U3" s="29">
        <f t="shared" si="7"/>
        <v>544403590847</v>
      </c>
      <c r="V3" s="29">
        <f t="shared" si="8"/>
        <v>816605386271</v>
      </c>
      <c r="W3" s="30">
        <v>0.0302</v>
      </c>
    </row>
    <row r="4" ht="22.5" customHeight="1">
      <c r="A4" s="31" t="s">
        <v>37</v>
      </c>
      <c r="B4" s="12">
        <f t="shared" si="1"/>
        <v>347520586.7</v>
      </c>
      <c r="C4" s="13" t="s">
        <v>38</v>
      </c>
      <c r="D4" s="13" t="s">
        <v>39</v>
      </c>
      <c r="E4" s="6" t="s">
        <v>40</v>
      </c>
      <c r="F4" s="14">
        <f t="shared" si="2"/>
        <v>4121980291974</v>
      </c>
      <c r="G4" s="15">
        <v>11861.111111111111</v>
      </c>
      <c r="H4" s="14">
        <v>7.460784328473694E12</v>
      </c>
      <c r="I4" s="15">
        <f t="shared" si="3"/>
        <v>21468.61111</v>
      </c>
      <c r="J4" s="16">
        <v>134.5993</v>
      </c>
      <c r="K4" s="17">
        <v>2581890.0</v>
      </c>
      <c r="L4" s="18">
        <f t="shared" si="4"/>
        <v>996872.8928</v>
      </c>
      <c r="M4" s="19">
        <v>0.839</v>
      </c>
      <c r="N4" s="20">
        <v>2.33</v>
      </c>
      <c r="O4" s="21">
        <v>901.0</v>
      </c>
      <c r="P4" s="6" t="s">
        <v>41</v>
      </c>
      <c r="Q4" s="6" t="s">
        <v>42</v>
      </c>
      <c r="R4" s="1" t="s">
        <v>43</v>
      </c>
      <c r="S4" s="23">
        <f t="shared" si="5"/>
        <v>176420756497</v>
      </c>
      <c r="T4" s="23">
        <f t="shared" si="6"/>
        <v>264631134745</v>
      </c>
      <c r="U4" s="23">
        <f t="shared" si="7"/>
        <v>319321569259</v>
      </c>
      <c r="V4" s="23">
        <f t="shared" si="8"/>
        <v>478982353888</v>
      </c>
      <c r="W4" s="24">
        <v>0.0428</v>
      </c>
    </row>
    <row r="5" ht="22.5" customHeight="1">
      <c r="A5" s="11" t="s">
        <v>44</v>
      </c>
      <c r="B5" s="25">
        <f t="shared" si="1"/>
        <v>579087437.2</v>
      </c>
      <c r="C5" s="26" t="s">
        <v>45</v>
      </c>
      <c r="D5" s="27" t="s">
        <v>46</v>
      </c>
      <c r="E5" s="6" t="s">
        <v>47</v>
      </c>
      <c r="F5" s="14">
        <f t="shared" si="2"/>
        <v>4595932041317</v>
      </c>
      <c r="G5" s="15">
        <v>7936.507936507936</v>
      </c>
      <c r="H5" s="28">
        <v>1.11736673849464E13</v>
      </c>
      <c r="I5" s="15">
        <f t="shared" si="3"/>
        <v>19295.30269</v>
      </c>
      <c r="J5" s="16">
        <v>98.918</v>
      </c>
      <c r="K5" s="17">
        <v>5854217.0</v>
      </c>
      <c r="L5" s="18">
        <f t="shared" si="4"/>
        <v>2260324.892</v>
      </c>
      <c r="M5" s="19">
        <v>0.712</v>
      </c>
      <c r="N5" s="20">
        <v>5.23</v>
      </c>
      <c r="O5" s="21">
        <v>88.0</v>
      </c>
      <c r="P5" s="6" t="s">
        <v>48</v>
      </c>
      <c r="Q5" s="6" t="s">
        <v>49</v>
      </c>
      <c r="R5" s="1" t="s">
        <v>50</v>
      </c>
      <c r="S5" s="29">
        <f t="shared" si="5"/>
        <v>122711385503</v>
      </c>
      <c r="T5" s="29">
        <f t="shared" si="6"/>
        <v>184067078255</v>
      </c>
      <c r="U5" s="29">
        <f t="shared" si="7"/>
        <v>298336919178</v>
      </c>
      <c r="V5" s="29">
        <f t="shared" si="8"/>
        <v>447505378767</v>
      </c>
      <c r="W5" s="30">
        <v>0.0267</v>
      </c>
    </row>
    <row r="6" ht="22.5" customHeight="1">
      <c r="A6" s="31" t="s">
        <v>51</v>
      </c>
      <c r="B6" s="32">
        <f t="shared" si="1"/>
        <v>260844815.7</v>
      </c>
      <c r="C6" s="33" t="s">
        <v>52</v>
      </c>
      <c r="D6" s="33" t="s">
        <v>53</v>
      </c>
      <c r="E6" s="6" t="s">
        <v>54</v>
      </c>
      <c r="F6" s="14">
        <f t="shared" si="2"/>
        <v>2805116867175</v>
      </c>
      <c r="G6" s="15">
        <v>10753.968253968254</v>
      </c>
      <c r="H6" s="28">
        <v>5.05777321630372E12</v>
      </c>
      <c r="I6" s="15">
        <f t="shared" si="3"/>
        <v>19389.97025</v>
      </c>
      <c r="J6" s="16">
        <v>35.873</v>
      </c>
      <c r="K6" s="17">
        <v>7271341.0</v>
      </c>
      <c r="L6" s="18">
        <f t="shared" si="4"/>
        <v>2807479.303</v>
      </c>
      <c r="M6" s="19">
        <v>0.825</v>
      </c>
      <c r="N6" s="20">
        <v>6.21</v>
      </c>
      <c r="O6" s="21">
        <v>30.0</v>
      </c>
      <c r="P6" s="22" t="s">
        <v>55</v>
      </c>
      <c r="Q6" s="6" t="s">
        <v>56</v>
      </c>
      <c r="R6" s="1" t="s">
        <v>51</v>
      </c>
      <c r="S6" s="34">
        <f t="shared" si="5"/>
        <v>93690903364</v>
      </c>
      <c r="T6" s="34">
        <f t="shared" si="6"/>
        <v>140536355045</v>
      </c>
      <c r="U6" s="34">
        <f t="shared" si="7"/>
        <v>168929625425</v>
      </c>
      <c r="V6" s="34">
        <f t="shared" si="8"/>
        <v>253394438137</v>
      </c>
      <c r="W6" s="35">
        <v>0.0334</v>
      </c>
    </row>
    <row r="7" ht="22.5" customHeight="1">
      <c r="A7" s="11" t="s">
        <v>57</v>
      </c>
      <c r="B7" s="36">
        <f t="shared" si="1"/>
        <v>74667446.56</v>
      </c>
      <c r="C7" s="37" t="s">
        <v>58</v>
      </c>
      <c r="D7" s="37" t="s">
        <v>59</v>
      </c>
      <c r="E7" s="6" t="s">
        <v>26</v>
      </c>
      <c r="F7" s="14">
        <f t="shared" si="2"/>
        <v>2642990568619</v>
      </c>
      <c r="G7" s="15">
        <v>35396.8253968254</v>
      </c>
      <c r="H7" s="14">
        <v>2.1910391813852168E12</v>
      </c>
      <c r="I7" s="15">
        <f t="shared" si="3"/>
        <v>29343.96825</v>
      </c>
      <c r="J7" s="16">
        <v>40.0399</v>
      </c>
      <c r="K7" s="38">
        <v>1864826.0</v>
      </c>
      <c r="L7" s="18">
        <f t="shared" si="4"/>
        <v>720013.0483</v>
      </c>
      <c r="M7" s="19">
        <v>0.969</v>
      </c>
      <c r="N7" s="20">
        <v>9.04</v>
      </c>
      <c r="O7" s="21">
        <v>22.0</v>
      </c>
      <c r="P7" s="22" t="s">
        <v>60</v>
      </c>
      <c r="Q7" s="6" t="s">
        <v>61</v>
      </c>
      <c r="R7" s="1" t="s">
        <v>62</v>
      </c>
      <c r="S7" s="39">
        <f t="shared" si="5"/>
        <v>57617194396</v>
      </c>
      <c r="T7" s="39">
        <f t="shared" si="6"/>
        <v>86425791594</v>
      </c>
      <c r="U7" s="39">
        <f t="shared" si="7"/>
        <v>47764654154</v>
      </c>
      <c r="V7" s="39">
        <f t="shared" si="8"/>
        <v>71646981231</v>
      </c>
      <c r="W7" s="40">
        <v>0.0218</v>
      </c>
    </row>
    <row r="8" ht="22.5" customHeight="1">
      <c r="A8" s="41" t="s">
        <v>63</v>
      </c>
      <c r="B8" s="32">
        <f t="shared" si="1"/>
        <v>69480630.6</v>
      </c>
      <c r="C8" s="33" t="s">
        <v>64</v>
      </c>
      <c r="D8" s="33" t="s">
        <v>65</v>
      </c>
      <c r="E8" s="6" t="s">
        <v>54</v>
      </c>
      <c r="F8" s="14">
        <f t="shared" si="2"/>
        <v>1549528349095</v>
      </c>
      <c r="G8" s="15">
        <v>22301.5873015873</v>
      </c>
      <c r="H8" s="28">
        <v>1.8682335322511E12</v>
      </c>
      <c r="I8" s="15">
        <f t="shared" si="3"/>
        <v>26888.55176</v>
      </c>
      <c r="J8" s="16">
        <v>95.1</v>
      </c>
      <c r="K8" s="17">
        <v>730606.0</v>
      </c>
      <c r="L8" s="18">
        <f t="shared" si="4"/>
        <v>282088.4378</v>
      </c>
      <c r="M8" s="19">
        <v>0.974</v>
      </c>
      <c r="N8" s="20">
        <v>9.59</v>
      </c>
      <c r="O8" s="21">
        <v>12.0</v>
      </c>
      <c r="P8" s="6" t="s">
        <v>66</v>
      </c>
      <c r="Q8" s="6" t="s">
        <v>67</v>
      </c>
      <c r="R8" s="1" t="s">
        <v>68</v>
      </c>
      <c r="S8" s="34">
        <f t="shared" si="5"/>
        <v>54233492218</v>
      </c>
      <c r="T8" s="34">
        <f t="shared" si="6"/>
        <v>81350238328</v>
      </c>
      <c r="U8" s="34">
        <f t="shared" si="7"/>
        <v>65388173629</v>
      </c>
      <c r="V8" s="34">
        <f t="shared" si="8"/>
        <v>98082260443</v>
      </c>
      <c r="W8" s="35">
        <v>0.035</v>
      </c>
    </row>
    <row r="9" ht="22.5" customHeight="1">
      <c r="A9" s="41" t="s">
        <v>69</v>
      </c>
      <c r="B9" s="25">
        <f t="shared" si="1"/>
        <v>90861039.76</v>
      </c>
      <c r="C9" s="27" t="s">
        <v>70</v>
      </c>
      <c r="D9" s="27" t="s">
        <v>71</v>
      </c>
      <c r="E9" s="6" t="s">
        <v>54</v>
      </c>
      <c r="F9" s="14">
        <f t="shared" si="2"/>
        <v>2109274137239</v>
      </c>
      <c r="G9" s="15">
        <v>23214.285714285714</v>
      </c>
      <c r="H9" s="28">
        <v>2.69364510272886E12</v>
      </c>
      <c r="I9" s="15">
        <f t="shared" si="3"/>
        <v>29645.76577</v>
      </c>
      <c r="J9" s="16">
        <v>211.903</v>
      </c>
      <c r="K9" s="17">
        <v>428786.0</v>
      </c>
      <c r="L9" s="18">
        <f t="shared" si="4"/>
        <v>165555.1322</v>
      </c>
      <c r="M9" s="19">
        <v>0.945</v>
      </c>
      <c r="N9" s="20">
        <v>7.64</v>
      </c>
      <c r="O9" s="21">
        <v>1.0</v>
      </c>
      <c r="P9" s="22" t="s">
        <v>72</v>
      </c>
      <c r="Q9" s="6" t="s">
        <v>73</v>
      </c>
      <c r="R9" s="1" t="s">
        <v>74</v>
      </c>
      <c r="S9" s="29">
        <f t="shared" si="5"/>
        <v>53153708258</v>
      </c>
      <c r="T9" s="29">
        <f t="shared" si="6"/>
        <v>79730562388</v>
      </c>
      <c r="U9" s="29">
        <f t="shared" si="7"/>
        <v>67879856589</v>
      </c>
      <c r="V9" s="29">
        <f t="shared" si="8"/>
        <v>101819784883</v>
      </c>
      <c r="W9" s="30">
        <v>0.0252</v>
      </c>
    </row>
    <row r="10" ht="22.5" customHeight="1">
      <c r="A10" s="31" t="s">
        <v>75</v>
      </c>
      <c r="B10" s="32">
        <f t="shared" si="1"/>
        <v>79558877.23</v>
      </c>
      <c r="C10" s="42" t="s">
        <v>76</v>
      </c>
      <c r="D10" s="33" t="s">
        <v>77</v>
      </c>
      <c r="E10" s="6" t="s">
        <v>40</v>
      </c>
      <c r="F10" s="14">
        <f t="shared" si="2"/>
        <v>1000800162006</v>
      </c>
      <c r="G10" s="15">
        <v>12579.36507936508</v>
      </c>
      <c r="H10" s="14">
        <v>1.401120226808E12</v>
      </c>
      <c r="I10" s="15">
        <f t="shared" si="3"/>
        <v>17611.11111</v>
      </c>
      <c r="J10" s="16">
        <v>107.8092</v>
      </c>
      <c r="K10" s="17">
        <v>737960.0</v>
      </c>
      <c r="L10" s="18">
        <f t="shared" si="4"/>
        <v>284927.8319</v>
      </c>
      <c r="M10" s="19">
        <v>0.918</v>
      </c>
      <c r="N10" s="20">
        <v>8.92</v>
      </c>
      <c r="O10" s="21">
        <v>744.0</v>
      </c>
      <c r="P10" s="22" t="s">
        <v>78</v>
      </c>
      <c r="Q10" s="6" t="s">
        <v>79</v>
      </c>
      <c r="R10" s="1" t="s">
        <v>80</v>
      </c>
      <c r="S10" s="34">
        <f t="shared" si="5"/>
        <v>45936727436</v>
      </c>
      <c r="T10" s="34">
        <f t="shared" si="6"/>
        <v>68905091154</v>
      </c>
      <c r="U10" s="34">
        <f t="shared" si="7"/>
        <v>64311418410</v>
      </c>
      <c r="V10" s="34">
        <f t="shared" si="8"/>
        <v>96467127616</v>
      </c>
      <c r="W10" s="35">
        <v>0.0459</v>
      </c>
    </row>
    <row r="11" ht="22.5" customHeight="1">
      <c r="A11" s="43" t="s">
        <v>81</v>
      </c>
      <c r="B11" s="25">
        <f t="shared" si="1"/>
        <v>425141433.6</v>
      </c>
      <c r="C11" s="26" t="s">
        <v>82</v>
      </c>
      <c r="D11" s="27" t="s">
        <v>83</v>
      </c>
      <c r="E11" s="6" t="s">
        <v>84</v>
      </c>
      <c r="F11" s="14">
        <f t="shared" si="2"/>
        <v>1449192426574</v>
      </c>
      <c r="G11" s="15">
        <v>3408.7301587301586</v>
      </c>
      <c r="H11" s="14">
        <v>4.2171499613316333E12</v>
      </c>
      <c r="I11" s="15">
        <f t="shared" si="3"/>
        <v>9919.404762</v>
      </c>
      <c r="J11" s="16">
        <v>252.715</v>
      </c>
      <c r="K11" s="17">
        <v>1682296.0</v>
      </c>
      <c r="L11" s="18">
        <f t="shared" si="4"/>
        <v>649537.8502</v>
      </c>
      <c r="M11" s="19">
        <v>0.66</v>
      </c>
      <c r="N11" s="20">
        <v>6.24</v>
      </c>
      <c r="O11" s="21">
        <v>71.0</v>
      </c>
      <c r="P11" s="22" t="s">
        <v>85</v>
      </c>
      <c r="Q11" s="6" t="s">
        <v>86</v>
      </c>
      <c r="R11" s="1" t="s">
        <v>87</v>
      </c>
      <c r="S11" s="29">
        <f t="shared" si="5"/>
        <v>42606257341</v>
      </c>
      <c r="T11" s="29">
        <f t="shared" si="6"/>
        <v>63909386012</v>
      </c>
      <c r="U11" s="29">
        <f t="shared" si="7"/>
        <v>123984208863</v>
      </c>
      <c r="V11" s="29">
        <f t="shared" si="8"/>
        <v>185976313295</v>
      </c>
      <c r="W11" s="30">
        <v>0.0294</v>
      </c>
    </row>
    <row r="12" ht="22.5" customHeight="1">
      <c r="A12" s="41" t="s">
        <v>88</v>
      </c>
      <c r="B12" s="12">
        <f t="shared" si="1"/>
        <v>81313729.32</v>
      </c>
      <c r="C12" s="13" t="s">
        <v>89</v>
      </c>
      <c r="D12" s="13" t="s">
        <v>90</v>
      </c>
      <c r="E12" s="6" t="s">
        <v>54</v>
      </c>
      <c r="F12" s="14">
        <f t="shared" si="2"/>
        <v>1677902350965</v>
      </c>
      <c r="G12" s="15">
        <v>20634.920634920636</v>
      </c>
      <c r="H12" s="28">
        <v>2.12891356255194E12</v>
      </c>
      <c r="I12" s="15">
        <f t="shared" si="3"/>
        <v>26181.47735</v>
      </c>
      <c r="J12" s="16">
        <v>164.407</v>
      </c>
      <c r="K12" s="17">
        <v>494588.0</v>
      </c>
      <c r="L12" s="18">
        <f t="shared" si="4"/>
        <v>190961.416</v>
      </c>
      <c r="M12" s="19">
        <v>0.939</v>
      </c>
      <c r="N12" s="20">
        <v>8.46</v>
      </c>
      <c r="O12" s="21">
        <v>19.0</v>
      </c>
      <c r="P12" s="22" t="s">
        <v>91</v>
      </c>
      <c r="Q12" s="6" t="s">
        <v>92</v>
      </c>
      <c r="R12" s="1" t="s">
        <v>93</v>
      </c>
      <c r="S12" s="23">
        <f t="shared" si="5"/>
        <v>40773027128</v>
      </c>
      <c r="T12" s="23">
        <f t="shared" si="6"/>
        <v>61159540693</v>
      </c>
      <c r="U12" s="23">
        <f t="shared" si="7"/>
        <v>51732599570</v>
      </c>
      <c r="V12" s="23">
        <f t="shared" si="8"/>
        <v>77598899355</v>
      </c>
      <c r="W12" s="24">
        <v>0.0243</v>
      </c>
    </row>
    <row r="13" ht="22.5" customHeight="1">
      <c r="A13" s="11" t="s">
        <v>94</v>
      </c>
      <c r="B13" s="25">
        <f t="shared" si="1"/>
        <v>71957345.98</v>
      </c>
      <c r="C13" s="26" t="s">
        <v>95</v>
      </c>
      <c r="D13" s="27" t="s">
        <v>96</v>
      </c>
      <c r="E13" s="6" t="s">
        <v>40</v>
      </c>
      <c r="F13" s="14">
        <f t="shared" si="2"/>
        <v>790959715767</v>
      </c>
      <c r="G13" s="15">
        <v>10992.063492063491</v>
      </c>
      <c r="H13" s="14">
        <v>1.47909466848357E12</v>
      </c>
      <c r="I13" s="15">
        <f t="shared" si="3"/>
        <v>20555.15873</v>
      </c>
      <c r="J13" s="16">
        <v>82.0123</v>
      </c>
      <c r="K13" s="17">
        <v>877397.0</v>
      </c>
      <c r="L13" s="18">
        <f t="shared" si="4"/>
        <v>338764.7365</v>
      </c>
      <c r="M13" s="19">
        <v>0.832</v>
      </c>
      <c r="N13" s="20">
        <v>6.08</v>
      </c>
      <c r="O13" s="21">
        <v>921.0</v>
      </c>
      <c r="P13" s="22" t="s">
        <v>97</v>
      </c>
      <c r="Q13" s="6" t="s">
        <v>98</v>
      </c>
      <c r="R13" s="1" t="s">
        <v>99</v>
      </c>
      <c r="S13" s="29">
        <f t="shared" si="5"/>
        <v>37254202613</v>
      </c>
      <c r="T13" s="29">
        <f t="shared" si="6"/>
        <v>55881303919</v>
      </c>
      <c r="U13" s="29">
        <f t="shared" si="7"/>
        <v>69665358886</v>
      </c>
      <c r="V13" s="29">
        <f t="shared" si="8"/>
        <v>104498038328</v>
      </c>
      <c r="W13" s="44">
        <v>0.0471</v>
      </c>
    </row>
    <row r="14" ht="22.5" customHeight="1">
      <c r="A14" s="11" t="s">
        <v>100</v>
      </c>
      <c r="B14" s="12">
        <f t="shared" si="1"/>
        <v>62265520.75</v>
      </c>
      <c r="C14" s="45" t="s">
        <v>101</v>
      </c>
      <c r="D14" s="13" t="s">
        <v>102</v>
      </c>
      <c r="E14" s="6" t="s">
        <v>84</v>
      </c>
      <c r="F14" s="14">
        <f t="shared" si="2"/>
        <v>793144133363</v>
      </c>
      <c r="G14" s="15">
        <v>12738.095238095239</v>
      </c>
      <c r="H14" s="14">
        <v>1.16592187604375E12</v>
      </c>
      <c r="I14" s="15">
        <f t="shared" si="3"/>
        <v>18725</v>
      </c>
      <c r="J14" s="16">
        <v>147.47</v>
      </c>
      <c r="K14" s="46">
        <v>422225.0</v>
      </c>
      <c r="L14" s="18">
        <f t="shared" si="4"/>
        <v>163021.917</v>
      </c>
      <c r="M14" s="19">
        <v>0.903</v>
      </c>
      <c r="N14" s="20">
        <v>7.18</v>
      </c>
      <c r="O14" s="21">
        <v>74.0</v>
      </c>
      <c r="P14" s="22" t="s">
        <v>103</v>
      </c>
      <c r="Q14" s="6" t="s">
        <v>104</v>
      </c>
      <c r="R14" s="6" t="s">
        <v>105</v>
      </c>
      <c r="S14" s="23">
        <f t="shared" si="5"/>
        <v>35136285108</v>
      </c>
      <c r="T14" s="23">
        <f t="shared" si="6"/>
        <v>52704427662</v>
      </c>
      <c r="U14" s="23">
        <f t="shared" si="7"/>
        <v>51650339109</v>
      </c>
      <c r="V14" s="23">
        <f t="shared" si="8"/>
        <v>77475508663</v>
      </c>
      <c r="W14" s="47">
        <v>0.0443</v>
      </c>
    </row>
    <row r="15" ht="22.5" customHeight="1">
      <c r="A15" s="31" t="s">
        <v>106</v>
      </c>
      <c r="B15" s="36">
        <f t="shared" si="1"/>
        <v>53302915.82</v>
      </c>
      <c r="C15" s="48" t="s">
        <v>107</v>
      </c>
      <c r="D15" s="37" t="s">
        <v>108</v>
      </c>
      <c r="E15" s="6" t="s">
        <v>84</v>
      </c>
      <c r="F15" s="14">
        <f t="shared" si="2"/>
        <v>539374743417</v>
      </c>
      <c r="G15" s="15">
        <v>10119.047619047618</v>
      </c>
      <c r="H15" s="28">
        <v>9.96030852295833E11</v>
      </c>
      <c r="I15" s="15">
        <f t="shared" si="3"/>
        <v>18686.23577</v>
      </c>
      <c r="J15" s="16">
        <v>44.66</v>
      </c>
      <c r="K15" s="17">
        <v>1193527.0</v>
      </c>
      <c r="L15" s="18">
        <f t="shared" si="4"/>
        <v>460823.1618</v>
      </c>
      <c r="M15" s="19">
        <v>0.9</v>
      </c>
      <c r="N15" s="20">
        <v>4.93</v>
      </c>
      <c r="O15" s="21">
        <v>70.0</v>
      </c>
      <c r="P15" s="6" t="s">
        <v>109</v>
      </c>
      <c r="Q15" s="6" t="s">
        <v>110</v>
      </c>
      <c r="R15" s="6" t="s">
        <v>111</v>
      </c>
      <c r="S15" s="39">
        <f t="shared" si="5"/>
        <v>28694736350</v>
      </c>
      <c r="T15" s="39">
        <f t="shared" si="6"/>
        <v>43042104525</v>
      </c>
      <c r="U15" s="39">
        <f t="shared" si="7"/>
        <v>52988841342</v>
      </c>
      <c r="V15" s="39">
        <f t="shared" si="8"/>
        <v>79483262013</v>
      </c>
      <c r="W15" s="49">
        <v>0.0532</v>
      </c>
    </row>
    <row r="16" ht="22.5" customHeight="1">
      <c r="A16" s="41" t="s">
        <v>112</v>
      </c>
      <c r="B16" s="32">
        <f t="shared" si="1"/>
        <v>29913650</v>
      </c>
      <c r="C16" s="33" t="s">
        <v>113</v>
      </c>
      <c r="D16" s="33" t="s">
        <v>114</v>
      </c>
      <c r="E16" s="6" t="s">
        <v>54</v>
      </c>
      <c r="F16" s="14">
        <f t="shared" si="2"/>
        <v>747841249925</v>
      </c>
      <c r="G16" s="15">
        <v>25000.0</v>
      </c>
      <c r="H16" s="14">
        <v>9.0488791240925E11</v>
      </c>
      <c r="I16" s="15">
        <f t="shared" si="3"/>
        <v>30250</v>
      </c>
      <c r="J16" s="16">
        <v>273.007</v>
      </c>
      <c r="K16" s="38">
        <v>109571.0</v>
      </c>
      <c r="L16" s="18">
        <f t="shared" si="4"/>
        <v>42305.58224</v>
      </c>
      <c r="M16" s="19">
        <v>0.947</v>
      </c>
      <c r="N16" s="20">
        <v>8.56</v>
      </c>
      <c r="O16" s="21">
        <v>11.0</v>
      </c>
      <c r="P16" s="22" t="s">
        <v>115</v>
      </c>
      <c r="Q16" s="6" t="s">
        <v>116</v>
      </c>
      <c r="R16" s="1" t="s">
        <v>117</v>
      </c>
      <c r="S16" s="34">
        <f t="shared" si="5"/>
        <v>24005704123</v>
      </c>
      <c r="T16" s="34">
        <f t="shared" si="6"/>
        <v>36008556184</v>
      </c>
      <c r="U16" s="34">
        <f t="shared" si="7"/>
        <v>29046901988</v>
      </c>
      <c r="V16" s="34">
        <f t="shared" si="8"/>
        <v>43570352983</v>
      </c>
      <c r="W16" s="50">
        <v>0.0321</v>
      </c>
    </row>
    <row r="17" ht="22.5" customHeight="1">
      <c r="A17" s="11" t="s">
        <v>118</v>
      </c>
      <c r="B17" s="36">
        <f t="shared" si="1"/>
        <v>93832500.27</v>
      </c>
      <c r="C17" s="37" t="s">
        <v>119</v>
      </c>
      <c r="D17" s="37" t="s">
        <v>120</v>
      </c>
      <c r="E17" s="6" t="s">
        <v>121</v>
      </c>
      <c r="F17" s="14">
        <f t="shared" si="2"/>
        <v>956942562277</v>
      </c>
      <c r="G17" s="15">
        <v>10198.412698412698</v>
      </c>
      <c r="H17" s="28">
        <v>2.12153867402104E12</v>
      </c>
      <c r="I17" s="15">
        <f t="shared" si="3"/>
        <v>22609.84912</v>
      </c>
      <c r="J17" s="16">
        <v>74.31</v>
      </c>
      <c r="K17" s="17">
        <v>1262717.0</v>
      </c>
      <c r="L17" s="18">
        <f t="shared" si="4"/>
        <v>487537.5591</v>
      </c>
      <c r="M17" s="19">
        <v>0.892</v>
      </c>
      <c r="N17" s="20">
        <v>8.91</v>
      </c>
      <c r="O17" s="21">
        <v>60.0</v>
      </c>
      <c r="P17" s="6" t="s">
        <v>122</v>
      </c>
      <c r="Q17" s="6" t="s">
        <v>123</v>
      </c>
      <c r="R17" s="1" t="s">
        <v>124</v>
      </c>
      <c r="S17" s="39">
        <f t="shared" si="5"/>
        <v>19138851246</v>
      </c>
      <c r="T17" s="39">
        <f t="shared" si="6"/>
        <v>28708276868</v>
      </c>
      <c r="U17" s="39">
        <f t="shared" si="7"/>
        <v>42430773480</v>
      </c>
      <c r="V17" s="39">
        <f t="shared" si="8"/>
        <v>63646160221</v>
      </c>
      <c r="W17" s="49">
        <v>0.02</v>
      </c>
    </row>
    <row r="18" ht="22.5" customHeight="1">
      <c r="A18" s="31" t="s">
        <v>125</v>
      </c>
      <c r="B18" s="12">
        <f t="shared" si="1"/>
        <v>137992638.5</v>
      </c>
      <c r="C18" s="13" t="s">
        <v>126</v>
      </c>
      <c r="D18" s="13" t="s">
        <v>127</v>
      </c>
      <c r="E18" s="6" t="s">
        <v>54</v>
      </c>
      <c r="F18" s="14">
        <f t="shared" si="2"/>
        <v>679011395990</v>
      </c>
      <c r="G18" s="15">
        <v>4920.6349206349205</v>
      </c>
      <c r="H18" s="14">
        <v>1.5481459828582854E12</v>
      </c>
      <c r="I18" s="15">
        <f t="shared" si="3"/>
        <v>11219.04762</v>
      </c>
      <c r="J18" s="16">
        <v>88.243</v>
      </c>
      <c r="K18" s="17">
        <v>1563780.0</v>
      </c>
      <c r="L18" s="18">
        <f t="shared" si="4"/>
        <v>603778.5856</v>
      </c>
      <c r="M18" s="19">
        <v>0.78</v>
      </c>
      <c r="N18" s="20">
        <v>4.12</v>
      </c>
      <c r="O18" s="21">
        <v>32.0</v>
      </c>
      <c r="P18" s="22" t="s">
        <v>128</v>
      </c>
      <c r="Q18" s="6" t="s">
        <v>129</v>
      </c>
      <c r="R18" s="6" t="s">
        <v>125</v>
      </c>
      <c r="S18" s="23">
        <f t="shared" si="5"/>
        <v>18265406552</v>
      </c>
      <c r="T18" s="23">
        <f t="shared" si="6"/>
        <v>27398109828</v>
      </c>
      <c r="U18" s="23">
        <f t="shared" si="7"/>
        <v>41645126939</v>
      </c>
      <c r="V18" s="23">
        <f t="shared" si="8"/>
        <v>62467690408</v>
      </c>
      <c r="W18" s="47">
        <v>0.0269</v>
      </c>
    </row>
    <row r="19" ht="22.5" customHeight="1">
      <c r="A19" s="31" t="s">
        <v>130</v>
      </c>
      <c r="B19" s="25">
        <f t="shared" si="1"/>
        <v>85678805.77</v>
      </c>
      <c r="C19" s="27" t="s">
        <v>131</v>
      </c>
      <c r="D19" s="27" t="s">
        <v>132</v>
      </c>
      <c r="E19" s="6" t="s">
        <v>54</v>
      </c>
      <c r="F19" s="14">
        <f t="shared" si="2"/>
        <v>962186588641</v>
      </c>
      <c r="G19" s="15">
        <v>11230.15873015873</v>
      </c>
      <c r="H19" s="28">
        <v>1.76870116557864E12</v>
      </c>
      <c r="I19" s="15">
        <f t="shared" si="3"/>
        <v>20643.39191</v>
      </c>
      <c r="J19" s="16">
        <v>109.339</v>
      </c>
      <c r="K19" s="17">
        <v>783607.0</v>
      </c>
      <c r="L19" s="18">
        <f t="shared" si="4"/>
        <v>302552.2299</v>
      </c>
      <c r="M19" s="19">
        <v>0.834</v>
      </c>
      <c r="N19" s="20">
        <v>7.02</v>
      </c>
      <c r="O19" s="21">
        <v>17.0</v>
      </c>
      <c r="P19" s="22" t="s">
        <v>133</v>
      </c>
      <c r="Q19" s="6" t="s">
        <v>134</v>
      </c>
      <c r="R19" s="5" t="s">
        <v>130</v>
      </c>
      <c r="S19" s="29">
        <f t="shared" si="5"/>
        <v>17319358596</v>
      </c>
      <c r="T19" s="29">
        <f t="shared" si="6"/>
        <v>25979037893</v>
      </c>
      <c r="U19" s="29">
        <f t="shared" si="7"/>
        <v>31836620980</v>
      </c>
      <c r="V19" s="29">
        <f t="shared" si="8"/>
        <v>47754931471</v>
      </c>
      <c r="W19" s="44">
        <v>0.018</v>
      </c>
    </row>
    <row r="20" ht="22.5" customHeight="1">
      <c r="A20" s="31" t="s">
        <v>135</v>
      </c>
      <c r="B20" s="32">
        <f t="shared" si="1"/>
        <v>21374692.15</v>
      </c>
      <c r="C20" s="33" t="s">
        <v>136</v>
      </c>
      <c r="D20" s="33" t="s">
        <v>137</v>
      </c>
      <c r="E20" s="6" t="s">
        <v>33</v>
      </c>
      <c r="F20" s="14">
        <f t="shared" si="2"/>
        <v>489412594115</v>
      </c>
      <c r="G20" s="15">
        <v>22896.825396825396</v>
      </c>
      <c r="H20" s="14">
        <v>4.600478384683237E11</v>
      </c>
      <c r="I20" s="15">
        <f t="shared" si="3"/>
        <v>21523.01587</v>
      </c>
      <c r="J20" s="16">
        <v>8.4667</v>
      </c>
      <c r="K20" s="17">
        <v>2524560.0</v>
      </c>
      <c r="L20" s="18">
        <f t="shared" si="4"/>
        <v>974737.6651</v>
      </c>
      <c r="M20" s="19">
        <v>0.731</v>
      </c>
      <c r="N20" s="20">
        <v>5.11</v>
      </c>
      <c r="O20" s="21">
        <v>904.0</v>
      </c>
      <c r="P20" s="22" t="s">
        <v>138</v>
      </c>
      <c r="Q20" s="6" t="s">
        <v>139</v>
      </c>
      <c r="R20" s="1" t="s">
        <v>140</v>
      </c>
      <c r="S20" s="34">
        <f t="shared" si="5"/>
        <v>15710144271</v>
      </c>
      <c r="T20" s="34">
        <f t="shared" si="6"/>
        <v>23565216407</v>
      </c>
      <c r="U20" s="34">
        <f t="shared" si="7"/>
        <v>14767535615</v>
      </c>
      <c r="V20" s="34">
        <f t="shared" si="8"/>
        <v>22151303422</v>
      </c>
      <c r="W20" s="50">
        <v>0.0321</v>
      </c>
    </row>
    <row r="21" ht="22.5" customHeight="1">
      <c r="A21" s="31" t="s">
        <v>141</v>
      </c>
      <c r="B21" s="36">
        <f t="shared" si="1"/>
        <v>29182698.16</v>
      </c>
      <c r="C21" s="37" t="s">
        <v>142</v>
      </c>
      <c r="D21" s="37" t="s">
        <v>143</v>
      </c>
      <c r="E21" s="6" t="s">
        <v>84</v>
      </c>
      <c r="F21" s="14">
        <f t="shared" si="2"/>
        <v>409947426533</v>
      </c>
      <c r="G21" s="15">
        <v>14047.619047619048</v>
      </c>
      <c r="H21" s="14">
        <v>5.452300772893333E11</v>
      </c>
      <c r="I21" s="15">
        <f t="shared" si="3"/>
        <v>18683.33333</v>
      </c>
      <c r="J21" s="16">
        <v>11.935</v>
      </c>
      <c r="K21" s="17">
        <v>2445136.0</v>
      </c>
      <c r="L21" s="18">
        <f t="shared" si="4"/>
        <v>944071.8999</v>
      </c>
      <c r="M21" s="19">
        <v>0.924</v>
      </c>
      <c r="N21" s="20">
        <v>8.64</v>
      </c>
      <c r="O21" s="21">
        <v>771.0</v>
      </c>
      <c r="P21" s="6" t="s">
        <v>144</v>
      </c>
      <c r="Q21" s="6" t="s">
        <v>145</v>
      </c>
      <c r="R21" s="1" t="s">
        <v>146</v>
      </c>
      <c r="S21" s="39">
        <f t="shared" si="5"/>
        <v>15618996951</v>
      </c>
      <c r="T21" s="39">
        <f t="shared" si="6"/>
        <v>23428495426</v>
      </c>
      <c r="U21" s="39">
        <f t="shared" si="7"/>
        <v>20773265945</v>
      </c>
      <c r="V21" s="39">
        <f t="shared" si="8"/>
        <v>31159898917</v>
      </c>
      <c r="W21" s="49">
        <v>0.0381</v>
      </c>
    </row>
    <row r="22" ht="22.5" customHeight="1">
      <c r="A22" s="11" t="s">
        <v>147</v>
      </c>
      <c r="B22" s="12">
        <f t="shared" si="1"/>
        <v>53637197.89</v>
      </c>
      <c r="C22" s="13" t="s">
        <v>148</v>
      </c>
      <c r="D22" s="13" t="s">
        <v>149</v>
      </c>
      <c r="E22" s="6" t="s">
        <v>26</v>
      </c>
      <c r="F22" s="14">
        <f t="shared" si="2"/>
        <v>834356411649</v>
      </c>
      <c r="G22" s="15">
        <v>15555.555555555555</v>
      </c>
      <c r="H22" s="28">
        <v>1.20993956628841E12</v>
      </c>
      <c r="I22" s="15">
        <f t="shared" si="3"/>
        <v>22557.84444</v>
      </c>
      <c r="J22" s="16">
        <v>45.8077</v>
      </c>
      <c r="K22" s="17">
        <v>1170921.0</v>
      </c>
      <c r="L22" s="18">
        <f t="shared" si="4"/>
        <v>452094.9399</v>
      </c>
      <c r="M22" s="19">
        <v>0.868</v>
      </c>
      <c r="N22" s="20">
        <v>6.73</v>
      </c>
      <c r="O22" s="21">
        <v>26.0</v>
      </c>
      <c r="P22" s="6" t="s">
        <v>150</v>
      </c>
      <c r="Q22" s="6" t="s">
        <v>151</v>
      </c>
      <c r="R22" s="1" t="s">
        <v>152</v>
      </c>
      <c r="S22" s="23">
        <f t="shared" si="5"/>
        <v>14350930280</v>
      </c>
      <c r="T22" s="23">
        <f t="shared" si="6"/>
        <v>21526395421</v>
      </c>
      <c r="U22" s="23">
        <f t="shared" si="7"/>
        <v>20810960540</v>
      </c>
      <c r="V22" s="23">
        <f t="shared" si="8"/>
        <v>31216440810</v>
      </c>
      <c r="W22" s="47">
        <v>0.0172</v>
      </c>
    </row>
    <row r="23" ht="22.5" customHeight="1">
      <c r="A23" s="11" t="s">
        <v>153</v>
      </c>
      <c r="B23" s="36">
        <f t="shared" si="1"/>
        <v>236475569.2</v>
      </c>
      <c r="C23" s="37" t="s">
        <v>154</v>
      </c>
      <c r="D23" s="37" t="s">
        <v>155</v>
      </c>
      <c r="E23" s="6" t="s">
        <v>40</v>
      </c>
      <c r="F23" s="14">
        <f t="shared" si="2"/>
        <v>741332141580</v>
      </c>
      <c r="G23" s="15">
        <v>3134.9206349206347</v>
      </c>
      <c r="H23" s="14">
        <v>2.1350365677498516E12</v>
      </c>
      <c r="I23" s="15">
        <f t="shared" si="3"/>
        <v>9028.571429</v>
      </c>
      <c r="J23" s="16">
        <v>79.7716</v>
      </c>
      <c r="K23" s="17">
        <v>2964408.0</v>
      </c>
      <c r="L23" s="18">
        <f t="shared" si="4"/>
        <v>1144563.858</v>
      </c>
      <c r="M23" s="19">
        <v>0.769</v>
      </c>
      <c r="N23" s="20">
        <v>6.43</v>
      </c>
      <c r="O23" s="21">
        <v>902.0</v>
      </c>
      <c r="P23" s="22" t="s">
        <v>156</v>
      </c>
      <c r="Q23" s="6" t="s">
        <v>157</v>
      </c>
      <c r="R23" s="6" t="s">
        <v>158</v>
      </c>
      <c r="S23" s="39">
        <f t="shared" si="5"/>
        <v>12750912835</v>
      </c>
      <c r="T23" s="39">
        <f t="shared" si="6"/>
        <v>19126369253</v>
      </c>
      <c r="U23" s="39">
        <f t="shared" si="7"/>
        <v>36722628965</v>
      </c>
      <c r="V23" s="39">
        <f t="shared" si="8"/>
        <v>55083943448</v>
      </c>
      <c r="W23" s="49">
        <v>0.0172</v>
      </c>
    </row>
    <row r="24" ht="22.5" customHeight="1">
      <c r="A24" s="31" t="s">
        <v>159</v>
      </c>
      <c r="B24" s="12">
        <f t="shared" si="1"/>
        <v>74436760.97</v>
      </c>
      <c r="C24" s="45" t="s">
        <v>160</v>
      </c>
      <c r="D24" s="13" t="s">
        <v>161</v>
      </c>
      <c r="E24" s="6" t="s">
        <v>40</v>
      </c>
      <c r="F24" s="14">
        <f t="shared" si="2"/>
        <v>652798578359</v>
      </c>
      <c r="G24" s="15">
        <v>8769.84126984127</v>
      </c>
      <c r="H24" s="14">
        <v>1.0771176542915906E12</v>
      </c>
      <c r="I24" s="15">
        <f t="shared" si="3"/>
        <v>14470.2381</v>
      </c>
      <c r="J24" s="16">
        <v>128.9788</v>
      </c>
      <c r="K24" s="17">
        <v>577124.0</v>
      </c>
      <c r="L24" s="18">
        <f t="shared" si="4"/>
        <v>222828.7306</v>
      </c>
      <c r="M24" s="19">
        <v>0.887</v>
      </c>
      <c r="N24" s="20">
        <v>7.84</v>
      </c>
      <c r="O24" s="21">
        <v>908.0</v>
      </c>
      <c r="P24" s="22" t="s">
        <v>162</v>
      </c>
      <c r="Q24" s="6" t="s">
        <v>163</v>
      </c>
      <c r="R24" s="6" t="s">
        <v>164</v>
      </c>
      <c r="S24" s="23">
        <f t="shared" si="5"/>
        <v>10705896685</v>
      </c>
      <c r="T24" s="23">
        <f t="shared" si="6"/>
        <v>16058845028</v>
      </c>
      <c r="U24" s="23">
        <f t="shared" si="7"/>
        <v>17664729530</v>
      </c>
      <c r="V24" s="23">
        <f t="shared" si="8"/>
        <v>26497094296</v>
      </c>
      <c r="W24" s="47">
        <v>0.0164</v>
      </c>
    </row>
    <row r="25" ht="22.5" customHeight="1">
      <c r="A25" s="31" t="s">
        <v>165</v>
      </c>
      <c r="B25" s="36">
        <f t="shared" si="1"/>
        <v>121753072.2</v>
      </c>
      <c r="C25" s="37" t="s">
        <v>166</v>
      </c>
      <c r="D25" s="37" t="s">
        <v>167</v>
      </c>
      <c r="E25" s="6" t="s">
        <v>33</v>
      </c>
      <c r="F25" s="14">
        <f t="shared" si="2"/>
        <v>377337894377</v>
      </c>
      <c r="G25" s="15">
        <v>3099.2063492063494</v>
      </c>
      <c r="H25" s="14">
        <v>1.0603194831980898E12</v>
      </c>
      <c r="I25" s="15">
        <f t="shared" si="3"/>
        <v>8708.769841</v>
      </c>
      <c r="J25" s="16">
        <v>48.1153</v>
      </c>
      <c r="K25" s="17">
        <v>2530444.0</v>
      </c>
      <c r="L25" s="18">
        <f t="shared" si="4"/>
        <v>977009.4893</v>
      </c>
      <c r="M25" s="19">
        <v>0.682</v>
      </c>
      <c r="N25" s="20">
        <v>4.18</v>
      </c>
      <c r="O25" s="21">
        <v>55.0</v>
      </c>
      <c r="P25" s="6" t="s">
        <v>168</v>
      </c>
      <c r="Q25" s="6" t="s">
        <v>169</v>
      </c>
      <c r="R25" s="1" t="s">
        <v>170</v>
      </c>
      <c r="S25" s="39">
        <f t="shared" si="5"/>
        <v>10225856938</v>
      </c>
      <c r="T25" s="39">
        <f t="shared" si="6"/>
        <v>15338785406</v>
      </c>
      <c r="U25" s="39">
        <f t="shared" si="7"/>
        <v>28734657995</v>
      </c>
      <c r="V25" s="39">
        <f t="shared" si="8"/>
        <v>43101986992</v>
      </c>
      <c r="W25" s="49">
        <v>0.0271</v>
      </c>
    </row>
    <row r="26" ht="22.5" customHeight="1">
      <c r="A26" s="11" t="s">
        <v>171</v>
      </c>
      <c r="B26" s="32">
        <f t="shared" si="1"/>
        <v>143972722.7</v>
      </c>
      <c r="C26" s="33" t="s">
        <v>172</v>
      </c>
      <c r="D26" s="33" t="s">
        <v>173</v>
      </c>
      <c r="E26" s="6" t="s">
        <v>84</v>
      </c>
      <c r="F26" s="14">
        <f t="shared" si="2"/>
        <v>719863613700</v>
      </c>
      <c r="G26" s="15">
        <v>5000.0</v>
      </c>
      <c r="H26" s="14">
        <v>1.9508303931269998E12</v>
      </c>
      <c r="I26" s="15">
        <f t="shared" si="3"/>
        <v>13550</v>
      </c>
      <c r="J26" s="16">
        <v>217.14</v>
      </c>
      <c r="K26" s="17">
        <v>663041.0</v>
      </c>
      <c r="L26" s="18">
        <f t="shared" si="4"/>
        <v>256001.4562</v>
      </c>
      <c r="M26" s="19">
        <v>0.734</v>
      </c>
      <c r="N26" s="20">
        <v>2.88</v>
      </c>
      <c r="O26" s="21">
        <v>72.0</v>
      </c>
      <c r="P26" s="22" t="s">
        <v>174</v>
      </c>
      <c r="Q26" s="6" t="s">
        <v>175</v>
      </c>
      <c r="R26" s="1" t="s">
        <v>176</v>
      </c>
      <c r="S26" s="34">
        <f t="shared" si="5"/>
        <v>9502199701</v>
      </c>
      <c r="T26" s="34">
        <f t="shared" si="6"/>
        <v>14253299551</v>
      </c>
      <c r="U26" s="34">
        <f t="shared" si="7"/>
        <v>25750961189</v>
      </c>
      <c r="V26" s="34">
        <f t="shared" si="8"/>
        <v>38626441784</v>
      </c>
      <c r="W26" s="50">
        <v>0.0132</v>
      </c>
    </row>
    <row r="27" ht="22.5" customHeight="1">
      <c r="A27" s="11" t="s">
        <v>177</v>
      </c>
      <c r="B27" s="36">
        <f t="shared" si="1"/>
        <v>27844193.43</v>
      </c>
      <c r="C27" s="48" t="s">
        <v>178</v>
      </c>
      <c r="D27" s="37" t="s">
        <v>179</v>
      </c>
      <c r="E27" s="6" t="s">
        <v>40</v>
      </c>
      <c r="F27" s="14">
        <f t="shared" si="2"/>
        <v>432026969545</v>
      </c>
      <c r="G27" s="15">
        <v>15515.873015873016</v>
      </c>
      <c r="H27" s="28">
        <v>6.7701474817664E11</v>
      </c>
      <c r="I27" s="15">
        <f t="shared" si="3"/>
        <v>24314.3961</v>
      </c>
      <c r="J27" s="16">
        <v>72.7656</v>
      </c>
      <c r="K27" s="17">
        <v>382656.0</v>
      </c>
      <c r="L27" s="18">
        <f t="shared" si="4"/>
        <v>147744.2469</v>
      </c>
      <c r="M27" s="19">
        <v>0.847</v>
      </c>
      <c r="N27" s="20">
        <v>7.03</v>
      </c>
      <c r="O27" s="21">
        <v>903.0</v>
      </c>
      <c r="P27" s="22" t="s">
        <v>180</v>
      </c>
      <c r="Q27" s="6" t="s">
        <v>181</v>
      </c>
      <c r="R27" s="1" t="s">
        <v>177</v>
      </c>
      <c r="S27" s="39">
        <f t="shared" si="5"/>
        <v>9202174451</v>
      </c>
      <c r="T27" s="39">
        <f t="shared" si="6"/>
        <v>13803261677</v>
      </c>
      <c r="U27" s="39">
        <f t="shared" si="7"/>
        <v>14420414136</v>
      </c>
      <c r="V27" s="39">
        <f t="shared" si="8"/>
        <v>21630621204</v>
      </c>
      <c r="W27" s="49">
        <v>0.0213</v>
      </c>
    </row>
    <row r="28" ht="22.5" customHeight="1">
      <c r="A28" s="11" t="s">
        <v>182</v>
      </c>
      <c r="B28" s="32">
        <f t="shared" si="1"/>
        <v>44529546.3</v>
      </c>
      <c r="C28" s="42" t="s">
        <v>183</v>
      </c>
      <c r="D28" s="33" t="s">
        <v>184</v>
      </c>
      <c r="E28" s="6" t="s">
        <v>33</v>
      </c>
      <c r="F28" s="14">
        <f t="shared" si="2"/>
        <v>473568190828</v>
      </c>
      <c r="G28" s="15">
        <v>10634.920634920634</v>
      </c>
      <c r="H28" s="28">
        <v>1.01299979317866E12</v>
      </c>
      <c r="I28" s="15">
        <f t="shared" si="3"/>
        <v>22748.93587</v>
      </c>
      <c r="J28" s="16">
        <v>128.9437</v>
      </c>
      <c r="K28" s="38">
        <v>345341.0</v>
      </c>
      <c r="L28" s="18">
        <f t="shared" si="4"/>
        <v>133336.8508</v>
      </c>
      <c r="M28" s="19">
        <v>0.852</v>
      </c>
      <c r="N28" s="20">
        <v>7.29</v>
      </c>
      <c r="O28" s="21">
        <v>16.0</v>
      </c>
      <c r="P28" s="22" t="s">
        <v>185</v>
      </c>
      <c r="Q28" s="6" t="s">
        <v>186</v>
      </c>
      <c r="R28" s="1" t="s">
        <v>187</v>
      </c>
      <c r="S28" s="34">
        <f t="shared" si="5"/>
        <v>8950438807</v>
      </c>
      <c r="T28" s="34">
        <f t="shared" si="6"/>
        <v>13425658210</v>
      </c>
      <c r="U28" s="34">
        <f t="shared" si="7"/>
        <v>19145696091</v>
      </c>
      <c r="V28" s="34">
        <f t="shared" si="8"/>
        <v>28718544137</v>
      </c>
      <c r="W28" s="50">
        <v>0.0189</v>
      </c>
    </row>
    <row r="29" ht="22.5" customHeight="1">
      <c r="A29" s="31" t="s">
        <v>188</v>
      </c>
      <c r="B29" s="36">
        <f t="shared" si="1"/>
        <v>38792291.37</v>
      </c>
      <c r="C29" s="48" t="s">
        <v>189</v>
      </c>
      <c r="D29" s="37" t="s">
        <v>190</v>
      </c>
      <c r="E29" s="6" t="s">
        <v>33</v>
      </c>
      <c r="F29" s="14">
        <f t="shared" si="2"/>
        <v>592660006978</v>
      </c>
      <c r="G29" s="15">
        <v>15277.777777777777</v>
      </c>
      <c r="H29" s="14">
        <v>9.77889011512875E11</v>
      </c>
      <c r="I29" s="15">
        <f t="shared" si="3"/>
        <v>25208.33333</v>
      </c>
      <c r="J29" s="16">
        <v>341.4033</v>
      </c>
      <c r="K29" s="17">
        <v>113626.0</v>
      </c>
      <c r="L29" s="18">
        <f t="shared" si="4"/>
        <v>43871.22585</v>
      </c>
      <c r="M29" s="19">
        <v>0.913</v>
      </c>
      <c r="N29" s="20">
        <v>9.51</v>
      </c>
      <c r="O29" s="21">
        <v>53.0</v>
      </c>
      <c r="P29" s="22" t="s">
        <v>191</v>
      </c>
      <c r="Q29" s="6" t="s">
        <v>192</v>
      </c>
      <c r="R29" s="1" t="s">
        <v>193</v>
      </c>
      <c r="S29" s="39">
        <f t="shared" si="5"/>
        <v>8889900105</v>
      </c>
      <c r="T29" s="39">
        <f t="shared" si="6"/>
        <v>13334850157</v>
      </c>
      <c r="U29" s="39">
        <f t="shared" si="7"/>
        <v>14668335173</v>
      </c>
      <c r="V29" s="39">
        <f t="shared" si="8"/>
        <v>22002502759</v>
      </c>
      <c r="W29" s="49">
        <v>0.015</v>
      </c>
    </row>
    <row r="30" ht="22.5" customHeight="1">
      <c r="A30" s="41" t="s">
        <v>194</v>
      </c>
      <c r="B30" s="32">
        <f t="shared" si="1"/>
        <v>39227749.73</v>
      </c>
      <c r="C30" s="51" t="s">
        <v>195</v>
      </c>
      <c r="D30" s="51" t="s">
        <v>196</v>
      </c>
      <c r="E30" s="6" t="s">
        <v>54</v>
      </c>
      <c r="F30" s="14">
        <f t="shared" si="2"/>
        <v>555726454508</v>
      </c>
      <c r="G30" s="15">
        <v>14166.666666666666</v>
      </c>
      <c r="H30" s="28">
        <v>7.92459771766583E11</v>
      </c>
      <c r="I30" s="15">
        <f t="shared" si="3"/>
        <v>20201.50983</v>
      </c>
      <c r="J30" s="16">
        <v>77.41</v>
      </c>
      <c r="K30" s="17">
        <v>506753.0</v>
      </c>
      <c r="L30" s="18">
        <f t="shared" si="4"/>
        <v>195658.3468</v>
      </c>
      <c r="M30" s="19">
        <v>0.911</v>
      </c>
      <c r="N30" s="20">
        <v>7.11</v>
      </c>
      <c r="O30" s="21">
        <v>14.0</v>
      </c>
      <c r="P30" s="22" t="s">
        <v>197</v>
      </c>
      <c r="Q30" s="6" t="s">
        <v>198</v>
      </c>
      <c r="R30" s="1" t="s">
        <v>199</v>
      </c>
      <c r="S30" s="34">
        <f t="shared" si="5"/>
        <v>8558187399</v>
      </c>
      <c r="T30" s="34">
        <f t="shared" si="6"/>
        <v>12837281099</v>
      </c>
      <c r="U30" s="34">
        <f t="shared" si="7"/>
        <v>12203880485</v>
      </c>
      <c r="V30" s="34">
        <f t="shared" si="8"/>
        <v>18305820728</v>
      </c>
      <c r="W30" s="50">
        <v>0.0154</v>
      </c>
    </row>
    <row r="31" ht="22.5" customHeight="1">
      <c r="A31" s="41" t="s">
        <v>200</v>
      </c>
      <c r="B31" s="36">
        <f t="shared" si="1"/>
        <v>39335004.74</v>
      </c>
      <c r="C31" s="37" t="s">
        <v>201</v>
      </c>
      <c r="D31" s="37" t="s">
        <v>202</v>
      </c>
      <c r="E31" s="6" t="s">
        <v>54</v>
      </c>
      <c r="F31" s="14">
        <f t="shared" si="2"/>
        <v>750799098487</v>
      </c>
      <c r="G31" s="15">
        <v>19087.301587301587</v>
      </c>
      <c r="H31" s="28">
        <v>8.658150804564E11</v>
      </c>
      <c r="I31" s="15">
        <f t="shared" si="3"/>
        <v>22011.31247</v>
      </c>
      <c r="J31" s="16">
        <v>129.738</v>
      </c>
      <c r="K31" s="17">
        <v>303188.0</v>
      </c>
      <c r="L31" s="18">
        <f t="shared" si="4"/>
        <v>117061.4932</v>
      </c>
      <c r="M31" s="19">
        <v>0.96</v>
      </c>
      <c r="N31" s="20">
        <v>9.67</v>
      </c>
      <c r="O31" s="21">
        <v>13.0</v>
      </c>
      <c r="P31" s="22" t="s">
        <v>203</v>
      </c>
      <c r="Q31" s="6" t="s">
        <v>204</v>
      </c>
      <c r="R31" s="1" t="s">
        <v>205</v>
      </c>
      <c r="S31" s="39">
        <f t="shared" si="5"/>
        <v>8258790083</v>
      </c>
      <c r="T31" s="39">
        <f t="shared" si="6"/>
        <v>12388185125</v>
      </c>
      <c r="U31" s="39">
        <f t="shared" si="7"/>
        <v>9523965885</v>
      </c>
      <c r="V31" s="39">
        <f t="shared" si="8"/>
        <v>14285948828</v>
      </c>
      <c r="W31" s="49">
        <v>0.011</v>
      </c>
    </row>
    <row r="32" ht="22.5" customHeight="1">
      <c r="A32" s="11" t="s">
        <v>206</v>
      </c>
      <c r="B32" s="32">
        <f t="shared" si="1"/>
        <v>95001456.77</v>
      </c>
      <c r="C32" s="33" t="s">
        <v>207</v>
      </c>
      <c r="D32" s="33" t="s">
        <v>208</v>
      </c>
      <c r="E32" s="6" t="s">
        <v>40</v>
      </c>
      <c r="F32" s="14">
        <f t="shared" si="2"/>
        <v>313278613382</v>
      </c>
      <c r="G32" s="15">
        <v>3297.6190476190477</v>
      </c>
      <c r="H32" s="14">
        <v>1.005624348955578E12</v>
      </c>
      <c r="I32" s="15">
        <f t="shared" si="3"/>
        <v>10585.35714</v>
      </c>
      <c r="J32" s="16">
        <v>92.3976</v>
      </c>
      <c r="K32" s="17">
        <v>1028181.0</v>
      </c>
      <c r="L32" s="18">
        <f t="shared" si="4"/>
        <v>396982.7405</v>
      </c>
      <c r="M32" s="19">
        <v>0.738</v>
      </c>
      <c r="N32" s="20">
        <v>4.29</v>
      </c>
      <c r="O32" s="21">
        <v>923.0</v>
      </c>
      <c r="P32" s="6" t="s">
        <v>209</v>
      </c>
      <c r="Q32" s="6" t="s">
        <v>210</v>
      </c>
      <c r="R32" s="1" t="s">
        <v>211</v>
      </c>
      <c r="S32" s="34">
        <f t="shared" si="5"/>
        <v>7863293196</v>
      </c>
      <c r="T32" s="34">
        <f t="shared" si="6"/>
        <v>11794939794</v>
      </c>
      <c r="U32" s="34">
        <f t="shared" si="7"/>
        <v>25241171159</v>
      </c>
      <c r="V32" s="34">
        <f t="shared" si="8"/>
        <v>37861756738</v>
      </c>
      <c r="W32" s="50">
        <v>0.0251</v>
      </c>
    </row>
    <row r="33" ht="22.5" customHeight="1">
      <c r="A33" s="11" t="s">
        <v>212</v>
      </c>
      <c r="B33" s="36">
        <f t="shared" si="1"/>
        <v>31745420.39</v>
      </c>
      <c r="C33" s="37" t="s">
        <v>213</v>
      </c>
      <c r="D33" s="37" t="s">
        <v>214</v>
      </c>
      <c r="E33" s="6" t="s">
        <v>84</v>
      </c>
      <c r="F33" s="14">
        <f t="shared" si="2"/>
        <v>342648981987</v>
      </c>
      <c r="G33" s="15">
        <v>10793.650793650793</v>
      </c>
      <c r="H33" s="28">
        <v>6.26063516049016E11</v>
      </c>
      <c r="I33" s="15">
        <f t="shared" si="3"/>
        <v>19721.38054</v>
      </c>
      <c r="J33" s="16">
        <v>72.005</v>
      </c>
      <c r="K33" s="17">
        <v>440878.0</v>
      </c>
      <c r="L33" s="18">
        <f t="shared" si="4"/>
        <v>170223.8776</v>
      </c>
      <c r="M33" s="19">
        <v>0.829</v>
      </c>
      <c r="N33" s="20">
        <v>3.91</v>
      </c>
      <c r="O33" s="21">
        <v>730.0</v>
      </c>
      <c r="P33" s="22" t="s">
        <v>215</v>
      </c>
      <c r="Q33" s="6" t="s">
        <v>216</v>
      </c>
      <c r="R33" s="6" t="s">
        <v>217</v>
      </c>
      <c r="S33" s="39">
        <f t="shared" si="5"/>
        <v>7264158418</v>
      </c>
      <c r="T33" s="39">
        <f t="shared" si="6"/>
        <v>10896237627</v>
      </c>
      <c r="U33" s="39">
        <f t="shared" si="7"/>
        <v>13272546540</v>
      </c>
      <c r="V33" s="39">
        <f t="shared" si="8"/>
        <v>19908819810</v>
      </c>
      <c r="W33" s="49">
        <v>0.0212</v>
      </c>
    </row>
    <row r="34" ht="22.5" customHeight="1">
      <c r="A34" s="11" t="s">
        <v>218</v>
      </c>
      <c r="B34" s="12">
        <f t="shared" si="1"/>
        <v>74091042.08</v>
      </c>
      <c r="C34" s="13" t="s">
        <v>219</v>
      </c>
      <c r="D34" s="13" t="s">
        <v>220</v>
      </c>
      <c r="E34" s="6" t="s">
        <v>47</v>
      </c>
      <c r="F34" s="14">
        <f t="shared" si="2"/>
        <v>361634848267</v>
      </c>
      <c r="G34" s="15">
        <v>4880.952380952381</v>
      </c>
      <c r="H34" s="14">
        <v>7.59433181361E11</v>
      </c>
      <c r="I34" s="15">
        <f t="shared" si="3"/>
        <v>10250</v>
      </c>
      <c r="J34" s="16">
        <v>66.603</v>
      </c>
      <c r="K34" s="17">
        <v>1112428.0</v>
      </c>
      <c r="L34" s="18">
        <f t="shared" si="4"/>
        <v>429510.6757</v>
      </c>
      <c r="M34" s="19">
        <v>0.655</v>
      </c>
      <c r="N34" s="20">
        <v>7.61</v>
      </c>
      <c r="O34" s="21">
        <v>81.0</v>
      </c>
      <c r="P34" s="22" t="s">
        <v>221</v>
      </c>
      <c r="Q34" s="6" t="s">
        <v>222</v>
      </c>
      <c r="R34" s="1" t="s">
        <v>218</v>
      </c>
      <c r="S34" s="23">
        <f t="shared" si="5"/>
        <v>7232696965</v>
      </c>
      <c r="T34" s="23">
        <f t="shared" si="6"/>
        <v>10849045448</v>
      </c>
      <c r="U34" s="23">
        <f t="shared" si="7"/>
        <v>15188663627</v>
      </c>
      <c r="V34" s="23">
        <f t="shared" si="8"/>
        <v>22782995441</v>
      </c>
      <c r="W34" s="47">
        <v>0.02</v>
      </c>
    </row>
    <row r="35" ht="22.5" customHeight="1">
      <c r="A35" s="11" t="s">
        <v>223</v>
      </c>
      <c r="B35" s="25">
        <f t="shared" si="1"/>
        <v>15795087.26</v>
      </c>
      <c r="C35" s="27" t="s">
        <v>224</v>
      </c>
      <c r="D35" s="27" t="s">
        <v>225</v>
      </c>
      <c r="E35" s="6" t="s">
        <v>26</v>
      </c>
      <c r="F35" s="14">
        <f t="shared" si="2"/>
        <v>294590913242</v>
      </c>
      <c r="G35" s="15">
        <v>18650.79365079365</v>
      </c>
      <c r="H35" s="14">
        <v>4.301027333336445E11</v>
      </c>
      <c r="I35" s="15">
        <f t="shared" si="3"/>
        <v>27230.15873</v>
      </c>
      <c r="J35" s="16">
        <v>8.8549</v>
      </c>
      <c r="K35" s="17">
        <v>1783768.0</v>
      </c>
      <c r="L35" s="18">
        <f t="shared" si="4"/>
        <v>688716.3923</v>
      </c>
      <c r="M35" s="19">
        <v>0.874</v>
      </c>
      <c r="N35" s="20">
        <v>9.25</v>
      </c>
      <c r="O35" s="21">
        <v>27.0</v>
      </c>
      <c r="P35" s="22" t="s">
        <v>226</v>
      </c>
      <c r="Q35" s="6" t="s">
        <v>227</v>
      </c>
      <c r="R35" s="6" t="s">
        <v>228</v>
      </c>
      <c r="S35" s="29">
        <f t="shared" si="5"/>
        <v>5891818265</v>
      </c>
      <c r="T35" s="29">
        <f t="shared" si="6"/>
        <v>8837727397</v>
      </c>
      <c r="U35" s="29">
        <f t="shared" si="7"/>
        <v>8602054667</v>
      </c>
      <c r="V35" s="29">
        <f t="shared" si="8"/>
        <v>12903082000</v>
      </c>
      <c r="W35" s="44">
        <v>0.02</v>
      </c>
    </row>
    <row r="36" ht="22.5" customHeight="1">
      <c r="A36" s="11" t="s">
        <v>229</v>
      </c>
      <c r="B36" s="32">
        <f t="shared" si="1"/>
        <v>33245173.5</v>
      </c>
      <c r="C36" s="33" t="s">
        <v>230</v>
      </c>
      <c r="D36" s="33" t="s">
        <v>231</v>
      </c>
      <c r="E36" s="6" t="s">
        <v>121</v>
      </c>
      <c r="F36" s="14">
        <f t="shared" si="2"/>
        <v>291554894583</v>
      </c>
      <c r="G36" s="15">
        <v>8769.84126984127</v>
      </c>
      <c r="H36" s="14">
        <v>5.772786912750001E11</v>
      </c>
      <c r="I36" s="15">
        <f t="shared" si="3"/>
        <v>17364.28571</v>
      </c>
      <c r="J36" s="16">
        <v>50.82</v>
      </c>
      <c r="K36" s="38">
        <v>654175.0</v>
      </c>
      <c r="L36" s="18">
        <f t="shared" si="4"/>
        <v>252578.2759</v>
      </c>
      <c r="M36" s="19">
        <v>0.82</v>
      </c>
      <c r="N36" s="20">
        <v>7.66</v>
      </c>
      <c r="O36" s="21">
        <v>61.0</v>
      </c>
      <c r="P36" s="22" t="s">
        <v>232</v>
      </c>
      <c r="Q36" s="6" t="s">
        <v>233</v>
      </c>
      <c r="R36" s="6" t="s">
        <v>234</v>
      </c>
      <c r="S36" s="34">
        <f t="shared" si="5"/>
        <v>5831097892</v>
      </c>
      <c r="T36" s="34">
        <f t="shared" si="6"/>
        <v>8746646838</v>
      </c>
      <c r="U36" s="34">
        <f t="shared" si="7"/>
        <v>11545573826</v>
      </c>
      <c r="V36" s="34">
        <f t="shared" si="8"/>
        <v>17318360738</v>
      </c>
      <c r="W36" s="50">
        <v>0.02</v>
      </c>
    </row>
    <row r="37" ht="22.5" customHeight="1">
      <c r="A37" s="41" t="s">
        <v>235</v>
      </c>
      <c r="B37" s="25">
        <f t="shared" si="1"/>
        <v>18401158.08</v>
      </c>
      <c r="C37" s="27" t="s">
        <v>236</v>
      </c>
      <c r="D37" s="27" t="s">
        <v>237</v>
      </c>
      <c r="E37" s="6" t="s">
        <v>54</v>
      </c>
      <c r="F37" s="14">
        <f t="shared" si="2"/>
        <v>340275383450</v>
      </c>
      <c r="G37" s="15">
        <v>18492.06349206349</v>
      </c>
      <c r="H37" s="28">
        <v>4.32566259989028E11</v>
      </c>
      <c r="I37" s="15">
        <f t="shared" si="3"/>
        <v>23507.55633</v>
      </c>
      <c r="J37" s="16">
        <v>103.175</v>
      </c>
      <c r="K37" s="17">
        <v>178349.0</v>
      </c>
      <c r="L37" s="18">
        <f t="shared" si="4"/>
        <v>68860.9056</v>
      </c>
      <c r="M37" s="19">
        <v>0.902</v>
      </c>
      <c r="N37" s="20">
        <v>8.85</v>
      </c>
      <c r="O37" s="21">
        <v>15.0</v>
      </c>
      <c r="P37" s="22" t="s">
        <v>238</v>
      </c>
      <c r="Q37" s="6" t="s">
        <v>239</v>
      </c>
      <c r="R37" s="1" t="s">
        <v>240</v>
      </c>
      <c r="S37" s="29">
        <f t="shared" si="5"/>
        <v>5682598904</v>
      </c>
      <c r="T37" s="29">
        <f t="shared" si="6"/>
        <v>8523898355</v>
      </c>
      <c r="U37" s="29">
        <f t="shared" si="7"/>
        <v>7223856542</v>
      </c>
      <c r="V37" s="29">
        <f t="shared" si="8"/>
        <v>10835784813</v>
      </c>
      <c r="W37" s="44">
        <v>0.0167</v>
      </c>
    </row>
    <row r="38" ht="22.5" customHeight="1">
      <c r="A38" s="11" t="s">
        <v>241</v>
      </c>
      <c r="B38" s="32">
        <f t="shared" si="1"/>
        <v>20712945.73</v>
      </c>
      <c r="C38" s="42" t="s">
        <v>242</v>
      </c>
      <c r="D38" s="33" t="s">
        <v>243</v>
      </c>
      <c r="E38" s="6" t="s">
        <v>84</v>
      </c>
      <c r="F38" s="14">
        <f t="shared" si="2"/>
        <v>480014297870</v>
      </c>
      <c r="G38" s="15">
        <v>23174.603174603173</v>
      </c>
      <c r="H38" s="14">
        <v>6.336188731881904E11</v>
      </c>
      <c r="I38" s="15">
        <f t="shared" si="3"/>
        <v>30590.47619</v>
      </c>
      <c r="J38" s="16">
        <v>122.83</v>
      </c>
      <c r="K38" s="17">
        <v>168631.0</v>
      </c>
      <c r="L38" s="18">
        <f t="shared" si="4"/>
        <v>65108.76636</v>
      </c>
      <c r="M38" s="19">
        <v>0.88</v>
      </c>
      <c r="N38" s="20">
        <v>8.72</v>
      </c>
      <c r="O38" s="21">
        <v>748.0</v>
      </c>
      <c r="P38" s="22" t="s">
        <v>244</v>
      </c>
      <c r="Q38" s="6" t="s">
        <v>245</v>
      </c>
      <c r="R38" s="1" t="s">
        <v>241</v>
      </c>
      <c r="S38" s="34">
        <f t="shared" si="5"/>
        <v>5616167285</v>
      </c>
      <c r="T38" s="34">
        <f t="shared" si="6"/>
        <v>8424250928</v>
      </c>
      <c r="U38" s="34">
        <f t="shared" si="7"/>
        <v>7413340816</v>
      </c>
      <c r="V38" s="34">
        <f t="shared" si="8"/>
        <v>11120011224</v>
      </c>
      <c r="W38" s="50">
        <v>0.0117</v>
      </c>
    </row>
    <row r="39" ht="22.5" customHeight="1">
      <c r="A39" s="31" t="s">
        <v>246</v>
      </c>
      <c r="B39" s="36">
        <f t="shared" si="1"/>
        <v>88913943.05</v>
      </c>
      <c r="C39" s="48" t="s">
        <v>247</v>
      </c>
      <c r="D39" s="37" t="s">
        <v>248</v>
      </c>
      <c r="E39" s="6" t="s">
        <v>40</v>
      </c>
      <c r="F39" s="14">
        <f t="shared" si="2"/>
        <v>43398472202</v>
      </c>
      <c r="G39" s="15">
        <v>488.0952380952381</v>
      </c>
      <c r="H39" s="14">
        <v>2.7384435959338803E11</v>
      </c>
      <c r="I39" s="15">
        <f t="shared" si="3"/>
        <v>3079.880952</v>
      </c>
      <c r="J39" s="16">
        <v>63.5228</v>
      </c>
      <c r="K39" s="17">
        <v>1399717.0</v>
      </c>
      <c r="L39" s="18">
        <f t="shared" si="4"/>
        <v>540433.5331</v>
      </c>
      <c r="M39" s="7">
        <v>0.396</v>
      </c>
      <c r="N39" s="20">
        <v>0.61</v>
      </c>
      <c r="O39" s="21">
        <v>999.0</v>
      </c>
      <c r="P39" s="22" t="s">
        <v>249</v>
      </c>
      <c r="Q39" s="6" t="s">
        <v>250</v>
      </c>
      <c r="R39" s="6" t="s">
        <v>251</v>
      </c>
      <c r="S39" s="39">
        <f t="shared" si="5"/>
        <v>5294613609</v>
      </c>
      <c r="T39" s="39">
        <f t="shared" si="6"/>
        <v>7941920413</v>
      </c>
      <c r="U39" s="39">
        <f t="shared" si="7"/>
        <v>33409011870</v>
      </c>
      <c r="V39" s="39">
        <f t="shared" si="8"/>
        <v>50113517806</v>
      </c>
      <c r="W39" s="49">
        <v>0.122</v>
      </c>
    </row>
    <row r="40" ht="22.5" customHeight="1">
      <c r="A40" s="31" t="s">
        <v>252</v>
      </c>
      <c r="B40" s="12">
        <f t="shared" si="1"/>
        <v>31491757.31</v>
      </c>
      <c r="C40" s="45" t="s">
        <v>253</v>
      </c>
      <c r="D40" s="13" t="s">
        <v>254</v>
      </c>
      <c r="E40" s="6" t="s">
        <v>33</v>
      </c>
      <c r="F40" s="14">
        <f t="shared" si="2"/>
        <v>253683600563</v>
      </c>
      <c r="G40" s="15">
        <v>8055.555555555556</v>
      </c>
      <c r="H40" s="14">
        <v>5.758617732785775E11</v>
      </c>
      <c r="I40" s="15">
        <f t="shared" si="3"/>
        <v>18286.11111</v>
      </c>
      <c r="J40" s="16">
        <v>150.1173</v>
      </c>
      <c r="K40" s="17">
        <v>209781.0</v>
      </c>
      <c r="L40" s="18">
        <f t="shared" si="4"/>
        <v>80996.86366</v>
      </c>
      <c r="M40" s="19">
        <v>0.765</v>
      </c>
      <c r="N40" s="20">
        <v>7.47</v>
      </c>
      <c r="O40" s="21">
        <v>52.0</v>
      </c>
      <c r="P40" s="22" t="s">
        <v>255</v>
      </c>
      <c r="Q40" s="6" t="s">
        <v>256</v>
      </c>
      <c r="R40" s="1" t="s">
        <v>257</v>
      </c>
      <c r="S40" s="23">
        <f t="shared" si="5"/>
        <v>5073672011</v>
      </c>
      <c r="T40" s="23">
        <f t="shared" si="6"/>
        <v>7610508017</v>
      </c>
      <c r="U40" s="23">
        <f t="shared" si="7"/>
        <v>11517235466</v>
      </c>
      <c r="V40" s="23">
        <f t="shared" si="8"/>
        <v>17275853198</v>
      </c>
      <c r="W40" s="47">
        <v>0.02</v>
      </c>
    </row>
    <row r="41" ht="22.5" customHeight="1">
      <c r="A41" s="11" t="s">
        <v>258</v>
      </c>
      <c r="B41" s="36">
        <f t="shared" si="1"/>
        <v>140080975.6</v>
      </c>
      <c r="C41" s="37" t="s">
        <v>259</v>
      </c>
      <c r="D41" s="37" t="s">
        <v>260</v>
      </c>
      <c r="E41" s="6" t="s">
        <v>84</v>
      </c>
      <c r="F41" s="14">
        <f t="shared" si="2"/>
        <v>311846933732</v>
      </c>
      <c r="G41" s="15">
        <v>2226.190476190476</v>
      </c>
      <c r="H41" s="14">
        <v>1.1132935534220498E12</v>
      </c>
      <c r="I41" s="15">
        <f t="shared" si="3"/>
        <v>7947.5</v>
      </c>
      <c r="J41" s="16">
        <v>274.82</v>
      </c>
      <c r="K41" s="17">
        <v>509719.0</v>
      </c>
      <c r="L41" s="18">
        <f t="shared" si="4"/>
        <v>196803.5253</v>
      </c>
      <c r="M41" s="19">
        <v>0.534</v>
      </c>
      <c r="N41" s="20">
        <v>4.76</v>
      </c>
      <c r="O41" s="21">
        <v>75.0</v>
      </c>
      <c r="P41" s="22" t="s">
        <v>261</v>
      </c>
      <c r="Q41" s="6" t="s">
        <v>262</v>
      </c>
      <c r="R41" s="1" t="s">
        <v>263</v>
      </c>
      <c r="S41" s="39">
        <f t="shared" si="5"/>
        <v>5020735633</v>
      </c>
      <c r="T41" s="39">
        <f t="shared" si="6"/>
        <v>7531103450</v>
      </c>
      <c r="U41" s="39">
        <f t="shared" si="7"/>
        <v>17924026210</v>
      </c>
      <c r="V41" s="39">
        <f t="shared" si="8"/>
        <v>26886039315</v>
      </c>
      <c r="W41" s="49">
        <v>0.0161</v>
      </c>
    </row>
    <row r="42" ht="22.5" customHeight="1">
      <c r="A42" s="31" t="s">
        <v>264</v>
      </c>
      <c r="B42" s="32">
        <f t="shared" si="1"/>
        <v>88057484.85</v>
      </c>
      <c r="C42" s="33" t="s">
        <v>265</v>
      </c>
      <c r="D42" s="33" t="s">
        <v>266</v>
      </c>
      <c r="E42" s="6" t="s">
        <v>47</v>
      </c>
      <c r="F42" s="14">
        <f t="shared" si="2"/>
        <v>225385229080</v>
      </c>
      <c r="G42" s="15">
        <v>2559.5238095238096</v>
      </c>
      <c r="H42" s="14">
        <v>7.325019945111609E11</v>
      </c>
      <c r="I42" s="15">
        <f t="shared" si="3"/>
        <v>8318.452381</v>
      </c>
      <c r="J42" s="16">
        <v>118.194</v>
      </c>
      <c r="K42" s="17">
        <v>745025.0</v>
      </c>
      <c r="L42" s="18">
        <f t="shared" si="4"/>
        <v>287655.6426</v>
      </c>
      <c r="M42" s="19">
        <v>0.637</v>
      </c>
      <c r="N42" s="20">
        <v>5.31</v>
      </c>
      <c r="O42" s="21">
        <v>940.0</v>
      </c>
      <c r="P42" s="6" t="s">
        <v>267</v>
      </c>
      <c r="Q42" s="6" t="s">
        <v>268</v>
      </c>
      <c r="R42" s="1" t="s">
        <v>269</v>
      </c>
      <c r="S42" s="34">
        <f t="shared" si="5"/>
        <v>4733089811</v>
      </c>
      <c r="T42" s="34">
        <f t="shared" si="6"/>
        <v>7099634716</v>
      </c>
      <c r="U42" s="34">
        <f t="shared" si="7"/>
        <v>15382541885</v>
      </c>
      <c r="V42" s="34">
        <f t="shared" si="8"/>
        <v>23073812827</v>
      </c>
      <c r="W42" s="50">
        <v>0.021</v>
      </c>
    </row>
    <row r="43" ht="22.5" customHeight="1">
      <c r="A43" s="11" t="s">
        <v>270</v>
      </c>
      <c r="B43" s="36">
        <f t="shared" si="1"/>
        <v>21768596.85</v>
      </c>
      <c r="C43" s="48" t="s">
        <v>271</v>
      </c>
      <c r="D43" s="37" t="s">
        <v>272</v>
      </c>
      <c r="E43" s="6" t="s">
        <v>84</v>
      </c>
      <c r="F43" s="14">
        <f t="shared" si="2"/>
        <v>234098799458</v>
      </c>
      <c r="G43" s="15">
        <v>10753.968253968254</v>
      </c>
      <c r="H43" s="28">
        <v>4.45794662494167E11</v>
      </c>
      <c r="I43" s="15">
        <f t="shared" si="3"/>
        <v>20478.79639</v>
      </c>
      <c r="J43" s="16">
        <v>43.505</v>
      </c>
      <c r="K43" s="17">
        <v>500370.0</v>
      </c>
      <c r="L43" s="18">
        <f t="shared" si="4"/>
        <v>193193.8577</v>
      </c>
      <c r="M43" s="19">
        <v>0.79</v>
      </c>
      <c r="N43" s="20">
        <v>6.43</v>
      </c>
      <c r="O43" s="21">
        <v>78.0</v>
      </c>
      <c r="P43" s="22" t="s">
        <v>273</v>
      </c>
      <c r="Q43" s="6" t="s">
        <v>274</v>
      </c>
      <c r="R43" s="6" t="s">
        <v>275</v>
      </c>
      <c r="S43" s="39">
        <f t="shared" si="5"/>
        <v>4681975989</v>
      </c>
      <c r="T43" s="39">
        <f t="shared" si="6"/>
        <v>7022963984</v>
      </c>
      <c r="U43" s="39">
        <f t="shared" si="7"/>
        <v>8915893250</v>
      </c>
      <c r="V43" s="39">
        <f t="shared" si="8"/>
        <v>13373839875</v>
      </c>
      <c r="W43" s="49">
        <v>0.02</v>
      </c>
    </row>
    <row r="44" ht="22.5" customHeight="1">
      <c r="A44" s="31" t="s">
        <v>276</v>
      </c>
      <c r="B44" s="12">
        <f t="shared" si="1"/>
        <v>54705621.88</v>
      </c>
      <c r="C44" s="45" t="s">
        <v>277</v>
      </c>
      <c r="D44" s="13" t="s">
        <v>278</v>
      </c>
      <c r="E44" s="6" t="s">
        <v>33</v>
      </c>
      <c r="F44" s="14">
        <f t="shared" si="2"/>
        <v>351678997784</v>
      </c>
      <c r="G44" s="15">
        <v>6428.571428571428</v>
      </c>
      <c r="H44" s="14">
        <v>8.088616949030355E11</v>
      </c>
      <c r="I44" s="15">
        <f t="shared" si="3"/>
        <v>14785.71429</v>
      </c>
      <c r="J44" s="16">
        <v>189.3485</v>
      </c>
      <c r="K44" s="17">
        <v>288915.0</v>
      </c>
      <c r="L44" s="18">
        <f t="shared" si="4"/>
        <v>111550.6593</v>
      </c>
      <c r="M44" s="19">
        <v>0.768</v>
      </c>
      <c r="N44" s="20">
        <v>7.84</v>
      </c>
      <c r="O44" s="21">
        <v>52.0</v>
      </c>
      <c r="P44" s="22" t="s">
        <v>279</v>
      </c>
      <c r="Q44" s="6" t="s">
        <v>280</v>
      </c>
      <c r="R44" s="6" t="s">
        <v>276</v>
      </c>
      <c r="S44" s="23">
        <f t="shared" si="5"/>
        <v>4642162771</v>
      </c>
      <c r="T44" s="23">
        <f t="shared" si="6"/>
        <v>6963244156</v>
      </c>
      <c r="U44" s="23">
        <f t="shared" si="7"/>
        <v>10676974373</v>
      </c>
      <c r="V44" s="23">
        <f t="shared" si="8"/>
        <v>16015461559</v>
      </c>
      <c r="W44" s="47">
        <v>0.0132</v>
      </c>
    </row>
    <row r="45" ht="22.5" customHeight="1">
      <c r="A45" s="11" t="s">
        <v>281</v>
      </c>
      <c r="B45" s="36">
        <f t="shared" si="1"/>
        <v>13815052.98</v>
      </c>
      <c r="C45" s="37" t="s">
        <v>282</v>
      </c>
      <c r="D45" s="37" t="s">
        <v>283</v>
      </c>
      <c r="E45" s="6" t="s">
        <v>40</v>
      </c>
      <c r="F45" s="14">
        <f t="shared" si="2"/>
        <v>224768719171</v>
      </c>
      <c r="G45" s="15">
        <v>16269.84126984127</v>
      </c>
      <c r="H45" s="14">
        <v>2.899516477307333E11</v>
      </c>
      <c r="I45" s="15">
        <f t="shared" si="3"/>
        <v>20988.09524</v>
      </c>
      <c r="J45" s="16">
        <v>163.5382</v>
      </c>
      <c r="K45" s="17">
        <v>84476.0</v>
      </c>
      <c r="L45" s="18">
        <f t="shared" si="4"/>
        <v>32616.35255</v>
      </c>
      <c r="M45" s="19">
        <v>0.921</v>
      </c>
      <c r="N45" s="20">
        <v>9.07</v>
      </c>
      <c r="O45" s="21">
        <v>920.0</v>
      </c>
      <c r="P45" s="22" t="s">
        <v>284</v>
      </c>
      <c r="Q45" s="6" t="s">
        <v>285</v>
      </c>
      <c r="R45" s="1" t="s">
        <v>286</v>
      </c>
      <c r="S45" s="39">
        <f t="shared" si="5"/>
        <v>4495374383</v>
      </c>
      <c r="T45" s="39">
        <f t="shared" si="6"/>
        <v>6743061575</v>
      </c>
      <c r="U45" s="39">
        <f t="shared" si="7"/>
        <v>5799032955</v>
      </c>
      <c r="V45" s="39">
        <f t="shared" si="8"/>
        <v>8698549432</v>
      </c>
      <c r="W45" s="49">
        <v>0.02</v>
      </c>
    </row>
    <row r="46" ht="22.5" customHeight="1">
      <c r="A46" s="41" t="s">
        <v>287</v>
      </c>
      <c r="B46" s="32">
        <f t="shared" si="1"/>
        <v>19678479.77</v>
      </c>
      <c r="C46" s="33" t="s">
        <v>288</v>
      </c>
      <c r="D46" s="33" t="s">
        <v>289</v>
      </c>
      <c r="E46" s="6" t="s">
        <v>54</v>
      </c>
      <c r="F46" s="14">
        <f t="shared" si="2"/>
        <v>220992451374</v>
      </c>
      <c r="G46" s="15">
        <v>11230.15873015873</v>
      </c>
      <c r="H46" s="14">
        <v>4.066261105283207E11</v>
      </c>
      <c r="I46" s="15">
        <f t="shared" si="3"/>
        <v>20663.49206</v>
      </c>
      <c r="J46" s="16">
        <v>28.873</v>
      </c>
      <c r="K46" s="17">
        <v>681553.0</v>
      </c>
      <c r="L46" s="18">
        <f t="shared" si="4"/>
        <v>263148.9764</v>
      </c>
      <c r="M46" s="19">
        <v>0.836</v>
      </c>
      <c r="N46" s="20">
        <v>7.88</v>
      </c>
      <c r="O46" s="21">
        <v>35.0</v>
      </c>
      <c r="P46" s="22" t="s">
        <v>290</v>
      </c>
      <c r="Q46" s="6" t="s">
        <v>291</v>
      </c>
      <c r="R46" s="6" t="s">
        <v>292</v>
      </c>
      <c r="S46" s="34">
        <f t="shared" si="5"/>
        <v>4419849027</v>
      </c>
      <c r="T46" s="34">
        <f t="shared" si="6"/>
        <v>6629773541</v>
      </c>
      <c r="U46" s="34">
        <f t="shared" si="7"/>
        <v>8132522211</v>
      </c>
      <c r="V46" s="34">
        <f t="shared" si="8"/>
        <v>12198783316</v>
      </c>
      <c r="W46" s="50">
        <v>0.02</v>
      </c>
    </row>
    <row r="47" ht="22.5" customHeight="1">
      <c r="A47" s="41" t="s">
        <v>293</v>
      </c>
      <c r="B47" s="36">
        <f t="shared" si="1"/>
        <v>23361656.73</v>
      </c>
      <c r="C47" s="37" t="s">
        <v>294</v>
      </c>
      <c r="D47" s="37" t="s">
        <v>295</v>
      </c>
      <c r="E47" s="6" t="s">
        <v>54</v>
      </c>
      <c r="F47" s="14">
        <f t="shared" si="2"/>
        <v>331883853602</v>
      </c>
      <c r="G47" s="15">
        <v>14206.349206349207</v>
      </c>
      <c r="H47" s="28">
        <v>4.81449009682683E11</v>
      </c>
      <c r="I47" s="15">
        <f t="shared" si="3"/>
        <v>20608.51314</v>
      </c>
      <c r="J47" s="16">
        <v>137.449</v>
      </c>
      <c r="K47" s="17">
        <v>169966.0</v>
      </c>
      <c r="L47" s="18">
        <f t="shared" si="4"/>
        <v>65624.21253</v>
      </c>
      <c r="M47" s="19">
        <v>0.929</v>
      </c>
      <c r="N47" s="20">
        <v>8.73</v>
      </c>
      <c r="O47" s="21">
        <v>12.0</v>
      </c>
      <c r="P47" s="22" t="s">
        <v>296</v>
      </c>
      <c r="Q47" s="6" t="s">
        <v>297</v>
      </c>
      <c r="R47" s="1" t="s">
        <v>298</v>
      </c>
      <c r="S47" s="39">
        <f t="shared" si="5"/>
        <v>4380866868</v>
      </c>
      <c r="T47" s="39">
        <f t="shared" si="6"/>
        <v>6571300301</v>
      </c>
      <c r="U47" s="39">
        <f t="shared" si="7"/>
        <v>6355126928</v>
      </c>
      <c r="V47" s="39">
        <f t="shared" si="8"/>
        <v>9532690392</v>
      </c>
      <c r="W47" s="49">
        <v>0.0132</v>
      </c>
    </row>
    <row r="48" ht="22.5" customHeight="1">
      <c r="A48" s="31" t="s">
        <v>299</v>
      </c>
      <c r="B48" s="12">
        <f t="shared" si="1"/>
        <v>31644351.65</v>
      </c>
      <c r="C48" s="13" t="s">
        <v>300</v>
      </c>
      <c r="D48" s="13" t="s">
        <v>301</v>
      </c>
      <c r="E48" s="6" t="s">
        <v>40</v>
      </c>
      <c r="F48" s="14">
        <f t="shared" si="2"/>
        <v>202172246640</v>
      </c>
      <c r="G48" s="15">
        <v>6388.888888888889</v>
      </c>
      <c r="H48" s="14">
        <v>4.265834404103999E11</v>
      </c>
      <c r="I48" s="15">
        <f t="shared" si="3"/>
        <v>13480.55556</v>
      </c>
      <c r="J48" s="16">
        <v>112.0392</v>
      </c>
      <c r="K48" s="17">
        <v>282440.0</v>
      </c>
      <c r="L48" s="18">
        <f t="shared" si="4"/>
        <v>109050.6489</v>
      </c>
      <c r="M48" s="19">
        <v>0.807</v>
      </c>
      <c r="N48" s="20">
        <v>8.57</v>
      </c>
      <c r="O48" s="21">
        <v>907.0</v>
      </c>
      <c r="P48" s="22" t="s">
        <v>302</v>
      </c>
      <c r="Q48" s="6" t="s">
        <v>303</v>
      </c>
      <c r="R48" s="6" t="s">
        <v>304</v>
      </c>
      <c r="S48" s="23">
        <f t="shared" si="5"/>
        <v>4043444933</v>
      </c>
      <c r="T48" s="23">
        <f t="shared" si="6"/>
        <v>6065167399</v>
      </c>
      <c r="U48" s="23">
        <f t="shared" si="7"/>
        <v>8531668808</v>
      </c>
      <c r="V48" s="23">
        <f t="shared" si="8"/>
        <v>12797503212</v>
      </c>
      <c r="W48" s="47">
        <v>0.02</v>
      </c>
    </row>
    <row r="49" ht="22.5" customHeight="1">
      <c r="A49" s="11" t="s">
        <v>305</v>
      </c>
      <c r="B49" s="36">
        <f t="shared" si="1"/>
        <v>90945636.32</v>
      </c>
      <c r="C49" s="37" t="s">
        <v>306</v>
      </c>
      <c r="D49" s="37" t="s">
        <v>307</v>
      </c>
      <c r="E49" s="6" t="s">
        <v>84</v>
      </c>
      <c r="F49" s="14">
        <f t="shared" si="2"/>
        <v>165290085058</v>
      </c>
      <c r="G49" s="15">
        <v>1817.4603174603174</v>
      </c>
      <c r="H49" s="14">
        <v>5.867798019551111E11</v>
      </c>
      <c r="I49" s="15">
        <f t="shared" si="3"/>
        <v>6451.984127</v>
      </c>
      <c r="J49" s="16">
        <v>174.02</v>
      </c>
      <c r="K49" s="17">
        <v>522616.0</v>
      </c>
      <c r="L49" s="18">
        <f t="shared" si="4"/>
        <v>201783.0828</v>
      </c>
      <c r="M49" s="19">
        <v>0.601</v>
      </c>
      <c r="N49" s="20">
        <v>5.22</v>
      </c>
      <c r="O49" s="21">
        <v>73.0</v>
      </c>
      <c r="P49" s="22" t="s">
        <v>308</v>
      </c>
      <c r="Q49" s="6" t="s">
        <v>309</v>
      </c>
      <c r="R49" s="1" t="s">
        <v>310</v>
      </c>
      <c r="S49" s="39">
        <f t="shared" si="5"/>
        <v>4016549067</v>
      </c>
      <c r="T49" s="39">
        <f t="shared" si="6"/>
        <v>6024823600</v>
      </c>
      <c r="U49" s="39">
        <f t="shared" si="7"/>
        <v>14258749188</v>
      </c>
      <c r="V49" s="39">
        <f t="shared" si="8"/>
        <v>21388123781</v>
      </c>
      <c r="W49" s="49">
        <v>0.0243</v>
      </c>
    </row>
    <row r="50" ht="22.5" customHeight="1">
      <c r="A50" s="11" t="s">
        <v>311</v>
      </c>
      <c r="B50" s="12">
        <f t="shared" si="1"/>
        <v>42672208.04</v>
      </c>
      <c r="C50" s="45" t="s">
        <v>312</v>
      </c>
      <c r="D50" s="13" t="s">
        <v>313</v>
      </c>
      <c r="E50" s="6" t="s">
        <v>84</v>
      </c>
      <c r="F50" s="14">
        <f t="shared" si="2"/>
        <v>313268193944</v>
      </c>
      <c r="G50" s="15">
        <v>7341.269841269841</v>
      </c>
      <c r="H50" s="28">
        <v>7.24141172136111E11</v>
      </c>
      <c r="I50" s="15">
        <f t="shared" si="3"/>
        <v>16969.85475</v>
      </c>
      <c r="J50" s="16">
        <v>98.945</v>
      </c>
      <c r="K50" s="17">
        <v>431272.0</v>
      </c>
      <c r="L50" s="18">
        <f t="shared" si="4"/>
        <v>166514.9817</v>
      </c>
      <c r="M50" s="19">
        <v>0.753</v>
      </c>
      <c r="N50" s="20">
        <v>4.79</v>
      </c>
      <c r="O50" s="21">
        <v>76.0</v>
      </c>
      <c r="P50" s="22" t="s">
        <v>314</v>
      </c>
      <c r="Q50" s="6" t="s">
        <v>315</v>
      </c>
      <c r="R50" s="1" t="s">
        <v>316</v>
      </c>
      <c r="S50" s="23">
        <f t="shared" si="5"/>
        <v>3790545147</v>
      </c>
      <c r="T50" s="23">
        <f t="shared" si="6"/>
        <v>5685817720</v>
      </c>
      <c r="U50" s="23">
        <f t="shared" si="7"/>
        <v>8762108183</v>
      </c>
      <c r="V50" s="23">
        <f t="shared" si="8"/>
        <v>13143162274</v>
      </c>
      <c r="W50" s="47">
        <v>0.0121</v>
      </c>
    </row>
    <row r="51" ht="22.5" customHeight="1">
      <c r="A51" s="41" t="s">
        <v>317</v>
      </c>
      <c r="B51" s="36">
        <f t="shared" si="1"/>
        <v>9533899.723</v>
      </c>
      <c r="C51" s="37" t="s">
        <v>318</v>
      </c>
      <c r="D51" s="37" t="s">
        <v>319</v>
      </c>
      <c r="E51" s="6" t="s">
        <v>26</v>
      </c>
      <c r="F51" s="14">
        <f t="shared" si="2"/>
        <v>187273030265</v>
      </c>
      <c r="G51" s="15">
        <v>19642.85714285714</v>
      </c>
      <c r="H51" s="14">
        <v>2.022548726865857E11</v>
      </c>
      <c r="I51" s="15">
        <f t="shared" si="3"/>
        <v>21214.28571</v>
      </c>
      <c r="J51" s="16">
        <v>2.7099</v>
      </c>
      <c r="K51" s="17">
        <v>3518174.0</v>
      </c>
      <c r="L51" s="18">
        <f t="shared" si="4"/>
        <v>1358374.018</v>
      </c>
      <c r="M51" s="19">
        <v>0.945</v>
      </c>
      <c r="N51" s="20">
        <v>8.44</v>
      </c>
      <c r="O51" s="21">
        <v>24.0</v>
      </c>
      <c r="P51" s="6" t="s">
        <v>320</v>
      </c>
      <c r="Q51" s="6" t="s">
        <v>321</v>
      </c>
      <c r="R51" s="6" t="s">
        <v>322</v>
      </c>
      <c r="S51" s="39">
        <f t="shared" si="5"/>
        <v>3745460605</v>
      </c>
      <c r="T51" s="39">
        <f t="shared" si="6"/>
        <v>5618190908</v>
      </c>
      <c r="U51" s="39">
        <f t="shared" si="7"/>
        <v>4045097454</v>
      </c>
      <c r="V51" s="39">
        <f t="shared" si="8"/>
        <v>6067646181</v>
      </c>
      <c r="W51" s="49">
        <v>0.02</v>
      </c>
    </row>
    <row r="52" ht="22.5" customHeight="1">
      <c r="A52" s="31" t="s">
        <v>323</v>
      </c>
      <c r="B52" s="32">
        <f t="shared" si="1"/>
        <v>33524352.79</v>
      </c>
      <c r="C52" s="33" t="s">
        <v>324</v>
      </c>
      <c r="D52" s="33" t="s">
        <v>325</v>
      </c>
      <c r="E52" s="6" t="s">
        <v>84</v>
      </c>
      <c r="F52" s="14">
        <f t="shared" si="2"/>
        <v>55474821870</v>
      </c>
      <c r="G52" s="15">
        <v>1654.7619047619048</v>
      </c>
      <c r="H52" s="14">
        <v>2.3299425185575003E11</v>
      </c>
      <c r="I52" s="15">
        <f t="shared" si="3"/>
        <v>6950</v>
      </c>
      <c r="J52" s="16">
        <v>11.935</v>
      </c>
      <c r="K52" s="17">
        <v>2808911.0</v>
      </c>
      <c r="L52" s="18">
        <f t="shared" si="4"/>
        <v>1084526.155</v>
      </c>
      <c r="M52" s="19">
        <v>0.646</v>
      </c>
      <c r="N52" s="20">
        <v>2.11</v>
      </c>
      <c r="O52" s="21">
        <v>77.0</v>
      </c>
      <c r="P52" s="6" t="s">
        <v>326</v>
      </c>
      <c r="Q52" s="6" t="s">
        <v>327</v>
      </c>
      <c r="R52" s="1" t="s">
        <v>328</v>
      </c>
      <c r="S52" s="34">
        <f t="shared" si="5"/>
        <v>3716813065</v>
      </c>
      <c r="T52" s="34">
        <f t="shared" si="6"/>
        <v>5575219598</v>
      </c>
      <c r="U52" s="34">
        <f t="shared" si="7"/>
        <v>15610614874</v>
      </c>
      <c r="V52" s="34">
        <f t="shared" si="8"/>
        <v>23415922312</v>
      </c>
      <c r="W52" s="50">
        <v>0.067</v>
      </c>
    </row>
    <row r="53" ht="22.5" customHeight="1">
      <c r="A53" s="31" t="s">
        <v>329</v>
      </c>
      <c r="B53" s="36">
        <f t="shared" si="1"/>
        <v>8002151.85</v>
      </c>
      <c r="C53" s="37" t="s">
        <v>330</v>
      </c>
      <c r="D53" s="37" t="s">
        <v>331</v>
      </c>
      <c r="E53" s="6" t="s">
        <v>84</v>
      </c>
      <c r="F53" s="14">
        <f t="shared" si="2"/>
        <v>165123768333</v>
      </c>
      <c r="G53" s="15">
        <v>20634.920634920636</v>
      </c>
      <c r="H53" s="14">
        <v>2.3117327566666666E11</v>
      </c>
      <c r="I53" s="15">
        <f t="shared" si="3"/>
        <v>28888.88889</v>
      </c>
      <c r="J53" s="16">
        <v>1.925</v>
      </c>
      <c r="K53" s="17">
        <v>4156962.0</v>
      </c>
      <c r="L53" s="18">
        <f t="shared" si="4"/>
        <v>1605011.342</v>
      </c>
      <c r="M53" s="19">
        <v>0.876</v>
      </c>
      <c r="N53" s="20">
        <v>7.1</v>
      </c>
      <c r="O53" s="21">
        <v>773.0</v>
      </c>
      <c r="P53" s="22" t="s">
        <v>332</v>
      </c>
      <c r="Q53" s="6" t="s">
        <v>333</v>
      </c>
      <c r="R53" s="6" t="s">
        <v>334</v>
      </c>
      <c r="S53" s="39">
        <f t="shared" si="5"/>
        <v>3302475367</v>
      </c>
      <c r="T53" s="39">
        <f t="shared" si="6"/>
        <v>4953713050</v>
      </c>
      <c r="U53" s="39">
        <f t="shared" si="7"/>
        <v>4623465513</v>
      </c>
      <c r="V53" s="39">
        <f t="shared" si="8"/>
        <v>6935198270</v>
      </c>
      <c r="W53" s="49">
        <v>0.02</v>
      </c>
    </row>
    <row r="54" ht="22.5" customHeight="1">
      <c r="A54" s="11" t="s">
        <v>335</v>
      </c>
      <c r="B54" s="32">
        <f t="shared" si="1"/>
        <v>44277194.07</v>
      </c>
      <c r="C54" s="33" t="s">
        <v>336</v>
      </c>
      <c r="D54" s="33" t="s">
        <v>337</v>
      </c>
      <c r="E54" s="6" t="s">
        <v>121</v>
      </c>
      <c r="F54" s="14">
        <f t="shared" si="2"/>
        <v>163579633646</v>
      </c>
      <c r="G54" s="15">
        <v>3694.4444444444443</v>
      </c>
      <c r="H54" s="14">
        <v>4.0077010243275446E11</v>
      </c>
      <c r="I54" s="15">
        <f t="shared" si="3"/>
        <v>9051.388889</v>
      </c>
      <c r="J54" s="16">
        <v>83.5496</v>
      </c>
      <c r="K54" s="17">
        <v>529951.0</v>
      </c>
      <c r="L54" s="18">
        <f t="shared" si="4"/>
        <v>204615.141</v>
      </c>
      <c r="M54" s="19">
        <v>0.751</v>
      </c>
      <c r="N54" s="20">
        <v>5.91</v>
      </c>
      <c r="O54" s="21">
        <v>62.0</v>
      </c>
      <c r="P54" s="22" t="s">
        <v>338</v>
      </c>
      <c r="Q54" s="6" t="s">
        <v>339</v>
      </c>
      <c r="R54" s="6" t="s">
        <v>340</v>
      </c>
      <c r="S54" s="34">
        <f t="shared" si="5"/>
        <v>3271592673</v>
      </c>
      <c r="T54" s="34">
        <f t="shared" si="6"/>
        <v>4907389009</v>
      </c>
      <c r="U54" s="34">
        <f t="shared" si="7"/>
        <v>8015402049</v>
      </c>
      <c r="V54" s="34">
        <f t="shared" si="8"/>
        <v>12023103073</v>
      </c>
      <c r="W54" s="50">
        <v>0.02</v>
      </c>
    </row>
    <row r="55" ht="22.5" customHeight="1">
      <c r="A55" s="31" t="s">
        <v>341</v>
      </c>
      <c r="B55" s="36">
        <f t="shared" si="1"/>
        <v>6524522.109</v>
      </c>
      <c r="C55" s="37" t="s">
        <v>342</v>
      </c>
      <c r="D55" s="37" t="s">
        <v>343</v>
      </c>
      <c r="E55" s="6" t="s">
        <v>26</v>
      </c>
      <c r="F55" s="14">
        <f t="shared" si="2"/>
        <v>161300685473</v>
      </c>
      <c r="G55" s="15">
        <v>24722.222222222223</v>
      </c>
      <c r="H55" s="14">
        <v>1.8388278143865E11</v>
      </c>
      <c r="I55" s="15">
        <f t="shared" si="3"/>
        <v>28183.33333</v>
      </c>
      <c r="J55" s="16">
        <v>4.0803</v>
      </c>
      <c r="K55" s="17">
        <v>1599030.0</v>
      </c>
      <c r="L55" s="18">
        <f t="shared" si="4"/>
        <v>617388.6811</v>
      </c>
      <c r="M55" s="19">
        <v>0.908</v>
      </c>
      <c r="N55" s="20">
        <v>7.39</v>
      </c>
      <c r="O55" s="21">
        <v>28.0</v>
      </c>
      <c r="P55" s="22" t="s">
        <v>344</v>
      </c>
      <c r="Q55" s="6" t="s">
        <v>345</v>
      </c>
      <c r="R55" s="6" t="s">
        <v>346</v>
      </c>
      <c r="S55" s="39">
        <f t="shared" si="5"/>
        <v>3226013709</v>
      </c>
      <c r="T55" s="39">
        <f t="shared" si="6"/>
        <v>4839020564</v>
      </c>
      <c r="U55" s="39">
        <f t="shared" si="7"/>
        <v>3677655629</v>
      </c>
      <c r="V55" s="39">
        <f t="shared" si="8"/>
        <v>5516483443</v>
      </c>
      <c r="W55" s="49">
        <v>0.02</v>
      </c>
    </row>
    <row r="56" ht="22.5" customHeight="1">
      <c r="A56" s="11" t="s">
        <v>347</v>
      </c>
      <c r="B56" s="12">
        <f t="shared" si="1"/>
        <v>17079115.95</v>
      </c>
      <c r="C56" s="13" t="s">
        <v>348</v>
      </c>
      <c r="D56" s="13" t="s">
        <v>349</v>
      </c>
      <c r="E56" s="6" t="s">
        <v>33</v>
      </c>
      <c r="F56" s="14">
        <f t="shared" si="2"/>
        <v>159269533638</v>
      </c>
      <c r="G56" s="15">
        <v>9325.396825396825</v>
      </c>
      <c r="H56" s="28">
        <v>2.69505318040933E11</v>
      </c>
      <c r="I56" s="15">
        <f t="shared" si="3"/>
        <v>15779.81664</v>
      </c>
      <c r="J56" s="16">
        <v>23.0924</v>
      </c>
      <c r="K56" s="17">
        <v>739599.0</v>
      </c>
      <c r="L56" s="18">
        <f t="shared" si="4"/>
        <v>285560.6531</v>
      </c>
      <c r="M56" s="19">
        <v>0.749</v>
      </c>
      <c r="N56" s="20">
        <v>6.89</v>
      </c>
      <c r="O56" s="21">
        <v>917.0</v>
      </c>
      <c r="P56" s="22" t="s">
        <v>350</v>
      </c>
      <c r="Q56" s="6" t="s">
        <v>351</v>
      </c>
      <c r="R56" s="6" t="s">
        <v>352</v>
      </c>
      <c r="S56" s="23">
        <f t="shared" si="5"/>
        <v>3185390673</v>
      </c>
      <c r="T56" s="23">
        <f t="shared" si="6"/>
        <v>4778086009</v>
      </c>
      <c r="U56" s="23">
        <f t="shared" si="7"/>
        <v>5390106361</v>
      </c>
      <c r="V56" s="23">
        <f t="shared" si="8"/>
        <v>8085159541</v>
      </c>
      <c r="W56" s="47">
        <v>0.02</v>
      </c>
    </row>
    <row r="57" ht="22.5" customHeight="1">
      <c r="A57" s="31" t="s">
        <v>353</v>
      </c>
      <c r="B57" s="25">
        <f t="shared" si="1"/>
        <v>18288843.58</v>
      </c>
      <c r="C57" s="26" t="s">
        <v>354</v>
      </c>
      <c r="D57" s="27" t="s">
        <v>355</v>
      </c>
      <c r="E57" s="6" t="s">
        <v>40</v>
      </c>
      <c r="F57" s="14">
        <f t="shared" si="2"/>
        <v>137166326876</v>
      </c>
      <c r="G57" s="15">
        <v>7500.0</v>
      </c>
      <c r="H57" s="14">
        <v>2.89420949707305E11</v>
      </c>
      <c r="I57" s="15">
        <f t="shared" si="3"/>
        <v>15825</v>
      </c>
      <c r="J57" s="16">
        <v>164.4074</v>
      </c>
      <c r="K57" s="17">
        <v>111241.0</v>
      </c>
      <c r="L57" s="18">
        <f t="shared" si="4"/>
        <v>42950.37258</v>
      </c>
      <c r="M57" s="19">
        <v>0.88</v>
      </c>
      <c r="N57" s="20">
        <v>6.21</v>
      </c>
      <c r="O57" s="21">
        <v>909.0</v>
      </c>
      <c r="P57" s="22" t="s">
        <v>356</v>
      </c>
      <c r="Q57" s="6" t="s">
        <v>357</v>
      </c>
      <c r="R57" s="1" t="s">
        <v>358</v>
      </c>
      <c r="S57" s="29">
        <f t="shared" si="5"/>
        <v>2743326538</v>
      </c>
      <c r="T57" s="29">
        <f t="shared" si="6"/>
        <v>4114989806</v>
      </c>
      <c r="U57" s="29">
        <f t="shared" si="7"/>
        <v>5788418994</v>
      </c>
      <c r="V57" s="29">
        <f t="shared" si="8"/>
        <v>8682628491</v>
      </c>
      <c r="W57" s="44">
        <v>0.02</v>
      </c>
    </row>
    <row r="58" ht="22.5" customHeight="1">
      <c r="A58" s="11" t="s">
        <v>359</v>
      </c>
      <c r="B58" s="12">
        <f t="shared" si="1"/>
        <v>7438559.464</v>
      </c>
      <c r="C58" s="45" t="s">
        <v>360</v>
      </c>
      <c r="D58" s="13" t="s">
        <v>361</v>
      </c>
      <c r="E58" s="6" t="s">
        <v>26</v>
      </c>
      <c r="F58" s="14">
        <f t="shared" si="2"/>
        <v>135192866449</v>
      </c>
      <c r="G58" s="15">
        <v>18174.603174603173</v>
      </c>
      <c r="H58" s="14">
        <v>1.446563671003111E11</v>
      </c>
      <c r="I58" s="15">
        <f t="shared" si="3"/>
        <v>19446.8254</v>
      </c>
      <c r="J58" s="16">
        <v>44.2666</v>
      </c>
      <c r="K58" s="17">
        <v>168040.0</v>
      </c>
      <c r="L58" s="18">
        <f t="shared" si="4"/>
        <v>64880.58008</v>
      </c>
      <c r="M58" s="19">
        <v>0.955</v>
      </c>
      <c r="N58" s="20">
        <v>8.77</v>
      </c>
      <c r="O58" s="21">
        <v>213.0</v>
      </c>
      <c r="P58" s="22" t="s">
        <v>362</v>
      </c>
      <c r="Q58" s="6" t="s">
        <v>363</v>
      </c>
      <c r="R58" s="6" t="s">
        <v>364</v>
      </c>
      <c r="S58" s="23">
        <f t="shared" si="5"/>
        <v>2703857329</v>
      </c>
      <c r="T58" s="23">
        <f t="shared" si="6"/>
        <v>4055785993</v>
      </c>
      <c r="U58" s="23">
        <f t="shared" si="7"/>
        <v>2893127342</v>
      </c>
      <c r="V58" s="23">
        <f t="shared" si="8"/>
        <v>4339691013</v>
      </c>
      <c r="W58" s="47">
        <v>0.02</v>
      </c>
    </row>
    <row r="59" ht="22.5" customHeight="1">
      <c r="A59" s="41" t="s">
        <v>365</v>
      </c>
      <c r="B59" s="25">
        <f t="shared" si="1"/>
        <v>14469041.13</v>
      </c>
      <c r="C59" s="27" t="s">
        <v>366</v>
      </c>
      <c r="D59" s="27" t="s">
        <v>367</v>
      </c>
      <c r="E59" s="6" t="s">
        <v>54</v>
      </c>
      <c r="F59" s="14">
        <f t="shared" si="2"/>
        <v>128039530617</v>
      </c>
      <c r="G59" s="15">
        <v>8849.20634920635</v>
      </c>
      <c r="H59" s="14">
        <v>2.087044349054254E11</v>
      </c>
      <c r="I59" s="15">
        <f t="shared" si="3"/>
        <v>14424.20635</v>
      </c>
      <c r="J59" s="16">
        <v>109.727</v>
      </c>
      <c r="K59" s="17">
        <v>131864.0</v>
      </c>
      <c r="L59" s="18">
        <f t="shared" si="4"/>
        <v>50912.95413</v>
      </c>
      <c r="M59" s="19">
        <v>0.89</v>
      </c>
      <c r="N59" s="20">
        <v>6.43</v>
      </c>
      <c r="O59" s="21">
        <v>17.0</v>
      </c>
      <c r="P59" s="22" t="s">
        <v>368</v>
      </c>
      <c r="Q59" s="6" t="s">
        <v>369</v>
      </c>
      <c r="R59" s="1" t="s">
        <v>370</v>
      </c>
      <c r="S59" s="29">
        <f t="shared" si="5"/>
        <v>2560790612</v>
      </c>
      <c r="T59" s="29">
        <f t="shared" si="6"/>
        <v>3841185919</v>
      </c>
      <c r="U59" s="29">
        <f t="shared" si="7"/>
        <v>4174088698</v>
      </c>
      <c r="V59" s="29">
        <f t="shared" si="8"/>
        <v>6261133047</v>
      </c>
      <c r="W59" s="44">
        <v>0.02</v>
      </c>
    </row>
    <row r="60" ht="22.5" customHeight="1">
      <c r="A60" s="11" t="s">
        <v>371</v>
      </c>
      <c r="B60" s="12">
        <f t="shared" si="1"/>
        <v>17219176.59</v>
      </c>
      <c r="C60" s="45" t="s">
        <v>372</v>
      </c>
      <c r="D60" s="13" t="s">
        <v>373</v>
      </c>
      <c r="E60" s="6" t="s">
        <v>84</v>
      </c>
      <c r="F60" s="14">
        <f t="shared" si="2"/>
        <v>127093922450</v>
      </c>
      <c r="G60" s="15">
        <v>7380.952380952381</v>
      </c>
      <c r="H60" s="28">
        <v>2.266313806965E11</v>
      </c>
      <c r="I60" s="15">
        <f t="shared" si="3"/>
        <v>13161.56899</v>
      </c>
      <c r="J60" s="16">
        <v>11.165</v>
      </c>
      <c r="K60" s="17">
        <v>1542246.0</v>
      </c>
      <c r="L60" s="18">
        <f t="shared" si="4"/>
        <v>595464.2651</v>
      </c>
      <c r="M60" s="19">
        <v>0.787</v>
      </c>
      <c r="N60" s="20">
        <v>5.01</v>
      </c>
      <c r="O60" s="21">
        <v>731.0</v>
      </c>
      <c r="P60" s="22" t="s">
        <v>374</v>
      </c>
      <c r="Q60" s="6" t="s">
        <v>375</v>
      </c>
      <c r="R60" s="1" t="s">
        <v>376</v>
      </c>
      <c r="S60" s="23">
        <f t="shared" si="5"/>
        <v>2541878449</v>
      </c>
      <c r="T60" s="23">
        <f t="shared" si="6"/>
        <v>3812817674</v>
      </c>
      <c r="U60" s="23">
        <f t="shared" si="7"/>
        <v>4532627614</v>
      </c>
      <c r="V60" s="23">
        <f t="shared" si="8"/>
        <v>6798941421</v>
      </c>
      <c r="W60" s="47">
        <v>0.02</v>
      </c>
    </row>
    <row r="61" ht="22.5" customHeight="1">
      <c r="A61" s="31" t="s">
        <v>377</v>
      </c>
      <c r="B61" s="25">
        <f t="shared" si="1"/>
        <v>18995781.44</v>
      </c>
      <c r="C61" s="27" t="s">
        <v>378</v>
      </c>
      <c r="D61" s="27" t="s">
        <v>379</v>
      </c>
      <c r="E61" s="6" t="s">
        <v>54</v>
      </c>
      <c r="F61" s="14">
        <f t="shared" si="2"/>
        <v>122869538686</v>
      </c>
      <c r="G61" s="15">
        <v>6468.253968253968</v>
      </c>
      <c r="H61" s="14">
        <v>2.8997211129856665E11</v>
      </c>
      <c r="I61" s="15">
        <f t="shared" si="3"/>
        <v>15265.07937</v>
      </c>
      <c r="J61" s="16">
        <v>70.833</v>
      </c>
      <c r="K61" s="17">
        <v>268177.0</v>
      </c>
      <c r="L61" s="18">
        <f t="shared" si="4"/>
        <v>103543.6761</v>
      </c>
      <c r="M61" s="19">
        <v>0.756</v>
      </c>
      <c r="N61" s="20">
        <v>6.84</v>
      </c>
      <c r="O61" s="21">
        <v>36.0</v>
      </c>
      <c r="P61" s="22" t="s">
        <v>380</v>
      </c>
      <c r="Q61" s="6" t="s">
        <v>381</v>
      </c>
      <c r="R61" s="6" t="s">
        <v>382</v>
      </c>
      <c r="S61" s="29">
        <f t="shared" si="5"/>
        <v>2457390774</v>
      </c>
      <c r="T61" s="29">
        <f t="shared" si="6"/>
        <v>3686086161</v>
      </c>
      <c r="U61" s="29">
        <f t="shared" si="7"/>
        <v>5799442226</v>
      </c>
      <c r="V61" s="29">
        <f t="shared" si="8"/>
        <v>8699163339</v>
      </c>
      <c r="W61" s="44">
        <v>0.02</v>
      </c>
    </row>
    <row r="62" ht="22.5" customHeight="1">
      <c r="A62" s="11" t="s">
        <v>383</v>
      </c>
      <c r="B62" s="32">
        <f t="shared" si="1"/>
        <v>10967499.63</v>
      </c>
      <c r="C62" s="52" t="s">
        <v>384</v>
      </c>
      <c r="D62" s="52" t="s">
        <v>385</v>
      </c>
      <c r="E62" s="6" t="s">
        <v>33</v>
      </c>
      <c r="F62" s="14">
        <f t="shared" si="2"/>
        <v>115332833411</v>
      </c>
      <c r="G62" s="15">
        <v>10515.873015873016</v>
      </c>
      <c r="H62" s="28">
        <v>2.09498875174107E11</v>
      </c>
      <c r="I62" s="15">
        <f t="shared" si="3"/>
        <v>19101.79004</v>
      </c>
      <c r="J62" s="16">
        <v>192.0753</v>
      </c>
      <c r="K62" s="17">
        <v>57100.0</v>
      </c>
      <c r="L62" s="18">
        <f t="shared" si="4"/>
        <v>22046.4242</v>
      </c>
      <c r="M62" s="19">
        <v>0.758</v>
      </c>
      <c r="N62" s="20">
        <v>5.33</v>
      </c>
      <c r="O62" s="21">
        <v>58.0</v>
      </c>
      <c r="P62" s="6" t="s">
        <v>386</v>
      </c>
      <c r="Q62" s="6" t="s">
        <v>387</v>
      </c>
      <c r="R62" s="6" t="s">
        <v>388</v>
      </c>
      <c r="S62" s="34">
        <f t="shared" si="5"/>
        <v>2306656668</v>
      </c>
      <c r="T62" s="34">
        <f t="shared" si="6"/>
        <v>3459985002</v>
      </c>
      <c r="U62" s="34">
        <f t="shared" si="7"/>
        <v>4189977503</v>
      </c>
      <c r="V62" s="34">
        <f t="shared" si="8"/>
        <v>6284966255</v>
      </c>
      <c r="W62" s="50">
        <v>0.02</v>
      </c>
    </row>
    <row r="63" ht="22.5" customHeight="1">
      <c r="A63" s="41" t="s">
        <v>389</v>
      </c>
      <c r="B63" s="25">
        <f t="shared" si="1"/>
        <v>12299327.77</v>
      </c>
      <c r="C63" s="53" t="s">
        <v>390</v>
      </c>
      <c r="D63" s="27" t="s">
        <v>391</v>
      </c>
      <c r="E63" s="6" t="s">
        <v>54</v>
      </c>
      <c r="F63" s="14">
        <f t="shared" si="2"/>
        <v>113231906417</v>
      </c>
      <c r="G63" s="15">
        <v>9206.349206349207</v>
      </c>
      <c r="H63" s="14">
        <v>1.8003873120325717E11</v>
      </c>
      <c r="I63" s="15">
        <f t="shared" si="3"/>
        <v>14638.09524</v>
      </c>
      <c r="J63" s="16">
        <v>57.366</v>
      </c>
      <c r="K63" s="17">
        <v>214401.0</v>
      </c>
      <c r="L63" s="18">
        <f t="shared" si="4"/>
        <v>82780.6549</v>
      </c>
      <c r="M63" s="19">
        <v>0.895</v>
      </c>
      <c r="N63" s="20">
        <v>9.77</v>
      </c>
      <c r="O63" s="21">
        <v>178.0</v>
      </c>
      <c r="P63" s="22" t="s">
        <v>392</v>
      </c>
      <c r="Q63" s="6" t="s">
        <v>393</v>
      </c>
      <c r="R63" s="6" t="s">
        <v>394</v>
      </c>
      <c r="S63" s="29">
        <f t="shared" si="5"/>
        <v>2264638128</v>
      </c>
      <c r="T63" s="29">
        <f t="shared" si="6"/>
        <v>3396957193</v>
      </c>
      <c r="U63" s="29">
        <f t="shared" si="7"/>
        <v>3600774624</v>
      </c>
      <c r="V63" s="29">
        <f t="shared" si="8"/>
        <v>5401161936</v>
      </c>
      <c r="W63" s="44">
        <v>0.02</v>
      </c>
    </row>
    <row r="64" ht="22.5" customHeight="1">
      <c r="A64" s="31" t="s">
        <v>395</v>
      </c>
      <c r="B64" s="32">
        <f t="shared" si="1"/>
        <v>2646839.919</v>
      </c>
      <c r="C64" s="42" t="s">
        <v>396</v>
      </c>
      <c r="D64" s="33" t="s">
        <v>397</v>
      </c>
      <c r="E64" s="6" t="s">
        <v>33</v>
      </c>
      <c r="F64" s="14">
        <f t="shared" si="2"/>
        <v>107133996713</v>
      </c>
      <c r="G64" s="15">
        <v>40476.19047619047</v>
      </c>
      <c r="H64" s="14">
        <v>8.302884745283333E10</v>
      </c>
      <c r="I64" s="15">
        <f t="shared" si="3"/>
        <v>31369.04762</v>
      </c>
      <c r="J64" s="16">
        <v>4310.8142</v>
      </c>
      <c r="K64" s="17">
        <v>614.0</v>
      </c>
      <c r="L64" s="18">
        <f t="shared" si="4"/>
        <v>237.066628</v>
      </c>
      <c r="M64" s="19">
        <v>0.963</v>
      </c>
      <c r="N64" s="20">
        <v>8.15</v>
      </c>
      <c r="O64" s="21">
        <v>501.0</v>
      </c>
      <c r="P64" s="22" t="s">
        <v>398</v>
      </c>
      <c r="Q64" s="6" t="s">
        <v>395</v>
      </c>
      <c r="R64" s="6" t="s">
        <v>399</v>
      </c>
      <c r="S64" s="34">
        <f t="shared" si="5"/>
        <v>2142679934</v>
      </c>
      <c r="T64" s="34">
        <f t="shared" si="6"/>
        <v>3214019901</v>
      </c>
      <c r="U64" s="34">
        <f t="shared" si="7"/>
        <v>1660576949</v>
      </c>
      <c r="V64" s="34">
        <f t="shared" si="8"/>
        <v>2490865424</v>
      </c>
      <c r="W64" s="50">
        <v>0.02</v>
      </c>
    </row>
    <row r="65" ht="22.5" customHeight="1">
      <c r="A65" s="54" t="s">
        <v>400</v>
      </c>
      <c r="B65" s="25">
        <f t="shared" si="1"/>
        <v>20605956.26</v>
      </c>
      <c r="C65" s="27" t="s">
        <v>401</v>
      </c>
      <c r="D65" s="27" t="s">
        <v>402</v>
      </c>
      <c r="E65" s="6" t="s">
        <v>403</v>
      </c>
      <c r="F65" s="14">
        <f t="shared" si="2"/>
        <v>97305904580</v>
      </c>
      <c r="G65" s="15">
        <v>4722.222222222223</v>
      </c>
      <c r="H65" s="14">
        <v>2.568875880912E11</v>
      </c>
      <c r="I65" s="15">
        <f t="shared" si="3"/>
        <v>12466.66667</v>
      </c>
      <c r="J65" s="16">
        <v>61.596</v>
      </c>
      <c r="K65" s="17">
        <v>334534.0</v>
      </c>
      <c r="L65" s="18">
        <f t="shared" si="4"/>
        <v>129164.2465</v>
      </c>
      <c r="M65" s="19">
        <v>0.709</v>
      </c>
      <c r="N65" s="20">
        <v>3.09</v>
      </c>
      <c r="O65" s="21">
        <v>388.0</v>
      </c>
      <c r="P65" s="22" t="s">
        <v>404</v>
      </c>
      <c r="Q65" s="6" t="s">
        <v>405</v>
      </c>
      <c r="R65" s="6" t="s">
        <v>406</v>
      </c>
      <c r="S65" s="29">
        <f t="shared" si="5"/>
        <v>1946118092</v>
      </c>
      <c r="T65" s="29">
        <f t="shared" si="6"/>
        <v>2919177137</v>
      </c>
      <c r="U65" s="29">
        <f t="shared" si="7"/>
        <v>5137751762</v>
      </c>
      <c r="V65" s="29">
        <f t="shared" si="8"/>
        <v>7706627643</v>
      </c>
      <c r="W65" s="44">
        <v>0.02</v>
      </c>
    </row>
    <row r="66" ht="22.5" customHeight="1">
      <c r="A66" s="11" t="s">
        <v>407</v>
      </c>
      <c r="B66" s="12">
        <f t="shared" si="1"/>
        <v>6585929.991</v>
      </c>
      <c r="C66" s="13" t="s">
        <v>408</v>
      </c>
      <c r="D66" s="13" t="s">
        <v>409</v>
      </c>
      <c r="E66" s="6" t="s">
        <v>26</v>
      </c>
      <c r="F66" s="14">
        <f t="shared" si="2"/>
        <v>96175485583</v>
      </c>
      <c r="G66" s="15">
        <v>14603.174603174602</v>
      </c>
      <c r="H66" s="14">
        <v>1.5580428664422858E11</v>
      </c>
      <c r="I66" s="15">
        <f t="shared" si="3"/>
        <v>23657.14286</v>
      </c>
      <c r="J66" s="16">
        <v>11.9346</v>
      </c>
      <c r="K66" s="17">
        <v>551835.0</v>
      </c>
      <c r="L66" s="18">
        <f t="shared" si="4"/>
        <v>213064.5972</v>
      </c>
      <c r="M66" s="19">
        <v>0.862</v>
      </c>
      <c r="N66" s="20">
        <v>6.91</v>
      </c>
      <c r="O66" s="21">
        <v>29.0</v>
      </c>
      <c r="P66" s="22" t="s">
        <v>410</v>
      </c>
      <c r="Q66" s="6" t="s">
        <v>411</v>
      </c>
      <c r="R66" s="6" t="s">
        <v>412</v>
      </c>
      <c r="S66" s="23">
        <f t="shared" si="5"/>
        <v>1923509712</v>
      </c>
      <c r="T66" s="23">
        <f t="shared" si="6"/>
        <v>2885264567</v>
      </c>
      <c r="U66" s="23">
        <f t="shared" si="7"/>
        <v>3116085733</v>
      </c>
      <c r="V66" s="23">
        <f t="shared" si="8"/>
        <v>4674128599</v>
      </c>
      <c r="W66" s="47">
        <v>0.02</v>
      </c>
    </row>
    <row r="67" ht="22.5" customHeight="1">
      <c r="A67" s="41" t="s">
        <v>413</v>
      </c>
      <c r="B67" s="25">
        <f t="shared" si="1"/>
        <v>3254988.167</v>
      </c>
      <c r="C67" s="55" t="s">
        <v>414</v>
      </c>
      <c r="D67" s="27" t="s">
        <v>415</v>
      </c>
      <c r="E67" s="6" t="s">
        <v>54</v>
      </c>
      <c r="F67" s="14">
        <f t="shared" si="2"/>
        <v>95970484448</v>
      </c>
      <c r="G67" s="15">
        <v>29484.126984126982</v>
      </c>
      <c r="H67" s="14">
        <v>8.215073468719586E10</v>
      </c>
      <c r="I67" s="15">
        <f t="shared" si="3"/>
        <v>25238.4127</v>
      </c>
      <c r="J67" s="16">
        <v>118.187</v>
      </c>
      <c r="K67" s="17">
        <v>27541.0</v>
      </c>
      <c r="L67" s="18">
        <f t="shared" si="4"/>
        <v>10633.63518</v>
      </c>
      <c r="M67" s="19">
        <v>0.958</v>
      </c>
      <c r="N67" s="20">
        <v>8.14</v>
      </c>
      <c r="O67" s="21">
        <v>111.0</v>
      </c>
      <c r="P67" s="22" t="s">
        <v>416</v>
      </c>
      <c r="Q67" s="6" t="s">
        <v>417</v>
      </c>
      <c r="R67" s="6" t="s">
        <v>418</v>
      </c>
      <c r="S67" s="29">
        <f t="shared" si="5"/>
        <v>1919409689</v>
      </c>
      <c r="T67" s="29">
        <f t="shared" si="6"/>
        <v>2879114533</v>
      </c>
      <c r="U67" s="29">
        <f t="shared" si="7"/>
        <v>1643014694</v>
      </c>
      <c r="V67" s="29">
        <f t="shared" si="8"/>
        <v>2464522041</v>
      </c>
      <c r="W67" s="44">
        <v>0.02</v>
      </c>
    </row>
    <row r="68" ht="22.5" customHeight="1">
      <c r="A68" s="11" t="s">
        <v>419</v>
      </c>
      <c r="B68" s="12">
        <f t="shared" si="1"/>
        <v>11203256.37</v>
      </c>
      <c r="C68" s="45" t="s">
        <v>420</v>
      </c>
      <c r="D68" s="13" t="s">
        <v>421</v>
      </c>
      <c r="E68" s="6" t="s">
        <v>47</v>
      </c>
      <c r="F68" s="14">
        <f t="shared" si="2"/>
        <v>93360469750</v>
      </c>
      <c r="G68" s="15">
        <v>8333.333333333334</v>
      </c>
      <c r="H68" s="28">
        <v>1.7539303345E11</v>
      </c>
      <c r="I68" s="15">
        <f t="shared" si="3"/>
        <v>15655.54047</v>
      </c>
      <c r="J68" s="16">
        <v>28.874</v>
      </c>
      <c r="K68" s="17">
        <v>388005.0</v>
      </c>
      <c r="L68" s="18">
        <f t="shared" si="4"/>
        <v>149809.5065</v>
      </c>
      <c r="M68" s="19">
        <v>0.779</v>
      </c>
      <c r="N68" s="20">
        <v>8.74</v>
      </c>
      <c r="O68" s="21">
        <v>82.0</v>
      </c>
      <c r="P68" s="22" t="s">
        <v>422</v>
      </c>
      <c r="Q68" s="6" t="s">
        <v>423</v>
      </c>
      <c r="R68" s="1" t="s">
        <v>424</v>
      </c>
      <c r="S68" s="23">
        <f t="shared" si="5"/>
        <v>1867209395</v>
      </c>
      <c r="T68" s="23">
        <f t="shared" si="6"/>
        <v>2800814093</v>
      </c>
      <c r="U68" s="23">
        <f t="shared" si="7"/>
        <v>3507860669</v>
      </c>
      <c r="V68" s="23">
        <f t="shared" si="8"/>
        <v>5261791004</v>
      </c>
      <c r="W68" s="47">
        <v>0.02</v>
      </c>
    </row>
    <row r="69" ht="22.5" customHeight="1">
      <c r="A69" s="11" t="s">
        <v>425</v>
      </c>
      <c r="B69" s="25">
        <f t="shared" si="1"/>
        <v>12783095.33</v>
      </c>
      <c r="C69" s="26" t="s">
        <v>426</v>
      </c>
      <c r="D69" s="27" t="s">
        <v>427</v>
      </c>
      <c r="E69" s="6" t="s">
        <v>121</v>
      </c>
      <c r="F69" s="14">
        <f t="shared" si="2"/>
        <v>92322355125</v>
      </c>
      <c r="G69" s="15">
        <v>7222.222222222222</v>
      </c>
      <c r="H69" s="14">
        <v>1.9018405155749997E11</v>
      </c>
      <c r="I69" s="15">
        <f t="shared" si="3"/>
        <v>14877.77778</v>
      </c>
      <c r="J69" s="16">
        <v>66.2165</v>
      </c>
      <c r="K69" s="17">
        <v>193050.0</v>
      </c>
      <c r="L69" s="18">
        <f t="shared" si="4"/>
        <v>74536.9911</v>
      </c>
      <c r="M69" s="19">
        <v>0.812</v>
      </c>
      <c r="N69" s="20">
        <v>6.75</v>
      </c>
      <c r="O69" s="21">
        <v>65.0</v>
      </c>
      <c r="P69" s="22" t="s">
        <v>428</v>
      </c>
      <c r="Q69" s="6" t="s">
        <v>429</v>
      </c>
      <c r="R69" s="6" t="s">
        <v>430</v>
      </c>
      <c r="S69" s="29">
        <f t="shared" si="5"/>
        <v>1846447103</v>
      </c>
      <c r="T69" s="29">
        <f t="shared" si="6"/>
        <v>2769670654</v>
      </c>
      <c r="U69" s="29">
        <f t="shared" si="7"/>
        <v>3803681031</v>
      </c>
      <c r="V69" s="29">
        <f t="shared" si="8"/>
        <v>5705521547</v>
      </c>
      <c r="W69" s="44">
        <v>0.02</v>
      </c>
    </row>
    <row r="70" ht="22.5" customHeight="1">
      <c r="A70" s="11" t="s">
        <v>431</v>
      </c>
      <c r="B70" s="32">
        <f t="shared" si="1"/>
        <v>21995119.44</v>
      </c>
      <c r="C70" s="42" t="s">
        <v>432</v>
      </c>
      <c r="D70" s="33" t="s">
        <v>433</v>
      </c>
      <c r="E70" s="6" t="s">
        <v>40</v>
      </c>
      <c r="F70" s="14">
        <f t="shared" si="2"/>
        <v>81434311263</v>
      </c>
      <c r="G70" s="15">
        <v>3702.3809523809523</v>
      </c>
      <c r="H70" s="14">
        <v>2.019570919321455E11</v>
      </c>
      <c r="I70" s="15">
        <f t="shared" si="3"/>
        <v>9181.904762</v>
      </c>
      <c r="J70" s="16">
        <v>16.5544</v>
      </c>
      <c r="K70" s="17">
        <v>1328657.0</v>
      </c>
      <c r="L70" s="18">
        <f t="shared" si="4"/>
        <v>512997.125</v>
      </c>
      <c r="M70" s="19">
        <v>0.745</v>
      </c>
      <c r="N70" s="20">
        <v>5.49</v>
      </c>
      <c r="O70" s="21">
        <v>905.0</v>
      </c>
      <c r="P70" s="22" t="s">
        <v>434</v>
      </c>
      <c r="Q70" s="6" t="s">
        <v>435</v>
      </c>
      <c r="R70" s="1" t="s">
        <v>436</v>
      </c>
      <c r="S70" s="34">
        <f t="shared" si="5"/>
        <v>1628686225</v>
      </c>
      <c r="T70" s="34">
        <f t="shared" si="6"/>
        <v>2443029338</v>
      </c>
      <c r="U70" s="34">
        <f t="shared" si="7"/>
        <v>4039141839</v>
      </c>
      <c r="V70" s="34">
        <f t="shared" si="8"/>
        <v>6058712758</v>
      </c>
      <c r="W70" s="50">
        <v>0.02</v>
      </c>
    </row>
    <row r="71" ht="22.5" customHeight="1">
      <c r="A71" s="11" t="s">
        <v>437</v>
      </c>
      <c r="B71" s="25">
        <f t="shared" si="1"/>
        <v>21611863.47</v>
      </c>
      <c r="C71" s="27" t="s">
        <v>438</v>
      </c>
      <c r="D71" s="27" t="s">
        <v>439</v>
      </c>
      <c r="E71" s="6" t="s">
        <v>40</v>
      </c>
      <c r="F71" s="14">
        <f t="shared" si="2"/>
        <v>78900453934</v>
      </c>
      <c r="G71" s="15">
        <v>3650.7936507936506</v>
      </c>
      <c r="H71" s="14">
        <v>3.021887385661257E11</v>
      </c>
      <c r="I71" s="15">
        <f t="shared" si="3"/>
        <v>13982.53968</v>
      </c>
      <c r="J71" s="16">
        <v>107.8092</v>
      </c>
      <c r="K71" s="17">
        <v>200464.0</v>
      </c>
      <c r="L71" s="18">
        <f t="shared" si="4"/>
        <v>77399.55133</v>
      </c>
      <c r="M71" s="19">
        <v>0.675</v>
      </c>
      <c r="N71" s="20">
        <v>4.17</v>
      </c>
      <c r="O71" s="21">
        <v>915.0</v>
      </c>
      <c r="P71" s="22" t="s">
        <v>440</v>
      </c>
      <c r="Q71" s="6" t="s">
        <v>441</v>
      </c>
      <c r="R71" s="6" t="s">
        <v>442</v>
      </c>
      <c r="S71" s="29">
        <f t="shared" si="5"/>
        <v>1578009079</v>
      </c>
      <c r="T71" s="29">
        <f t="shared" si="6"/>
        <v>2367013618</v>
      </c>
      <c r="U71" s="29">
        <f t="shared" si="7"/>
        <v>6043774771</v>
      </c>
      <c r="V71" s="29">
        <f t="shared" si="8"/>
        <v>9065662157</v>
      </c>
      <c r="W71" s="44">
        <v>0.02</v>
      </c>
    </row>
    <row r="72" ht="22.5" customHeight="1">
      <c r="A72" s="41" t="s">
        <v>443</v>
      </c>
      <c r="B72" s="32">
        <f t="shared" si="1"/>
        <v>5393380.32</v>
      </c>
      <c r="C72" s="33" t="s">
        <v>444</v>
      </c>
      <c r="D72" s="33" t="s">
        <v>445</v>
      </c>
      <c r="E72" s="6" t="s">
        <v>54</v>
      </c>
      <c r="F72" s="14">
        <f t="shared" si="2"/>
        <v>74265990914</v>
      </c>
      <c r="G72" s="15">
        <v>13769.84126984127</v>
      </c>
      <c r="H72" s="14">
        <v>1.2328154491771426E11</v>
      </c>
      <c r="I72" s="15">
        <f t="shared" si="3"/>
        <v>22857.93651</v>
      </c>
      <c r="J72" s="16">
        <v>41.196</v>
      </c>
      <c r="K72" s="17">
        <v>130920.0</v>
      </c>
      <c r="L72" s="18">
        <f t="shared" si="4"/>
        <v>50548.47384</v>
      </c>
      <c r="M72" s="19">
        <v>0.86</v>
      </c>
      <c r="N72" s="20">
        <v>8.03</v>
      </c>
      <c r="O72" s="21">
        <v>18.0</v>
      </c>
      <c r="P72" s="22" t="s">
        <v>446</v>
      </c>
      <c r="Q72" s="6" t="s">
        <v>447</v>
      </c>
      <c r="R72" s="1" t="s">
        <v>448</v>
      </c>
      <c r="S72" s="34">
        <f t="shared" si="5"/>
        <v>1485319818</v>
      </c>
      <c r="T72" s="34">
        <f t="shared" si="6"/>
        <v>2227979727</v>
      </c>
      <c r="U72" s="34">
        <f t="shared" si="7"/>
        <v>2465630898</v>
      </c>
      <c r="V72" s="34">
        <f t="shared" si="8"/>
        <v>3698446348</v>
      </c>
      <c r="W72" s="50">
        <v>0.02</v>
      </c>
    </row>
    <row r="73" ht="22.5" customHeight="1">
      <c r="A73" s="11" t="s">
        <v>449</v>
      </c>
      <c r="B73" s="36">
        <f t="shared" si="1"/>
        <v>12307246.88</v>
      </c>
      <c r="C73" s="37" t="s">
        <v>450</v>
      </c>
      <c r="D73" s="37" t="s">
        <v>451</v>
      </c>
      <c r="E73" s="6" t="s">
        <v>121</v>
      </c>
      <c r="F73" s="14">
        <f t="shared" si="2"/>
        <v>74234187500</v>
      </c>
      <c r="G73" s="15">
        <v>6031.746031746032</v>
      </c>
      <c r="H73" s="14">
        <v>1.5886116125E11</v>
      </c>
      <c r="I73" s="15">
        <f t="shared" si="3"/>
        <v>12907.93651</v>
      </c>
      <c r="J73" s="16">
        <v>28.875</v>
      </c>
      <c r="K73" s="17">
        <v>426225.0</v>
      </c>
      <c r="L73" s="18">
        <f t="shared" si="4"/>
        <v>164566.325</v>
      </c>
      <c r="M73" s="19">
        <v>0.801</v>
      </c>
      <c r="N73" s="20">
        <v>6.04</v>
      </c>
      <c r="O73" s="21">
        <v>63.0</v>
      </c>
      <c r="P73" s="22" t="s">
        <v>452</v>
      </c>
      <c r="Q73" s="6" t="s">
        <v>453</v>
      </c>
      <c r="R73" s="1" t="s">
        <v>454</v>
      </c>
      <c r="S73" s="39">
        <f t="shared" si="5"/>
        <v>1484683750</v>
      </c>
      <c r="T73" s="39">
        <f t="shared" si="6"/>
        <v>2227025625</v>
      </c>
      <c r="U73" s="39">
        <f t="shared" si="7"/>
        <v>3177223225</v>
      </c>
      <c r="V73" s="39">
        <f t="shared" si="8"/>
        <v>4765834838</v>
      </c>
      <c r="W73" s="49">
        <v>0.02</v>
      </c>
    </row>
    <row r="74" ht="22.5" customHeight="1">
      <c r="A74" s="11" t="s">
        <v>455</v>
      </c>
      <c r="B74" s="12">
        <f t="shared" si="1"/>
        <v>22501432.8</v>
      </c>
      <c r="C74" s="13" t="s">
        <v>456</v>
      </c>
      <c r="D74" s="13" t="s">
        <v>457</v>
      </c>
      <c r="E74" s="6" t="s">
        <v>121</v>
      </c>
      <c r="F74" s="14">
        <f t="shared" si="2"/>
        <v>73218948000</v>
      </c>
      <c r="G74" s="15">
        <v>3253.968253968254</v>
      </c>
      <c r="H74" s="14">
        <v>1.976911596E11</v>
      </c>
      <c r="I74" s="15">
        <f t="shared" si="3"/>
        <v>8785.714286</v>
      </c>
      <c r="J74" s="16">
        <v>15.4</v>
      </c>
      <c r="K74" s="17">
        <v>1461132.0</v>
      </c>
      <c r="L74" s="18">
        <f t="shared" si="4"/>
        <v>564145.9875</v>
      </c>
      <c r="M74" s="19">
        <v>0.704</v>
      </c>
      <c r="N74" s="20">
        <v>4.13</v>
      </c>
      <c r="O74" s="21">
        <v>66.0</v>
      </c>
      <c r="P74" s="22" t="s">
        <v>458</v>
      </c>
      <c r="Q74" s="6" t="s">
        <v>459</v>
      </c>
      <c r="R74" s="6" t="s">
        <v>460</v>
      </c>
      <c r="S74" s="23">
        <f t="shared" si="5"/>
        <v>1464378960</v>
      </c>
      <c r="T74" s="23">
        <f t="shared" si="6"/>
        <v>2196568440</v>
      </c>
      <c r="U74" s="23">
        <f t="shared" si="7"/>
        <v>3953823192</v>
      </c>
      <c r="V74" s="23">
        <f t="shared" si="8"/>
        <v>5930734788</v>
      </c>
      <c r="W74" s="47">
        <v>0.02</v>
      </c>
    </row>
    <row r="75" ht="22.5" customHeight="1">
      <c r="A75" s="11" t="s">
        <v>461</v>
      </c>
      <c r="B75" s="25">
        <f t="shared" si="1"/>
        <v>11019226.88</v>
      </c>
      <c r="C75" s="27" t="s">
        <v>462</v>
      </c>
      <c r="D75" s="27" t="s">
        <v>463</v>
      </c>
      <c r="E75" s="6" t="s">
        <v>121</v>
      </c>
      <c r="F75" s="14">
        <f t="shared" si="2"/>
        <v>69526074381</v>
      </c>
      <c r="G75" s="15">
        <v>6309.523809523809</v>
      </c>
      <c r="H75" s="14">
        <v>1.4739527768736667E11</v>
      </c>
      <c r="I75" s="15">
        <f t="shared" si="3"/>
        <v>13376.19048</v>
      </c>
      <c r="J75" s="16">
        <v>31.9585</v>
      </c>
      <c r="K75" s="17">
        <v>344798.0</v>
      </c>
      <c r="L75" s="18">
        <f t="shared" si="4"/>
        <v>133127.1974</v>
      </c>
      <c r="M75" s="19">
        <v>0.805</v>
      </c>
      <c r="N75" s="20">
        <v>6.97</v>
      </c>
      <c r="O75" s="21">
        <v>610.0</v>
      </c>
      <c r="P75" s="22" t="s">
        <v>464</v>
      </c>
      <c r="Q75" s="6" t="s">
        <v>465</v>
      </c>
      <c r="R75" s="6" t="s">
        <v>466</v>
      </c>
      <c r="S75" s="29">
        <f t="shared" si="5"/>
        <v>1390521488</v>
      </c>
      <c r="T75" s="29">
        <f t="shared" si="6"/>
        <v>2085782231</v>
      </c>
      <c r="U75" s="29">
        <f t="shared" si="7"/>
        <v>2947905554</v>
      </c>
      <c r="V75" s="29">
        <f t="shared" si="8"/>
        <v>4421858331</v>
      </c>
      <c r="W75" s="44">
        <v>0.02</v>
      </c>
    </row>
    <row r="76" ht="22.5" customHeight="1">
      <c r="A76" s="31" t="s">
        <v>467</v>
      </c>
      <c r="B76" s="12">
        <f t="shared" si="1"/>
        <v>13705583.66</v>
      </c>
      <c r="C76" s="13" t="s">
        <v>468</v>
      </c>
      <c r="D76" s="13" t="s">
        <v>469</v>
      </c>
      <c r="E76" s="6" t="s">
        <v>26</v>
      </c>
      <c r="F76" s="14">
        <f t="shared" si="2"/>
        <v>69071790646</v>
      </c>
      <c r="G76" s="15">
        <v>5039.68253968254</v>
      </c>
      <c r="H76" s="28">
        <v>1.04030093141235E11</v>
      </c>
      <c r="I76" s="15">
        <f t="shared" si="3"/>
        <v>7590.343889</v>
      </c>
      <c r="J76" s="16">
        <v>171.2299</v>
      </c>
      <c r="K76" s="17">
        <v>80042.0</v>
      </c>
      <c r="L76" s="18">
        <f t="shared" si="4"/>
        <v>30904.37628</v>
      </c>
      <c r="M76" s="19">
        <v>0.668</v>
      </c>
      <c r="N76" s="20">
        <v>5.24</v>
      </c>
      <c r="O76" s="21">
        <v>210.0</v>
      </c>
      <c r="P76" s="6" t="s">
        <v>470</v>
      </c>
      <c r="Q76" s="6" t="s">
        <v>471</v>
      </c>
      <c r="R76" s="6" t="s">
        <v>472</v>
      </c>
      <c r="S76" s="23">
        <f t="shared" si="5"/>
        <v>1381435813</v>
      </c>
      <c r="T76" s="23">
        <f t="shared" si="6"/>
        <v>2072153719</v>
      </c>
      <c r="U76" s="23">
        <f t="shared" si="7"/>
        <v>2080601863</v>
      </c>
      <c r="V76" s="23">
        <f t="shared" si="8"/>
        <v>3120902794</v>
      </c>
      <c r="W76" s="47">
        <v>0.02</v>
      </c>
    </row>
    <row r="77" ht="22.5" customHeight="1">
      <c r="A77" s="11" t="s">
        <v>473</v>
      </c>
      <c r="B77" s="25">
        <f t="shared" si="1"/>
        <v>8871251.235</v>
      </c>
      <c r="C77" s="27" t="s">
        <v>474</v>
      </c>
      <c r="D77" s="27" t="s">
        <v>475</v>
      </c>
      <c r="E77" s="6" t="s">
        <v>47</v>
      </c>
      <c r="F77" s="14">
        <f t="shared" si="2"/>
        <v>67590485600</v>
      </c>
      <c r="G77" s="15">
        <v>7619.047619047619</v>
      </c>
      <c r="H77" s="28">
        <v>1.06948499432E11</v>
      </c>
      <c r="I77" s="15">
        <f t="shared" si="3"/>
        <v>12055.6274</v>
      </c>
      <c r="J77" s="16">
        <v>33.495</v>
      </c>
      <c r="K77" s="17">
        <v>264853.0</v>
      </c>
      <c r="L77" s="18">
        <f t="shared" si="4"/>
        <v>102260.273</v>
      </c>
      <c r="M77" s="19">
        <v>0.728</v>
      </c>
      <c r="N77" s="20">
        <v>6.92</v>
      </c>
      <c r="O77" s="21">
        <v>945.0</v>
      </c>
      <c r="P77" s="22" t="s">
        <v>476</v>
      </c>
      <c r="Q77" s="6" t="s">
        <v>477</v>
      </c>
      <c r="R77" s="6" t="s">
        <v>478</v>
      </c>
      <c r="S77" s="29">
        <f t="shared" si="5"/>
        <v>1351809712</v>
      </c>
      <c r="T77" s="29">
        <f t="shared" si="6"/>
        <v>2027714568</v>
      </c>
      <c r="U77" s="29">
        <f t="shared" si="7"/>
        <v>2138969989</v>
      </c>
      <c r="V77" s="29">
        <f t="shared" si="8"/>
        <v>3208454983</v>
      </c>
      <c r="W77" s="44">
        <v>0.02</v>
      </c>
    </row>
    <row r="78" ht="22.5" customHeight="1">
      <c r="A78" s="31" t="s">
        <v>479</v>
      </c>
      <c r="B78" s="32">
        <f t="shared" si="1"/>
        <v>22833760.39</v>
      </c>
      <c r="C78" s="33" t="s">
        <v>480</v>
      </c>
      <c r="D78" s="33" t="s">
        <v>481</v>
      </c>
      <c r="E78" s="6" t="s">
        <v>54</v>
      </c>
      <c r="F78" s="14">
        <f t="shared" si="2"/>
        <v>67051518611</v>
      </c>
      <c r="G78" s="15">
        <v>2936.5079365079364</v>
      </c>
      <c r="H78" s="14">
        <v>2.4473804293171423E11</v>
      </c>
      <c r="I78" s="15">
        <f t="shared" si="3"/>
        <v>10718.25397</v>
      </c>
      <c r="J78" s="16">
        <v>61.596</v>
      </c>
      <c r="K78" s="17">
        <v>370702.0</v>
      </c>
      <c r="L78" s="18">
        <f t="shared" si="4"/>
        <v>143128.7836</v>
      </c>
      <c r="M78" s="19">
        <v>0.715</v>
      </c>
      <c r="N78" s="20">
        <v>5.38</v>
      </c>
      <c r="O78" s="21">
        <v>120.0</v>
      </c>
      <c r="P78" s="22" t="s">
        <v>482</v>
      </c>
      <c r="Q78" s="6" t="s">
        <v>483</v>
      </c>
      <c r="R78" s="6" t="s">
        <v>484</v>
      </c>
      <c r="S78" s="34">
        <f t="shared" si="5"/>
        <v>1341030372</v>
      </c>
      <c r="T78" s="34">
        <f t="shared" si="6"/>
        <v>2011545558</v>
      </c>
      <c r="U78" s="34">
        <f t="shared" si="7"/>
        <v>4894760859</v>
      </c>
      <c r="V78" s="34">
        <f t="shared" si="8"/>
        <v>7342141288</v>
      </c>
      <c r="W78" s="50">
        <v>0.02</v>
      </c>
    </row>
    <row r="79" ht="22.5" customHeight="1">
      <c r="A79" s="11" t="s">
        <v>485</v>
      </c>
      <c r="B79" s="25">
        <f t="shared" si="1"/>
        <v>4620319.75</v>
      </c>
      <c r="C79" s="26" t="s">
        <v>486</v>
      </c>
      <c r="D79" s="27" t="s">
        <v>487</v>
      </c>
      <c r="E79" s="6" t="s">
        <v>26</v>
      </c>
      <c r="F79" s="14">
        <f t="shared" si="2"/>
        <v>59404111071</v>
      </c>
      <c r="G79" s="15">
        <v>12857.142857142857</v>
      </c>
      <c r="H79" s="14">
        <v>7.603726217142857E10</v>
      </c>
      <c r="I79" s="15">
        <f t="shared" si="3"/>
        <v>16457.14286</v>
      </c>
      <c r="J79" s="16">
        <v>35.0356</v>
      </c>
      <c r="K79" s="17">
        <v>131875.0</v>
      </c>
      <c r="L79" s="18">
        <f t="shared" si="4"/>
        <v>50917.20125</v>
      </c>
      <c r="M79" s="19">
        <v>0.939</v>
      </c>
      <c r="N79" s="20">
        <v>7.68</v>
      </c>
      <c r="O79" s="21">
        <v>246.0</v>
      </c>
      <c r="P79" s="6" t="s">
        <v>488</v>
      </c>
      <c r="Q79" s="6" t="s">
        <v>489</v>
      </c>
      <c r="R79" s="6" t="s">
        <v>490</v>
      </c>
      <c r="S79" s="29">
        <f t="shared" si="5"/>
        <v>1188082221</v>
      </c>
      <c r="T79" s="29">
        <f t="shared" si="6"/>
        <v>1782123332</v>
      </c>
      <c r="U79" s="29">
        <f t="shared" si="7"/>
        <v>1520745243</v>
      </c>
      <c r="V79" s="29">
        <f t="shared" si="8"/>
        <v>2281117865</v>
      </c>
      <c r="W79" s="44">
        <v>0.02</v>
      </c>
    </row>
    <row r="80" ht="22.5" customHeight="1">
      <c r="A80" s="31" t="s">
        <v>491</v>
      </c>
      <c r="B80" s="32">
        <f t="shared" si="1"/>
        <v>9164020.859</v>
      </c>
      <c r="C80" s="42" t="s">
        <v>492</v>
      </c>
      <c r="D80" s="33" t="s">
        <v>493</v>
      </c>
      <c r="E80" s="6" t="s">
        <v>33</v>
      </c>
      <c r="F80" s="14">
        <f t="shared" si="2"/>
        <v>58911562665</v>
      </c>
      <c r="G80" s="15">
        <v>6428.571428571428</v>
      </c>
      <c r="H80" s="14">
        <v>1.5729387231555002E11</v>
      </c>
      <c r="I80" s="15">
        <f t="shared" si="3"/>
        <v>17164.28571</v>
      </c>
      <c r="J80" s="16">
        <v>9.2369</v>
      </c>
      <c r="K80" s="17">
        <v>992110.0</v>
      </c>
      <c r="L80" s="18">
        <f t="shared" si="4"/>
        <v>383055.6552</v>
      </c>
      <c r="M80" s="19">
        <v>0.693</v>
      </c>
      <c r="N80" s="20">
        <v>5.62</v>
      </c>
      <c r="O80" s="21">
        <v>555.0</v>
      </c>
      <c r="P80" s="22" t="s">
        <v>494</v>
      </c>
      <c r="Q80" s="6" t="s">
        <v>495</v>
      </c>
      <c r="R80" s="6" t="s">
        <v>496</v>
      </c>
      <c r="S80" s="34">
        <f t="shared" si="5"/>
        <v>1178231253</v>
      </c>
      <c r="T80" s="34">
        <f t="shared" si="6"/>
        <v>1767346880</v>
      </c>
      <c r="U80" s="34">
        <f t="shared" si="7"/>
        <v>3145877446</v>
      </c>
      <c r="V80" s="34">
        <f t="shared" si="8"/>
        <v>4718816169</v>
      </c>
      <c r="W80" s="50">
        <v>0.02</v>
      </c>
    </row>
    <row r="81" ht="22.5" customHeight="1">
      <c r="A81" s="31" t="s">
        <v>497</v>
      </c>
      <c r="B81" s="25">
        <f t="shared" si="1"/>
        <v>30642963.19</v>
      </c>
      <c r="C81" s="27" t="s">
        <v>498</v>
      </c>
      <c r="D81" s="27" t="s">
        <v>499</v>
      </c>
      <c r="E81" s="6" t="s">
        <v>47</v>
      </c>
      <c r="F81" s="14">
        <f t="shared" si="2"/>
        <v>55813968660</v>
      </c>
      <c r="G81" s="15">
        <v>1821.4285714285713</v>
      </c>
      <c r="H81" s="14">
        <v>1.9479075062414786E11</v>
      </c>
      <c r="I81" s="15">
        <f t="shared" si="3"/>
        <v>6356.785714</v>
      </c>
      <c r="J81" s="16">
        <v>40.038</v>
      </c>
      <c r="K81" s="17">
        <v>765347.0</v>
      </c>
      <c r="L81" s="18">
        <f t="shared" si="4"/>
        <v>295502.0074</v>
      </c>
      <c r="M81" s="19">
        <v>0.553</v>
      </c>
      <c r="N81" s="20">
        <v>4.51</v>
      </c>
      <c r="O81" s="21">
        <v>942.0</v>
      </c>
      <c r="P81" s="6" t="s">
        <v>500</v>
      </c>
      <c r="Q81" s="6" t="s">
        <v>501</v>
      </c>
      <c r="R81" s="6" t="s">
        <v>502</v>
      </c>
      <c r="S81" s="29">
        <f t="shared" si="5"/>
        <v>1116279373</v>
      </c>
      <c r="T81" s="29">
        <f t="shared" si="6"/>
        <v>1674419060</v>
      </c>
      <c r="U81" s="29">
        <f t="shared" si="7"/>
        <v>3895815012</v>
      </c>
      <c r="V81" s="29">
        <f t="shared" si="8"/>
        <v>5843722519</v>
      </c>
      <c r="W81" s="44">
        <v>0.02</v>
      </c>
    </row>
    <row r="82" ht="22.5" customHeight="1">
      <c r="A82" s="11" t="s">
        <v>503</v>
      </c>
      <c r="B82" s="32">
        <f t="shared" si="1"/>
        <v>15105090</v>
      </c>
      <c r="C82" s="33" t="s">
        <v>504</v>
      </c>
      <c r="D82" s="33" t="s">
        <v>505</v>
      </c>
      <c r="E82" s="6" t="s">
        <v>121</v>
      </c>
      <c r="F82" s="14">
        <f t="shared" si="2"/>
        <v>55025685000</v>
      </c>
      <c r="G82" s="15">
        <v>3642.8571428571427</v>
      </c>
      <c r="H82" s="14">
        <v>1.529714043E11</v>
      </c>
      <c r="I82" s="15">
        <f t="shared" si="3"/>
        <v>10127.14286</v>
      </c>
      <c r="J82" s="16">
        <v>46.2</v>
      </c>
      <c r="K82" s="17">
        <v>326950.0</v>
      </c>
      <c r="L82" s="18">
        <f t="shared" si="4"/>
        <v>126236.0489</v>
      </c>
      <c r="M82" s="19">
        <v>0.785</v>
      </c>
      <c r="N82" s="20">
        <v>6.18</v>
      </c>
      <c r="O82" s="21">
        <v>64.0</v>
      </c>
      <c r="P82" s="22" t="s">
        <v>506</v>
      </c>
      <c r="Q82" s="6" t="s">
        <v>507</v>
      </c>
      <c r="R82" s="6" t="s">
        <v>508</v>
      </c>
      <c r="S82" s="34">
        <f t="shared" si="5"/>
        <v>1100513700</v>
      </c>
      <c r="T82" s="34">
        <f t="shared" si="6"/>
        <v>1650770550</v>
      </c>
      <c r="U82" s="34">
        <f t="shared" si="7"/>
        <v>3059428086</v>
      </c>
      <c r="V82" s="34">
        <f t="shared" si="8"/>
        <v>4589142129</v>
      </c>
      <c r="W82" s="50">
        <v>0.02</v>
      </c>
    </row>
    <row r="83" ht="22.5" customHeight="1">
      <c r="A83" s="11" t="s">
        <v>509</v>
      </c>
      <c r="B83" s="36">
        <f t="shared" si="1"/>
        <v>16302959.75</v>
      </c>
      <c r="C83" s="37" t="s">
        <v>510</v>
      </c>
      <c r="D83" s="37" t="s">
        <v>511</v>
      </c>
      <c r="E83" s="6" t="s">
        <v>121</v>
      </c>
      <c r="F83" s="14">
        <f t="shared" si="2"/>
        <v>54990142014</v>
      </c>
      <c r="G83" s="15">
        <v>3373.015873015873</v>
      </c>
      <c r="H83" s="14">
        <v>1.468236791770833E11</v>
      </c>
      <c r="I83" s="15">
        <f t="shared" si="3"/>
        <v>9005.952381</v>
      </c>
      <c r="J83" s="16">
        <v>9.625</v>
      </c>
      <c r="K83" s="17">
        <v>1693814.0</v>
      </c>
      <c r="L83" s="18">
        <f t="shared" si="4"/>
        <v>653984.973</v>
      </c>
      <c r="M83" s="19">
        <v>0.71</v>
      </c>
      <c r="N83" s="20">
        <v>4.52</v>
      </c>
      <c r="O83" s="21">
        <v>67.0</v>
      </c>
      <c r="P83" s="22" t="s">
        <v>512</v>
      </c>
      <c r="Q83" s="6" t="s">
        <v>513</v>
      </c>
      <c r="R83" s="6" t="s">
        <v>514</v>
      </c>
      <c r="S83" s="39">
        <f t="shared" si="5"/>
        <v>1099802840</v>
      </c>
      <c r="T83" s="39">
        <f t="shared" si="6"/>
        <v>1649704260</v>
      </c>
      <c r="U83" s="39">
        <f t="shared" si="7"/>
        <v>2936473584</v>
      </c>
      <c r="V83" s="39">
        <f t="shared" si="8"/>
        <v>4404710375</v>
      </c>
      <c r="W83" s="49">
        <v>0.02</v>
      </c>
    </row>
    <row r="84" ht="22.5" customHeight="1">
      <c r="A84" s="31" t="s">
        <v>515</v>
      </c>
      <c r="B84" s="12">
        <f t="shared" si="1"/>
        <v>35956798.09</v>
      </c>
      <c r="C84" s="13" t="s">
        <v>516</v>
      </c>
      <c r="D84" s="13" t="s">
        <v>517</v>
      </c>
      <c r="E84" s="6" t="s">
        <v>40</v>
      </c>
      <c r="F84" s="14">
        <f t="shared" si="2"/>
        <v>53649825721</v>
      </c>
      <c r="G84" s="15">
        <v>1492.063492063492</v>
      </c>
      <c r="H84" s="28">
        <v>2.93781532932654E11</v>
      </c>
      <c r="I84" s="15">
        <f t="shared" si="3"/>
        <v>8170.403054</v>
      </c>
      <c r="J84" s="16">
        <v>143.6221</v>
      </c>
      <c r="K84" s="17">
        <v>250357.0</v>
      </c>
      <c r="L84" s="18">
        <f t="shared" si="4"/>
        <v>96663.33841</v>
      </c>
      <c r="M84" s="19">
        <v>0.717</v>
      </c>
      <c r="N84" s="20">
        <v>5.88</v>
      </c>
      <c r="O84" s="21">
        <v>926.0</v>
      </c>
      <c r="P84" s="22" t="s">
        <v>518</v>
      </c>
      <c r="Q84" s="6" t="s">
        <v>519</v>
      </c>
      <c r="R84" s="6" t="s">
        <v>515</v>
      </c>
      <c r="S84" s="23">
        <f t="shared" si="5"/>
        <v>1072996514</v>
      </c>
      <c r="T84" s="23">
        <f t="shared" si="6"/>
        <v>1609494772</v>
      </c>
      <c r="U84" s="23">
        <f t="shared" si="7"/>
        <v>5875630659</v>
      </c>
      <c r="V84" s="23">
        <f t="shared" si="8"/>
        <v>8813445988</v>
      </c>
      <c r="W84" s="47">
        <v>0.02</v>
      </c>
    </row>
    <row r="85" ht="22.5" customHeight="1">
      <c r="A85" s="11" t="s">
        <v>520</v>
      </c>
      <c r="B85" s="36">
        <f t="shared" si="1"/>
        <v>30764253.14</v>
      </c>
      <c r="C85" s="48" t="s">
        <v>521</v>
      </c>
      <c r="D85" s="37" t="s">
        <v>522</v>
      </c>
      <c r="E85" s="6" t="s">
        <v>33</v>
      </c>
      <c r="F85" s="14">
        <f t="shared" si="2"/>
        <v>51029594486</v>
      </c>
      <c r="G85" s="15">
        <v>1658.7301587301588</v>
      </c>
      <c r="H85" s="14">
        <v>1.63804998299525E11</v>
      </c>
      <c r="I85" s="15">
        <f t="shared" si="3"/>
        <v>5324.52381</v>
      </c>
      <c r="J85" s="16">
        <v>49.6538</v>
      </c>
      <c r="K85" s="17">
        <v>619575.0</v>
      </c>
      <c r="L85" s="18">
        <f t="shared" si="4"/>
        <v>239219.1467</v>
      </c>
      <c r="M85" s="19">
        <v>0.61</v>
      </c>
      <c r="N85" s="20">
        <v>2.66</v>
      </c>
      <c r="O85" s="21">
        <v>166.0</v>
      </c>
      <c r="P85" s="22" t="s">
        <v>523</v>
      </c>
      <c r="Q85" s="6" t="s">
        <v>524</v>
      </c>
      <c r="R85" s="6" t="s">
        <v>525</v>
      </c>
      <c r="S85" s="39">
        <f t="shared" si="5"/>
        <v>1020591890</v>
      </c>
      <c r="T85" s="39">
        <f t="shared" si="6"/>
        <v>1530887835</v>
      </c>
      <c r="U85" s="39">
        <f t="shared" si="7"/>
        <v>3276099966</v>
      </c>
      <c r="V85" s="39">
        <f t="shared" si="8"/>
        <v>4914149949</v>
      </c>
      <c r="W85" s="49">
        <v>0.02</v>
      </c>
    </row>
    <row r="86" ht="22.5" customHeight="1">
      <c r="A86" s="31" t="s">
        <v>526</v>
      </c>
      <c r="B86" s="12">
        <f t="shared" si="1"/>
        <v>1640803.67</v>
      </c>
      <c r="C86" s="13" t="s">
        <v>527</v>
      </c>
      <c r="D86" s="13" t="s">
        <v>528</v>
      </c>
      <c r="E86" s="6" t="s">
        <v>33</v>
      </c>
      <c r="F86" s="14">
        <f t="shared" si="2"/>
        <v>50851891522</v>
      </c>
      <c r="G86" s="15">
        <v>30992.06349206349</v>
      </c>
      <c r="H86" s="14">
        <v>4.881781586088E10</v>
      </c>
      <c r="I86" s="15">
        <f t="shared" si="3"/>
        <v>29752.38095</v>
      </c>
      <c r="J86" s="16">
        <v>2694.2589</v>
      </c>
      <c r="K86" s="17">
        <v>609.0</v>
      </c>
      <c r="L86" s="18">
        <f t="shared" si="4"/>
        <v>235.136118</v>
      </c>
      <c r="M86" s="19">
        <v>0.913</v>
      </c>
      <c r="N86" s="20">
        <v>9.02</v>
      </c>
      <c r="O86" s="21">
        <v>510.0</v>
      </c>
      <c r="P86" s="22" t="s">
        <v>529</v>
      </c>
      <c r="Q86" s="6" t="s">
        <v>526</v>
      </c>
      <c r="R86" s="6" t="s">
        <v>530</v>
      </c>
      <c r="S86" s="23">
        <f t="shared" si="5"/>
        <v>1017037830</v>
      </c>
      <c r="T86" s="23">
        <f t="shared" si="6"/>
        <v>1525556746</v>
      </c>
      <c r="U86" s="23">
        <f t="shared" si="7"/>
        <v>976356317.2</v>
      </c>
      <c r="V86" s="23">
        <f t="shared" si="8"/>
        <v>1464534476</v>
      </c>
      <c r="W86" s="47">
        <v>0.02</v>
      </c>
    </row>
    <row r="87" ht="22.5" customHeight="1">
      <c r="A87" s="11" t="s">
        <v>531</v>
      </c>
      <c r="B87" s="36">
        <f t="shared" si="1"/>
        <v>4523612.812</v>
      </c>
      <c r="C87" s="48" t="s">
        <v>532</v>
      </c>
      <c r="D87" s="37" t="s">
        <v>533</v>
      </c>
      <c r="E87" s="6" t="s">
        <v>26</v>
      </c>
      <c r="F87" s="14">
        <f t="shared" si="2"/>
        <v>50800889917</v>
      </c>
      <c r="G87" s="15">
        <v>11230.15873015873</v>
      </c>
      <c r="H87" s="14">
        <v>8.839354845563524E10</v>
      </c>
      <c r="I87" s="15">
        <f t="shared" si="3"/>
        <v>19540.47619</v>
      </c>
      <c r="J87" s="16">
        <v>47.7406</v>
      </c>
      <c r="K87" s="17">
        <v>94754.0</v>
      </c>
      <c r="L87" s="18">
        <f t="shared" si="4"/>
        <v>36584.70891</v>
      </c>
      <c r="M87" s="19">
        <v>0.856</v>
      </c>
      <c r="N87" s="20">
        <v>8.12</v>
      </c>
      <c r="O87" s="21">
        <v>247.0</v>
      </c>
      <c r="P87" s="22" t="s">
        <v>534</v>
      </c>
      <c r="Q87" s="6" t="s">
        <v>535</v>
      </c>
      <c r="R87" s="6" t="s">
        <v>536</v>
      </c>
      <c r="S87" s="39">
        <f t="shared" si="5"/>
        <v>1016017798</v>
      </c>
      <c r="T87" s="39">
        <f t="shared" si="6"/>
        <v>1524026698</v>
      </c>
      <c r="U87" s="39">
        <f t="shared" si="7"/>
        <v>1767870969</v>
      </c>
      <c r="V87" s="39">
        <f t="shared" si="8"/>
        <v>2651806454</v>
      </c>
      <c r="W87" s="49">
        <v>0.02</v>
      </c>
    </row>
    <row r="88" ht="22.5" customHeight="1">
      <c r="A88" s="11" t="s">
        <v>537</v>
      </c>
      <c r="B88" s="12">
        <f t="shared" si="1"/>
        <v>27120467.56</v>
      </c>
      <c r="C88" s="13" t="s">
        <v>538</v>
      </c>
      <c r="D88" s="13" t="s">
        <v>539</v>
      </c>
      <c r="E88" s="6" t="s">
        <v>26</v>
      </c>
      <c r="F88" s="14">
        <f t="shared" si="2"/>
        <v>50581824409</v>
      </c>
      <c r="G88" s="15">
        <v>1865.079365079365</v>
      </c>
      <c r="H88" s="14">
        <v>1.502280184932686E11</v>
      </c>
      <c r="I88" s="15">
        <f t="shared" si="3"/>
        <v>5539.285714</v>
      </c>
      <c r="J88" s="16">
        <v>214.0729</v>
      </c>
      <c r="K88" s="38">
        <v>126688.0</v>
      </c>
      <c r="L88" s="18">
        <f t="shared" si="4"/>
        <v>48914.49018</v>
      </c>
      <c r="M88" s="19">
        <v>0.736</v>
      </c>
      <c r="N88" s="20">
        <v>2.57</v>
      </c>
      <c r="O88" s="21">
        <v>711.0</v>
      </c>
      <c r="P88" s="22" t="s">
        <v>540</v>
      </c>
      <c r="Q88" s="6" t="s">
        <v>541</v>
      </c>
      <c r="R88" s="6" t="s">
        <v>542</v>
      </c>
      <c r="S88" s="23">
        <f t="shared" si="5"/>
        <v>1011636488</v>
      </c>
      <c r="T88" s="23">
        <f t="shared" si="6"/>
        <v>1517454732</v>
      </c>
      <c r="U88" s="23">
        <f t="shared" si="7"/>
        <v>3004560370</v>
      </c>
      <c r="V88" s="23">
        <f t="shared" si="8"/>
        <v>4506840555</v>
      </c>
      <c r="W88" s="47">
        <v>0.02</v>
      </c>
    </row>
    <row r="89" ht="22.5" customHeight="1">
      <c r="A89" s="11" t="s">
        <v>543</v>
      </c>
      <c r="B89" s="36">
        <f t="shared" si="1"/>
        <v>6835852.1</v>
      </c>
      <c r="C89" s="37" t="s">
        <v>544</v>
      </c>
      <c r="D89" s="37" t="s">
        <v>545</v>
      </c>
      <c r="E89" s="6" t="s">
        <v>121</v>
      </c>
      <c r="F89" s="14">
        <f t="shared" si="2"/>
        <v>49370042944</v>
      </c>
      <c r="G89" s="15">
        <v>7222.222222222222</v>
      </c>
      <c r="H89" s="14">
        <v>1.0219598889499997E11</v>
      </c>
      <c r="I89" s="15">
        <f t="shared" si="3"/>
        <v>14950</v>
      </c>
      <c r="J89" s="16">
        <v>22.715</v>
      </c>
      <c r="K89" s="38">
        <v>300940.0</v>
      </c>
      <c r="L89" s="18">
        <f t="shared" si="4"/>
        <v>116193.5359</v>
      </c>
      <c r="M89" s="19">
        <v>0.81</v>
      </c>
      <c r="N89" s="20">
        <v>6.39</v>
      </c>
      <c r="O89" s="21">
        <v>69.0</v>
      </c>
      <c r="P89" s="22" t="s">
        <v>546</v>
      </c>
      <c r="Q89" s="6" t="s">
        <v>547</v>
      </c>
      <c r="R89" s="6" t="s">
        <v>548</v>
      </c>
      <c r="S89" s="39">
        <f t="shared" si="5"/>
        <v>987400858.9</v>
      </c>
      <c r="T89" s="39">
        <f t="shared" si="6"/>
        <v>1481101288</v>
      </c>
      <c r="U89" s="39">
        <f t="shared" si="7"/>
        <v>2043919778</v>
      </c>
      <c r="V89" s="39">
        <f t="shared" si="8"/>
        <v>3065879667</v>
      </c>
      <c r="W89" s="49">
        <v>0.02</v>
      </c>
    </row>
    <row r="90" ht="22.5" customHeight="1">
      <c r="A90" s="31" t="s">
        <v>549</v>
      </c>
      <c r="B90" s="32">
        <f t="shared" si="1"/>
        <v>2048850.65</v>
      </c>
      <c r="C90" s="33" t="s">
        <v>550</v>
      </c>
      <c r="D90" s="33" t="s">
        <v>551</v>
      </c>
      <c r="E90" s="6" t="s">
        <v>84</v>
      </c>
      <c r="F90" s="14">
        <f t="shared" si="2"/>
        <v>48050425958</v>
      </c>
      <c r="G90" s="15">
        <v>23452.38095238095</v>
      </c>
      <c r="H90" s="14">
        <v>6.198504948625001E10</v>
      </c>
      <c r="I90" s="15">
        <f t="shared" si="3"/>
        <v>30253.57143</v>
      </c>
      <c r="J90" s="16">
        <v>0.77</v>
      </c>
      <c r="K90" s="17">
        <v>2660845.0</v>
      </c>
      <c r="L90" s="18">
        <f t="shared" si="4"/>
        <v>1027357.576</v>
      </c>
      <c r="M90" s="19">
        <v>0.885</v>
      </c>
      <c r="N90" s="20">
        <v>2.34</v>
      </c>
      <c r="O90" s="21">
        <v>772.0</v>
      </c>
      <c r="P90" s="22" t="s">
        <v>552</v>
      </c>
      <c r="Q90" s="6" t="s">
        <v>553</v>
      </c>
      <c r="R90" s="6" t="s">
        <v>554</v>
      </c>
      <c r="S90" s="34">
        <f t="shared" si="5"/>
        <v>961008519.2</v>
      </c>
      <c r="T90" s="34">
        <f t="shared" si="6"/>
        <v>1441512779</v>
      </c>
      <c r="U90" s="34">
        <f t="shared" si="7"/>
        <v>1239700990</v>
      </c>
      <c r="V90" s="34">
        <f t="shared" si="8"/>
        <v>1859551485</v>
      </c>
      <c r="W90" s="50">
        <v>0.02</v>
      </c>
    </row>
    <row r="91" ht="22.5" customHeight="1">
      <c r="A91" s="31" t="s">
        <v>555</v>
      </c>
      <c r="B91" s="25">
        <f t="shared" si="1"/>
        <v>3626297.371</v>
      </c>
      <c r="C91" s="27" t="s">
        <v>556</v>
      </c>
      <c r="D91" s="27" t="s">
        <v>557</v>
      </c>
      <c r="E91" s="6" t="s">
        <v>47</v>
      </c>
      <c r="F91" s="14">
        <f t="shared" si="2"/>
        <v>46911624720</v>
      </c>
      <c r="G91" s="15">
        <v>12936.507936507936</v>
      </c>
      <c r="H91" s="28">
        <v>6.85144119121667E10</v>
      </c>
      <c r="I91" s="15">
        <f t="shared" si="3"/>
        <v>18893.76543</v>
      </c>
      <c r="J91" s="16">
        <v>169.003</v>
      </c>
      <c r="K91" s="17">
        <v>21457.0</v>
      </c>
      <c r="L91" s="18">
        <f t="shared" si="4"/>
        <v>8284.590614</v>
      </c>
      <c r="M91" s="19">
        <v>0.776</v>
      </c>
      <c r="N91" s="20">
        <v>7.18</v>
      </c>
      <c r="O91" s="21">
        <v>944.0</v>
      </c>
      <c r="P91" s="22" t="s">
        <v>558</v>
      </c>
      <c r="Q91" s="6" t="s">
        <v>559</v>
      </c>
      <c r="R91" s="6" t="s">
        <v>560</v>
      </c>
      <c r="S91" s="29">
        <f t="shared" si="5"/>
        <v>938232494.4</v>
      </c>
      <c r="T91" s="29">
        <f t="shared" si="6"/>
        <v>1407348742</v>
      </c>
      <c r="U91" s="29">
        <f t="shared" si="7"/>
        <v>1370288238</v>
      </c>
      <c r="V91" s="29">
        <f t="shared" si="8"/>
        <v>2055432357</v>
      </c>
      <c r="W91" s="44">
        <v>0.02</v>
      </c>
    </row>
    <row r="92" ht="22.5" customHeight="1">
      <c r="A92" s="41" t="s">
        <v>561</v>
      </c>
      <c r="B92" s="12">
        <f t="shared" si="1"/>
        <v>3123402.468</v>
      </c>
      <c r="C92" s="13" t="s">
        <v>562</v>
      </c>
      <c r="D92" s="13" t="s">
        <v>563</v>
      </c>
      <c r="E92" s="6" t="s">
        <v>54</v>
      </c>
      <c r="F92" s="14">
        <f t="shared" si="2"/>
        <v>46355258850</v>
      </c>
      <c r="G92" s="15">
        <v>14841.269841269841</v>
      </c>
      <c r="H92" s="28">
        <v>6.41684141607619E10</v>
      </c>
      <c r="I92" s="15">
        <f t="shared" si="3"/>
        <v>20544.39504</v>
      </c>
      <c r="J92" s="16">
        <v>71.996</v>
      </c>
      <c r="K92" s="17">
        <v>43383.0</v>
      </c>
      <c r="L92" s="18">
        <f t="shared" si="4"/>
        <v>16750.26307</v>
      </c>
      <c r="M92" s="19">
        <v>0.865</v>
      </c>
      <c r="N92" s="20">
        <v>7.95</v>
      </c>
      <c r="O92" s="21">
        <v>101.0</v>
      </c>
      <c r="P92" s="22" t="s">
        <v>564</v>
      </c>
      <c r="Q92" s="6" t="s">
        <v>565</v>
      </c>
      <c r="R92" s="6" t="s">
        <v>566</v>
      </c>
      <c r="S92" s="23">
        <f t="shared" si="5"/>
        <v>927105177</v>
      </c>
      <c r="T92" s="23">
        <f t="shared" si="6"/>
        <v>1390657766</v>
      </c>
      <c r="U92" s="23">
        <f t="shared" si="7"/>
        <v>1283368283</v>
      </c>
      <c r="V92" s="23">
        <f t="shared" si="8"/>
        <v>1925052425</v>
      </c>
      <c r="W92" s="47">
        <v>0.02</v>
      </c>
    </row>
    <row r="93" ht="22.5" customHeight="1">
      <c r="A93" s="11" t="s">
        <v>567</v>
      </c>
      <c r="B93" s="25">
        <f t="shared" si="1"/>
        <v>12224862.27</v>
      </c>
      <c r="C93" s="26" t="s">
        <v>568</v>
      </c>
      <c r="D93" s="27" t="s">
        <v>569</v>
      </c>
      <c r="E93" s="6" t="s">
        <v>84</v>
      </c>
      <c r="F93" s="14">
        <f t="shared" si="2"/>
        <v>44921517688</v>
      </c>
      <c r="G93" s="15">
        <v>3674.6031746031745</v>
      </c>
      <c r="H93" s="14">
        <v>1.271278950571972E11</v>
      </c>
      <c r="I93" s="15">
        <f t="shared" si="3"/>
        <v>10399.12698</v>
      </c>
      <c r="J93" s="16">
        <v>45.815</v>
      </c>
      <c r="K93" s="17">
        <v>266831.0</v>
      </c>
      <c r="L93" s="18">
        <f t="shared" si="4"/>
        <v>103023.9828</v>
      </c>
      <c r="M93" s="19">
        <v>0.735</v>
      </c>
      <c r="N93" s="20">
        <v>3.26</v>
      </c>
      <c r="O93" s="21">
        <v>732.0</v>
      </c>
      <c r="P93" s="22" t="s">
        <v>570</v>
      </c>
      <c r="Q93" s="6" t="s">
        <v>571</v>
      </c>
      <c r="R93" s="6" t="s">
        <v>572</v>
      </c>
      <c r="S93" s="29">
        <f t="shared" si="5"/>
        <v>898430353.8</v>
      </c>
      <c r="T93" s="29">
        <f t="shared" si="6"/>
        <v>1347645531</v>
      </c>
      <c r="U93" s="29">
        <f t="shared" si="7"/>
        <v>2542557901</v>
      </c>
      <c r="V93" s="29">
        <f t="shared" si="8"/>
        <v>3813836852</v>
      </c>
      <c r="W93" s="44">
        <v>0.02</v>
      </c>
    </row>
    <row r="94" ht="22.5" customHeight="1">
      <c r="A94" s="11" t="s">
        <v>573</v>
      </c>
      <c r="B94" s="12">
        <f t="shared" si="1"/>
        <v>25083673.75</v>
      </c>
      <c r="C94" s="45" t="s">
        <v>574</v>
      </c>
      <c r="D94" s="13" t="s">
        <v>575</v>
      </c>
      <c r="E94" s="6" t="s">
        <v>40</v>
      </c>
      <c r="F94" s="14">
        <f t="shared" si="2"/>
        <v>43697352283</v>
      </c>
      <c r="G94" s="15">
        <v>1742.063492063492</v>
      </c>
      <c r="H94" s="14">
        <v>1.2628534809649841E11</v>
      </c>
      <c r="I94" s="15">
        <f t="shared" si="3"/>
        <v>5034.563492</v>
      </c>
      <c r="J94" s="16">
        <v>55.4426</v>
      </c>
      <c r="K94" s="17">
        <v>452426.0</v>
      </c>
      <c r="L94" s="18">
        <f t="shared" si="4"/>
        <v>174682.5835</v>
      </c>
      <c r="M94" s="19">
        <v>0.673</v>
      </c>
      <c r="N94" s="20">
        <v>5.62</v>
      </c>
      <c r="O94" s="21">
        <v>913.0</v>
      </c>
      <c r="P94" s="22" t="s">
        <v>576</v>
      </c>
      <c r="Q94" s="6" t="s">
        <v>577</v>
      </c>
      <c r="R94" s="1" t="s">
        <v>578</v>
      </c>
      <c r="S94" s="23">
        <f t="shared" si="5"/>
        <v>873947045.7</v>
      </c>
      <c r="T94" s="23">
        <f t="shared" si="6"/>
        <v>1310920568</v>
      </c>
      <c r="U94" s="23">
        <f t="shared" si="7"/>
        <v>2525706962</v>
      </c>
      <c r="V94" s="23">
        <f t="shared" si="8"/>
        <v>3788560443</v>
      </c>
      <c r="W94" s="47">
        <v>0.02</v>
      </c>
    </row>
    <row r="95" ht="22.5" customHeight="1">
      <c r="A95" s="11" t="s">
        <v>579</v>
      </c>
      <c r="B95" s="36">
        <f t="shared" si="1"/>
        <v>7849449.684</v>
      </c>
      <c r="C95" s="37" t="s">
        <v>580</v>
      </c>
      <c r="D95" s="37" t="s">
        <v>581</v>
      </c>
      <c r="E95" s="6" t="s">
        <v>47</v>
      </c>
      <c r="F95" s="14">
        <f t="shared" si="2"/>
        <v>43608053800</v>
      </c>
      <c r="G95" s="15">
        <v>5555.555555555556</v>
      </c>
      <c r="H95" s="14">
        <v>1.12508778804E11</v>
      </c>
      <c r="I95" s="15">
        <f t="shared" si="3"/>
        <v>14333.33333</v>
      </c>
      <c r="J95" s="16">
        <v>34.266</v>
      </c>
      <c r="K95" s="17">
        <v>229074.0</v>
      </c>
      <c r="L95" s="18">
        <f t="shared" si="4"/>
        <v>88445.92955</v>
      </c>
      <c r="M95" s="19">
        <v>0.717</v>
      </c>
      <c r="N95" s="20">
        <v>4.88</v>
      </c>
      <c r="O95" s="21">
        <v>83.0</v>
      </c>
      <c r="P95" s="22" t="s">
        <v>582</v>
      </c>
      <c r="Q95" s="6" t="s">
        <v>583</v>
      </c>
      <c r="R95" s="1" t="s">
        <v>584</v>
      </c>
      <c r="S95" s="39">
        <f t="shared" si="5"/>
        <v>872161076</v>
      </c>
      <c r="T95" s="39">
        <f t="shared" si="6"/>
        <v>1308241614</v>
      </c>
      <c r="U95" s="39">
        <f t="shared" si="7"/>
        <v>2250175576</v>
      </c>
      <c r="V95" s="39">
        <f t="shared" si="8"/>
        <v>3375263364</v>
      </c>
      <c r="W95" s="49">
        <v>0.02</v>
      </c>
    </row>
    <row r="96" ht="22.5" customHeight="1">
      <c r="A96" s="11" t="s">
        <v>585</v>
      </c>
      <c r="B96" s="12">
        <f t="shared" si="1"/>
        <v>36356117.2</v>
      </c>
      <c r="C96" s="45" t="s">
        <v>586</v>
      </c>
      <c r="D96" s="13" t="s">
        <v>587</v>
      </c>
      <c r="E96" s="6" t="s">
        <v>47</v>
      </c>
      <c r="F96" s="14">
        <f t="shared" si="2"/>
        <v>40395685782</v>
      </c>
      <c r="G96" s="15">
        <v>1111.111111111111</v>
      </c>
      <c r="H96" s="14">
        <v>1.4017302966431116E11</v>
      </c>
      <c r="I96" s="15">
        <f t="shared" si="3"/>
        <v>3855.555556</v>
      </c>
      <c r="J96" s="16">
        <v>74.302</v>
      </c>
      <c r="K96" s="17">
        <v>489302.0</v>
      </c>
      <c r="L96" s="18">
        <f t="shared" si="4"/>
        <v>188920.4808</v>
      </c>
      <c r="M96" s="19">
        <v>0.56</v>
      </c>
      <c r="N96" s="20">
        <v>2.09</v>
      </c>
      <c r="O96" s="21">
        <v>910.0</v>
      </c>
      <c r="P96" s="22" t="s">
        <v>588</v>
      </c>
      <c r="Q96" s="6" t="s">
        <v>589</v>
      </c>
      <c r="R96" s="6" t="s">
        <v>590</v>
      </c>
      <c r="S96" s="23">
        <f t="shared" si="5"/>
        <v>807913715.6</v>
      </c>
      <c r="T96" s="23">
        <f t="shared" si="6"/>
        <v>1211870573</v>
      </c>
      <c r="U96" s="23">
        <f t="shared" si="7"/>
        <v>2803460593</v>
      </c>
      <c r="V96" s="23">
        <f t="shared" si="8"/>
        <v>4205190890</v>
      </c>
      <c r="W96" s="47">
        <v>0.02</v>
      </c>
    </row>
    <row r="97" ht="22.5" customHeight="1">
      <c r="A97" s="11" t="s">
        <v>591</v>
      </c>
      <c r="B97" s="36">
        <f t="shared" si="1"/>
        <v>10233102.88</v>
      </c>
      <c r="C97" s="37" t="s">
        <v>592</v>
      </c>
      <c r="D97" s="37" t="s">
        <v>593</v>
      </c>
      <c r="E97" s="6" t="s">
        <v>84</v>
      </c>
      <c r="F97" s="14">
        <f t="shared" si="2"/>
        <v>37196516818</v>
      </c>
      <c r="G97" s="15">
        <v>3634.9206349206347</v>
      </c>
      <c r="H97" s="14">
        <v>1.0043059540799998E11</v>
      </c>
      <c r="I97" s="15">
        <f t="shared" si="3"/>
        <v>9814.285714</v>
      </c>
      <c r="J97" s="16">
        <v>40.04</v>
      </c>
      <c r="K97" s="17">
        <v>255572.0</v>
      </c>
      <c r="L97" s="18">
        <f t="shared" si="4"/>
        <v>98676.86034</v>
      </c>
      <c r="M97" s="19">
        <v>0.701</v>
      </c>
      <c r="N97" s="20">
        <v>5.58</v>
      </c>
      <c r="O97" s="21">
        <v>79.0</v>
      </c>
      <c r="P97" s="22" t="s">
        <v>594</v>
      </c>
      <c r="Q97" s="6" t="s">
        <v>595</v>
      </c>
      <c r="R97" s="1" t="s">
        <v>596</v>
      </c>
      <c r="S97" s="39">
        <f t="shared" si="5"/>
        <v>743930336.4</v>
      </c>
      <c r="T97" s="39">
        <f t="shared" si="6"/>
        <v>1115895505</v>
      </c>
      <c r="U97" s="39">
        <f t="shared" si="7"/>
        <v>2008611908</v>
      </c>
      <c r="V97" s="39">
        <f t="shared" si="8"/>
        <v>3012917862</v>
      </c>
      <c r="W97" s="49">
        <v>0.02</v>
      </c>
    </row>
    <row r="98" ht="22.5" customHeight="1">
      <c r="A98" s="11" t="s">
        <v>597</v>
      </c>
      <c r="B98" s="12">
        <f t="shared" si="1"/>
        <v>12584519.64</v>
      </c>
      <c r="C98" s="45" t="s">
        <v>598</v>
      </c>
      <c r="D98" s="13" t="s">
        <v>599</v>
      </c>
      <c r="E98" s="6" t="s">
        <v>47</v>
      </c>
      <c r="F98" s="14">
        <f t="shared" si="2"/>
        <v>36555033240</v>
      </c>
      <c r="G98" s="15">
        <v>2904.7619047619046</v>
      </c>
      <c r="H98" s="14">
        <v>1.0125744207479997E11</v>
      </c>
      <c r="I98" s="15">
        <f t="shared" si="3"/>
        <v>8046.190476</v>
      </c>
      <c r="J98" s="16">
        <v>83.16</v>
      </c>
      <c r="K98" s="17">
        <v>151329.0</v>
      </c>
      <c r="L98" s="18">
        <f t="shared" si="4"/>
        <v>58428.42956</v>
      </c>
      <c r="M98" s="19">
        <v>0.691</v>
      </c>
      <c r="N98" s="20">
        <v>4.21</v>
      </c>
      <c r="O98" s="21">
        <v>951.0</v>
      </c>
      <c r="P98" s="22" t="s">
        <v>600</v>
      </c>
      <c r="Q98" s="6" t="s">
        <v>601</v>
      </c>
      <c r="R98" s="6" t="s">
        <v>602</v>
      </c>
      <c r="S98" s="23">
        <f t="shared" si="5"/>
        <v>731100664.8</v>
      </c>
      <c r="T98" s="23">
        <f t="shared" si="6"/>
        <v>1096650997</v>
      </c>
      <c r="U98" s="23">
        <f t="shared" si="7"/>
        <v>2025148841</v>
      </c>
      <c r="V98" s="23">
        <f t="shared" si="8"/>
        <v>3037723262</v>
      </c>
      <c r="W98" s="47">
        <v>0.02</v>
      </c>
    </row>
    <row r="99" ht="22.5" customHeight="1">
      <c r="A99" s="31" t="s">
        <v>603</v>
      </c>
      <c r="B99" s="25">
        <f t="shared" si="1"/>
        <v>5001934.245</v>
      </c>
      <c r="C99" s="27" t="s">
        <v>604</v>
      </c>
      <c r="D99" s="27" t="s">
        <v>605</v>
      </c>
      <c r="E99" s="6" t="s">
        <v>54</v>
      </c>
      <c r="F99" s="14">
        <f t="shared" si="2"/>
        <v>36522059567</v>
      </c>
      <c r="G99" s="15">
        <v>7301.587301587301</v>
      </c>
      <c r="H99" s="14">
        <v>8.2174634025E10</v>
      </c>
      <c r="I99" s="15">
        <f t="shared" si="3"/>
        <v>16428.57143</v>
      </c>
      <c r="J99" s="16">
        <v>41.965</v>
      </c>
      <c r="K99" s="17">
        <v>119193.0</v>
      </c>
      <c r="L99" s="18">
        <f t="shared" si="4"/>
        <v>46020.65569</v>
      </c>
      <c r="M99" s="19">
        <v>0.773</v>
      </c>
      <c r="N99" s="20">
        <v>6.78</v>
      </c>
      <c r="O99" s="21">
        <v>37.0</v>
      </c>
      <c r="P99" s="22" t="s">
        <v>606</v>
      </c>
      <c r="Q99" s="6" t="s">
        <v>607</v>
      </c>
      <c r="R99" s="6" t="s">
        <v>608</v>
      </c>
      <c r="S99" s="29">
        <f t="shared" si="5"/>
        <v>730441191.3</v>
      </c>
      <c r="T99" s="29">
        <f t="shared" si="6"/>
        <v>1095661787</v>
      </c>
      <c r="U99" s="29">
        <f t="shared" si="7"/>
        <v>1643492681</v>
      </c>
      <c r="V99" s="29">
        <f t="shared" si="8"/>
        <v>2465239021</v>
      </c>
      <c r="W99" s="44">
        <v>0.02</v>
      </c>
    </row>
    <row r="100" ht="22.5" customHeight="1">
      <c r="A100" s="11" t="s">
        <v>609</v>
      </c>
      <c r="B100" s="12">
        <f t="shared" si="1"/>
        <v>29421789.86</v>
      </c>
      <c r="C100" s="13" t="s">
        <v>610</v>
      </c>
      <c r="D100" s="13" t="s">
        <v>611</v>
      </c>
      <c r="E100" s="6" t="s">
        <v>47</v>
      </c>
      <c r="F100" s="14">
        <f t="shared" si="2"/>
        <v>35259446581</v>
      </c>
      <c r="G100" s="15">
        <v>1198.4126984126983</v>
      </c>
      <c r="H100" s="14">
        <v>1.3081254681421445E11</v>
      </c>
      <c r="I100" s="15">
        <f t="shared" si="3"/>
        <v>4446.111111</v>
      </c>
      <c r="J100" s="16">
        <v>51.206</v>
      </c>
      <c r="K100" s="17">
        <v>574577.0</v>
      </c>
      <c r="L100" s="18">
        <f t="shared" si="4"/>
        <v>221845.3289</v>
      </c>
      <c r="M100" s="19">
        <v>0.512</v>
      </c>
      <c r="N100" s="20">
        <v>5.62</v>
      </c>
      <c r="O100" s="21">
        <v>932.0</v>
      </c>
      <c r="P100" s="6" t="s">
        <v>612</v>
      </c>
      <c r="Q100" s="6" t="s">
        <v>613</v>
      </c>
      <c r="R100" s="1" t="s">
        <v>614</v>
      </c>
      <c r="S100" s="23">
        <f t="shared" si="5"/>
        <v>705188931.6</v>
      </c>
      <c r="T100" s="23">
        <f t="shared" si="6"/>
        <v>1057783397</v>
      </c>
      <c r="U100" s="23">
        <f t="shared" si="7"/>
        <v>2616250936</v>
      </c>
      <c r="V100" s="23">
        <f t="shared" si="8"/>
        <v>3924376404</v>
      </c>
      <c r="W100" s="47">
        <v>0.02</v>
      </c>
    </row>
    <row r="101" ht="22.5" customHeight="1">
      <c r="A101" s="31" t="s">
        <v>615</v>
      </c>
      <c r="B101" s="36">
        <f t="shared" si="1"/>
        <v>3347590.216</v>
      </c>
      <c r="C101" s="37" t="s">
        <v>616</v>
      </c>
      <c r="D101" s="37" t="s">
        <v>617</v>
      </c>
      <c r="E101" s="6" t="s">
        <v>26</v>
      </c>
      <c r="F101" s="14">
        <f t="shared" si="2"/>
        <v>34937151856</v>
      </c>
      <c r="G101" s="15">
        <v>10436.507936507936</v>
      </c>
      <c r="H101" s="14">
        <v>5.34538423403175E10</v>
      </c>
      <c r="I101" s="15">
        <f t="shared" si="3"/>
        <v>15967.85714</v>
      </c>
      <c r="J101" s="16">
        <v>16.5551</v>
      </c>
      <c r="K101" s="17">
        <v>202209.0</v>
      </c>
      <c r="L101" s="18">
        <f t="shared" si="4"/>
        <v>78073.29932</v>
      </c>
      <c r="M101" s="19">
        <v>0.901</v>
      </c>
      <c r="N101" s="20">
        <v>8.59</v>
      </c>
      <c r="O101" s="21">
        <v>211.0</v>
      </c>
      <c r="P101" s="22" t="s">
        <v>618</v>
      </c>
      <c r="Q101" s="6" t="s">
        <v>619</v>
      </c>
      <c r="R101" s="6" t="s">
        <v>620</v>
      </c>
      <c r="S101" s="39">
        <f t="shared" si="5"/>
        <v>698743037.1</v>
      </c>
      <c r="T101" s="39">
        <f t="shared" si="6"/>
        <v>1048114556</v>
      </c>
      <c r="U101" s="39">
        <f t="shared" si="7"/>
        <v>1069076847</v>
      </c>
      <c r="V101" s="39">
        <f t="shared" si="8"/>
        <v>1603615270</v>
      </c>
      <c r="W101" s="49">
        <v>0.02</v>
      </c>
    </row>
    <row r="102" ht="22.5" customHeight="1">
      <c r="A102" s="11" t="s">
        <v>621</v>
      </c>
      <c r="B102" s="32">
        <f t="shared" si="1"/>
        <v>36478307.46</v>
      </c>
      <c r="C102" s="33" t="s">
        <v>622</v>
      </c>
      <c r="D102" s="33" t="s">
        <v>623</v>
      </c>
      <c r="E102" s="6" t="s">
        <v>40</v>
      </c>
      <c r="F102" s="14">
        <f t="shared" si="2"/>
        <v>33872714074</v>
      </c>
      <c r="G102" s="15">
        <v>928.5714285714286</v>
      </c>
      <c r="H102" s="14">
        <v>1.1076377502347485E11</v>
      </c>
      <c r="I102" s="15">
        <f t="shared" si="3"/>
        <v>3036.428571</v>
      </c>
      <c r="J102" s="16">
        <v>61.9886</v>
      </c>
      <c r="K102" s="17">
        <v>588468.0</v>
      </c>
      <c r="L102" s="18">
        <f t="shared" si="4"/>
        <v>227208.6717</v>
      </c>
      <c r="M102" s="19">
        <v>0.602</v>
      </c>
      <c r="N102" s="20">
        <v>2.05</v>
      </c>
      <c r="O102" s="21">
        <v>906.0</v>
      </c>
      <c r="P102" s="22" t="s">
        <v>48</v>
      </c>
      <c r="Q102" s="6" t="s">
        <v>624</v>
      </c>
      <c r="R102" s="1" t="s">
        <v>625</v>
      </c>
      <c r="S102" s="34">
        <f t="shared" si="5"/>
        <v>677454281.5</v>
      </c>
      <c r="T102" s="34">
        <f t="shared" si="6"/>
        <v>1016181422</v>
      </c>
      <c r="U102" s="34">
        <f t="shared" si="7"/>
        <v>2215275500</v>
      </c>
      <c r="V102" s="34">
        <f t="shared" si="8"/>
        <v>3322913251</v>
      </c>
      <c r="W102" s="50">
        <v>0.02</v>
      </c>
    </row>
    <row r="103" ht="22.5" customHeight="1">
      <c r="A103" s="11" t="s">
        <v>626</v>
      </c>
      <c r="B103" s="25">
        <f t="shared" si="1"/>
        <v>22386665.68</v>
      </c>
      <c r="C103" s="26" t="s">
        <v>627</v>
      </c>
      <c r="D103" s="27" t="s">
        <v>628</v>
      </c>
      <c r="E103" s="6" t="s">
        <v>33</v>
      </c>
      <c r="F103" s="14">
        <f t="shared" si="2"/>
        <v>33846506443</v>
      </c>
      <c r="G103" s="15">
        <v>1511.904761904762</v>
      </c>
      <c r="H103" s="14">
        <v>1.1575505203488086E11</v>
      </c>
      <c r="I103" s="15">
        <f t="shared" si="3"/>
        <v>5170.714286</v>
      </c>
      <c r="J103" s="16">
        <v>45.0358</v>
      </c>
      <c r="K103" s="17">
        <v>497086.0</v>
      </c>
      <c r="L103" s="18">
        <f t="shared" si="4"/>
        <v>191925.8988</v>
      </c>
      <c r="M103" s="19">
        <v>0.568</v>
      </c>
      <c r="N103" s="20">
        <v>1.86</v>
      </c>
      <c r="O103" s="21">
        <v>914.0</v>
      </c>
      <c r="P103" s="22" t="s">
        <v>629</v>
      </c>
      <c r="Q103" s="6" t="s">
        <v>630</v>
      </c>
      <c r="R103" s="6" t="s">
        <v>631</v>
      </c>
      <c r="S103" s="29">
        <f t="shared" si="5"/>
        <v>676930128.9</v>
      </c>
      <c r="T103" s="29">
        <f t="shared" si="6"/>
        <v>1015395193</v>
      </c>
      <c r="U103" s="29">
        <f t="shared" si="7"/>
        <v>2315101041</v>
      </c>
      <c r="V103" s="29">
        <f t="shared" si="8"/>
        <v>3472651561</v>
      </c>
      <c r="W103" s="44">
        <v>0.02</v>
      </c>
    </row>
    <row r="104" ht="22.5" customHeight="1">
      <c r="A104" s="31" t="s">
        <v>632</v>
      </c>
      <c r="B104" s="12">
        <f t="shared" si="1"/>
        <v>30421695.15</v>
      </c>
      <c r="C104" s="13" t="s">
        <v>633</v>
      </c>
      <c r="D104" s="13" t="s">
        <v>634</v>
      </c>
      <c r="E104" s="6" t="s">
        <v>47</v>
      </c>
      <c r="F104" s="14">
        <f t="shared" si="2"/>
        <v>33077557425</v>
      </c>
      <c r="G104" s="15">
        <v>1087.3015873015872</v>
      </c>
      <c r="H104" s="14">
        <v>1.2701782051199998E11</v>
      </c>
      <c r="I104" s="15">
        <f t="shared" si="3"/>
        <v>4175.238095</v>
      </c>
      <c r="J104" s="16">
        <v>65.835</v>
      </c>
      <c r="K104" s="17">
        <v>462090.0</v>
      </c>
      <c r="L104" s="18">
        <f t="shared" si="4"/>
        <v>178413.8732</v>
      </c>
      <c r="M104" s="19">
        <v>0.487</v>
      </c>
      <c r="N104" s="20">
        <v>2.68</v>
      </c>
      <c r="O104" s="21">
        <v>947.0</v>
      </c>
      <c r="P104" s="22" t="s">
        <v>635</v>
      </c>
      <c r="Q104" s="6" t="s">
        <v>636</v>
      </c>
      <c r="R104" s="6" t="s">
        <v>637</v>
      </c>
      <c r="S104" s="23">
        <f t="shared" si="5"/>
        <v>661551148.5</v>
      </c>
      <c r="T104" s="23">
        <f t="shared" si="6"/>
        <v>992326722.8</v>
      </c>
      <c r="U104" s="23">
        <f t="shared" si="7"/>
        <v>2540356410</v>
      </c>
      <c r="V104" s="23">
        <f t="shared" si="8"/>
        <v>3810534615</v>
      </c>
      <c r="W104" s="47">
        <v>0.02</v>
      </c>
    </row>
    <row r="105" ht="22.5" customHeight="1">
      <c r="A105" s="31" t="s">
        <v>638</v>
      </c>
      <c r="B105" s="25">
        <f t="shared" si="1"/>
        <v>4348274.967</v>
      </c>
      <c r="C105" s="27" t="s">
        <v>639</v>
      </c>
      <c r="D105" s="27" t="s">
        <v>640</v>
      </c>
      <c r="E105" s="6" t="s">
        <v>33</v>
      </c>
      <c r="F105" s="14">
        <f t="shared" si="2"/>
        <v>31921859877</v>
      </c>
      <c r="G105" s="15">
        <v>7341.269841269841</v>
      </c>
      <c r="H105" s="14">
        <v>7.66124637042857E10</v>
      </c>
      <c r="I105" s="15">
        <f t="shared" si="3"/>
        <v>17619.04762</v>
      </c>
      <c r="J105" s="16">
        <v>6.543</v>
      </c>
      <c r="K105" s="17">
        <v>664569.0</v>
      </c>
      <c r="L105" s="18">
        <f t="shared" si="4"/>
        <v>256591.42</v>
      </c>
      <c r="M105" s="19">
        <v>0.744</v>
      </c>
      <c r="N105" s="20">
        <v>9.76</v>
      </c>
      <c r="O105" s="21">
        <v>56.0</v>
      </c>
      <c r="P105" s="22" t="s">
        <v>641</v>
      </c>
      <c r="Q105" s="6" t="s">
        <v>642</v>
      </c>
      <c r="R105" s="6" t="s">
        <v>638</v>
      </c>
      <c r="S105" s="29">
        <f t="shared" si="5"/>
        <v>638437197.5</v>
      </c>
      <c r="T105" s="29">
        <f t="shared" si="6"/>
        <v>957655796.3</v>
      </c>
      <c r="U105" s="29">
        <f t="shared" si="7"/>
        <v>1532249274</v>
      </c>
      <c r="V105" s="29">
        <f t="shared" si="8"/>
        <v>2298373911</v>
      </c>
      <c r="W105" s="44">
        <v>0.02</v>
      </c>
    </row>
    <row r="106" ht="22.5" customHeight="1">
      <c r="A106" s="11" t="s">
        <v>643</v>
      </c>
      <c r="B106" s="32">
        <f t="shared" si="1"/>
        <v>11838200.58</v>
      </c>
      <c r="C106" s="42" t="s">
        <v>644</v>
      </c>
      <c r="D106" s="33" t="s">
        <v>645</v>
      </c>
      <c r="E106" s="6" t="s">
        <v>33</v>
      </c>
      <c r="F106" s="14">
        <f t="shared" si="2"/>
        <v>31521557894</v>
      </c>
      <c r="G106" s="15">
        <v>2662.6984126984125</v>
      </c>
      <c r="H106" s="14">
        <v>9.298859578603572E10</v>
      </c>
      <c r="I106" s="15">
        <f t="shared" si="3"/>
        <v>7854.960317</v>
      </c>
      <c r="J106" s="16">
        <v>29.2536</v>
      </c>
      <c r="K106" s="17">
        <v>404675.0</v>
      </c>
      <c r="L106" s="18">
        <f t="shared" si="4"/>
        <v>156245.8269</v>
      </c>
      <c r="M106" s="19">
        <v>0.657</v>
      </c>
      <c r="N106" s="20">
        <v>4.77</v>
      </c>
      <c r="O106" s="21">
        <v>519.0</v>
      </c>
      <c r="P106" s="22" t="s">
        <v>646</v>
      </c>
      <c r="Q106" s="6" t="s">
        <v>647</v>
      </c>
      <c r="R106" s="6" t="s">
        <v>648</v>
      </c>
      <c r="S106" s="34">
        <f t="shared" si="5"/>
        <v>630431157.9</v>
      </c>
      <c r="T106" s="34">
        <f t="shared" si="6"/>
        <v>945646736.8</v>
      </c>
      <c r="U106" s="34">
        <f t="shared" si="7"/>
        <v>1859771916</v>
      </c>
      <c r="V106" s="34">
        <f t="shared" si="8"/>
        <v>2789657874</v>
      </c>
      <c r="W106" s="50">
        <v>0.02</v>
      </c>
    </row>
    <row r="107" ht="22.5" customHeight="1">
      <c r="A107" s="11" t="s">
        <v>649</v>
      </c>
      <c r="B107" s="36">
        <f t="shared" si="1"/>
        <v>2162676.91</v>
      </c>
      <c r="C107" s="48" t="s">
        <v>650</v>
      </c>
      <c r="D107" s="37" t="s">
        <v>651</v>
      </c>
      <c r="E107" s="6" t="s">
        <v>40</v>
      </c>
      <c r="F107" s="14">
        <f t="shared" si="2"/>
        <v>28578230591</v>
      </c>
      <c r="G107" s="15">
        <v>13214.285714285714</v>
      </c>
      <c r="H107" s="28">
        <v>4.40119035345E10</v>
      </c>
      <c r="I107" s="15">
        <f t="shared" si="3"/>
        <v>20350.66049</v>
      </c>
      <c r="J107" s="16">
        <v>11.1652</v>
      </c>
      <c r="K107" s="17">
        <v>193698.0</v>
      </c>
      <c r="L107" s="18">
        <f t="shared" si="4"/>
        <v>74787.1852</v>
      </c>
      <c r="M107" s="19">
        <v>0.843</v>
      </c>
      <c r="N107" s="20">
        <v>3.1</v>
      </c>
      <c r="O107" s="21">
        <v>916.0</v>
      </c>
      <c r="P107" s="22" t="s">
        <v>652</v>
      </c>
      <c r="Q107" s="6" t="s">
        <v>653</v>
      </c>
      <c r="R107" s="6" t="s">
        <v>654</v>
      </c>
      <c r="S107" s="39">
        <f t="shared" si="5"/>
        <v>571564611.8</v>
      </c>
      <c r="T107" s="39">
        <f t="shared" si="6"/>
        <v>857346917.7</v>
      </c>
      <c r="U107" s="39">
        <f t="shared" si="7"/>
        <v>880238070.7</v>
      </c>
      <c r="V107" s="39">
        <f t="shared" si="8"/>
        <v>1320357106</v>
      </c>
      <c r="W107" s="49">
        <v>0.02</v>
      </c>
    </row>
    <row r="108" ht="22.5" customHeight="1">
      <c r="A108" s="41" t="s">
        <v>655</v>
      </c>
      <c r="B108" s="32">
        <f t="shared" si="1"/>
        <v>9819272.991</v>
      </c>
      <c r="C108" s="33" t="s">
        <v>656</v>
      </c>
      <c r="D108" s="33" t="s">
        <v>657</v>
      </c>
      <c r="E108" s="6" t="s">
        <v>54</v>
      </c>
      <c r="F108" s="14">
        <f t="shared" si="2"/>
        <v>28444719379</v>
      </c>
      <c r="G108" s="15">
        <v>2896.8253968253966</v>
      </c>
      <c r="H108" s="14">
        <v>7.338737599702142E10</v>
      </c>
      <c r="I108" s="15">
        <f t="shared" si="3"/>
        <v>7473.809524</v>
      </c>
      <c r="J108" s="16">
        <v>185.161</v>
      </c>
      <c r="K108" s="17">
        <v>53031.0</v>
      </c>
      <c r="L108" s="18">
        <f t="shared" si="4"/>
        <v>20475.37516</v>
      </c>
      <c r="M108" s="19">
        <v>0.729</v>
      </c>
      <c r="N108" s="20">
        <v>5.06</v>
      </c>
      <c r="O108" s="21">
        <v>821.0</v>
      </c>
      <c r="P108" s="22" t="s">
        <v>658</v>
      </c>
      <c r="Q108" s="6" t="s">
        <v>659</v>
      </c>
      <c r="R108" s="6" t="s">
        <v>655</v>
      </c>
      <c r="S108" s="34">
        <f t="shared" si="5"/>
        <v>568894387.6</v>
      </c>
      <c r="T108" s="34">
        <f t="shared" si="6"/>
        <v>853341581.4</v>
      </c>
      <c r="U108" s="34">
        <f t="shared" si="7"/>
        <v>1467747520</v>
      </c>
      <c r="V108" s="34">
        <f t="shared" si="8"/>
        <v>2201621280</v>
      </c>
      <c r="W108" s="50">
        <v>0.02</v>
      </c>
    </row>
    <row r="109" ht="22.5" customHeight="1">
      <c r="A109" s="11" t="s">
        <v>660</v>
      </c>
      <c r="B109" s="25">
        <f t="shared" si="1"/>
        <v>2051969.92</v>
      </c>
      <c r="C109" s="27" t="s">
        <v>661</v>
      </c>
      <c r="D109" s="27" t="s">
        <v>662</v>
      </c>
      <c r="E109" s="6" t="s">
        <v>40</v>
      </c>
      <c r="F109" s="14">
        <f t="shared" si="2"/>
        <v>26789607289</v>
      </c>
      <c r="G109" s="15">
        <v>13055.555555555555</v>
      </c>
      <c r="H109" s="14">
        <v>3.1343840527999992E10</v>
      </c>
      <c r="I109" s="15">
        <f t="shared" si="3"/>
        <v>15275</v>
      </c>
      <c r="J109" s="16">
        <v>5.005</v>
      </c>
      <c r="K109" s="17">
        <v>409984.0</v>
      </c>
      <c r="L109" s="18">
        <f t="shared" si="4"/>
        <v>158295.6424</v>
      </c>
      <c r="M109" s="19">
        <v>0.841</v>
      </c>
      <c r="N109" s="20">
        <v>2.76</v>
      </c>
      <c r="O109" s="21">
        <v>914.0</v>
      </c>
      <c r="P109" s="22" t="s">
        <v>663</v>
      </c>
      <c r="Q109" s="6" t="s">
        <v>664</v>
      </c>
      <c r="R109" s="6" t="s">
        <v>665</v>
      </c>
      <c r="S109" s="29">
        <f t="shared" si="5"/>
        <v>535792145.8</v>
      </c>
      <c r="T109" s="29">
        <f t="shared" si="6"/>
        <v>803688218.7</v>
      </c>
      <c r="U109" s="29">
        <f t="shared" si="7"/>
        <v>626876810.6</v>
      </c>
      <c r="V109" s="29">
        <f t="shared" si="8"/>
        <v>940315215.8</v>
      </c>
      <c r="W109" s="44">
        <v>0.02</v>
      </c>
    </row>
    <row r="110" ht="22.5" customHeight="1">
      <c r="A110" s="31" t="s">
        <v>666</v>
      </c>
      <c r="B110" s="12">
        <f t="shared" si="1"/>
        <v>7181169.024</v>
      </c>
      <c r="C110" s="13" t="s">
        <v>667</v>
      </c>
      <c r="D110" s="13" t="s">
        <v>668</v>
      </c>
      <c r="E110" s="6" t="s">
        <v>47</v>
      </c>
      <c r="F110" s="14">
        <f t="shared" si="2"/>
        <v>25362065204</v>
      </c>
      <c r="G110" s="15">
        <v>3531.746031746032</v>
      </c>
      <c r="H110" s="14">
        <v>8.44556771286857E10</v>
      </c>
      <c r="I110" s="15">
        <f t="shared" si="3"/>
        <v>11760.71429</v>
      </c>
      <c r="J110" s="16">
        <v>71.996</v>
      </c>
      <c r="K110" s="17">
        <v>99744.0</v>
      </c>
      <c r="L110" s="18">
        <f t="shared" si="4"/>
        <v>38511.35789</v>
      </c>
      <c r="M110" s="19">
        <v>0.576</v>
      </c>
      <c r="N110" s="20">
        <v>6.43</v>
      </c>
      <c r="O110" s="21">
        <v>943.0</v>
      </c>
      <c r="P110" s="22" t="s">
        <v>669</v>
      </c>
      <c r="Q110" s="6" t="s">
        <v>670</v>
      </c>
      <c r="R110" s="1" t="s">
        <v>671</v>
      </c>
      <c r="S110" s="23">
        <f t="shared" si="5"/>
        <v>507241304.1</v>
      </c>
      <c r="T110" s="23">
        <f t="shared" si="6"/>
        <v>760861956.1</v>
      </c>
      <c r="U110" s="23">
        <f t="shared" si="7"/>
        <v>1689113543</v>
      </c>
      <c r="V110" s="23">
        <f t="shared" si="8"/>
        <v>2533670314</v>
      </c>
      <c r="W110" s="47">
        <v>0.02</v>
      </c>
    </row>
    <row r="111" ht="22.5" customHeight="1">
      <c r="A111" s="31" t="s">
        <v>672</v>
      </c>
      <c r="B111" s="25">
        <f t="shared" si="1"/>
        <v>16057397.35</v>
      </c>
      <c r="C111" s="56" t="s">
        <v>673</v>
      </c>
      <c r="D111" s="53" t="s">
        <v>674</v>
      </c>
      <c r="E111" s="6" t="s">
        <v>40</v>
      </c>
      <c r="F111" s="14">
        <f t="shared" si="2"/>
        <v>25041893482</v>
      </c>
      <c r="G111" s="15">
        <v>1559.5238095238094</v>
      </c>
      <c r="H111" s="14">
        <v>7.512568044582857E10</v>
      </c>
      <c r="I111" s="15">
        <f t="shared" si="3"/>
        <v>4678.571429</v>
      </c>
      <c r="J111" s="16">
        <v>66.6072</v>
      </c>
      <c r="K111" s="17">
        <v>241076.0</v>
      </c>
      <c r="L111" s="18">
        <f t="shared" si="4"/>
        <v>93079.92575</v>
      </c>
      <c r="M111" s="19">
        <v>0.652</v>
      </c>
      <c r="N111" s="20">
        <v>1.14</v>
      </c>
      <c r="O111" s="21">
        <v>927.0</v>
      </c>
      <c r="P111" s="22" t="s">
        <v>675</v>
      </c>
      <c r="Q111" s="6" t="s">
        <v>676</v>
      </c>
      <c r="R111" s="6" t="s">
        <v>677</v>
      </c>
      <c r="S111" s="29">
        <f t="shared" si="5"/>
        <v>500837869.6</v>
      </c>
      <c r="T111" s="29">
        <f t="shared" si="6"/>
        <v>751256804.5</v>
      </c>
      <c r="U111" s="29">
        <f t="shared" si="7"/>
        <v>1502513609</v>
      </c>
      <c r="V111" s="29">
        <f t="shared" si="8"/>
        <v>2253770413</v>
      </c>
      <c r="W111" s="44">
        <v>0.02</v>
      </c>
    </row>
    <row r="112" ht="22.5" customHeight="1">
      <c r="A112" s="11" t="s">
        <v>678</v>
      </c>
      <c r="B112" s="32">
        <f t="shared" si="1"/>
        <v>17339111.02</v>
      </c>
      <c r="C112" s="42" t="s">
        <v>679</v>
      </c>
      <c r="D112" s="33" t="s">
        <v>680</v>
      </c>
      <c r="E112" s="6" t="s">
        <v>47</v>
      </c>
      <c r="F112" s="14">
        <f t="shared" si="2"/>
        <v>23187620689</v>
      </c>
      <c r="G112" s="15">
        <v>1337.3015873015872</v>
      </c>
      <c r="H112" s="14">
        <v>7.906978655100555E10</v>
      </c>
      <c r="I112" s="15">
        <f t="shared" si="3"/>
        <v>4560.198413</v>
      </c>
      <c r="J112" s="16">
        <v>44.66</v>
      </c>
      <c r="K112" s="17">
        <v>388247.0</v>
      </c>
      <c r="L112" s="18">
        <f t="shared" si="4"/>
        <v>149902.9432</v>
      </c>
      <c r="M112" s="19">
        <v>0.572</v>
      </c>
      <c r="N112" s="20">
        <v>4.39</v>
      </c>
      <c r="O112" s="21">
        <v>946.0</v>
      </c>
      <c r="P112" s="22" t="s">
        <v>681</v>
      </c>
      <c r="Q112" s="6" t="s">
        <v>682</v>
      </c>
      <c r="R112" s="6" t="s">
        <v>683</v>
      </c>
      <c r="S112" s="34">
        <f t="shared" si="5"/>
        <v>463752413.8</v>
      </c>
      <c r="T112" s="34">
        <f t="shared" si="6"/>
        <v>695628620.7</v>
      </c>
      <c r="U112" s="34">
        <f t="shared" si="7"/>
        <v>1581395731</v>
      </c>
      <c r="V112" s="34">
        <f t="shared" si="8"/>
        <v>2372093597</v>
      </c>
      <c r="W112" s="50">
        <v>0.02</v>
      </c>
    </row>
    <row r="113" ht="22.5" customHeight="1">
      <c r="A113" s="11" t="s">
        <v>684</v>
      </c>
      <c r="B113" s="25">
        <f t="shared" si="1"/>
        <v>6257139.796</v>
      </c>
      <c r="C113" s="26" t="s">
        <v>685</v>
      </c>
      <c r="D113" s="27" t="s">
        <v>686</v>
      </c>
      <c r="E113" s="6" t="s">
        <v>33</v>
      </c>
      <c r="F113" s="14">
        <f t="shared" si="2"/>
        <v>22868356161</v>
      </c>
      <c r="G113" s="15">
        <v>3654.7619047619046</v>
      </c>
      <c r="H113" s="14">
        <v>5.557010547038529E10</v>
      </c>
      <c r="I113" s="15">
        <f t="shared" si="3"/>
        <v>8881.071429</v>
      </c>
      <c r="J113" s="16">
        <v>11.5462</v>
      </c>
      <c r="K113" s="17">
        <v>541922.0</v>
      </c>
      <c r="L113" s="18">
        <f t="shared" si="4"/>
        <v>209237.168</v>
      </c>
      <c r="M113" s="19">
        <v>0.624</v>
      </c>
      <c r="N113" s="20">
        <v>2.04</v>
      </c>
      <c r="O113" s="21">
        <v>513.0</v>
      </c>
      <c r="P113" s="22" t="s">
        <v>687</v>
      </c>
      <c r="Q113" s="6" t="s">
        <v>688</v>
      </c>
      <c r="R113" s="6" t="s">
        <v>689</v>
      </c>
      <c r="S113" s="29">
        <f t="shared" si="5"/>
        <v>457367123.2</v>
      </c>
      <c r="T113" s="29">
        <f t="shared" si="6"/>
        <v>686050684.8</v>
      </c>
      <c r="U113" s="29">
        <f t="shared" si="7"/>
        <v>1111402109</v>
      </c>
      <c r="V113" s="29">
        <f t="shared" si="8"/>
        <v>1667103164</v>
      </c>
      <c r="W113" s="44">
        <v>0.02</v>
      </c>
    </row>
    <row r="114" ht="22.5" customHeight="1">
      <c r="A114" s="11" t="s">
        <v>690</v>
      </c>
      <c r="B114" s="12">
        <f t="shared" si="1"/>
        <v>11247659.63</v>
      </c>
      <c r="C114" s="45" t="s">
        <v>691</v>
      </c>
      <c r="D114" s="13" t="s">
        <v>692</v>
      </c>
      <c r="E114" s="6" t="s">
        <v>40</v>
      </c>
      <c r="F114" s="14">
        <f t="shared" si="2"/>
        <v>20040472905</v>
      </c>
      <c r="G114" s="15">
        <v>1781.7460317460318</v>
      </c>
      <c r="H114" s="14">
        <v>6.092303763028559E10</v>
      </c>
      <c r="I114" s="15">
        <f t="shared" si="3"/>
        <v>5416.507937</v>
      </c>
      <c r="J114" s="16">
        <v>11.9353</v>
      </c>
      <c r="K114" s="17">
        <v>942386.0</v>
      </c>
      <c r="L114" s="18">
        <f t="shared" si="4"/>
        <v>363857.1194</v>
      </c>
      <c r="M114" s="19">
        <v>0.643</v>
      </c>
      <c r="N114" s="20">
        <v>3.65</v>
      </c>
      <c r="O114" s="21">
        <v>928.0</v>
      </c>
      <c r="P114" s="22" t="s">
        <v>693</v>
      </c>
      <c r="Q114" s="6" t="s">
        <v>694</v>
      </c>
      <c r="R114" s="6" t="s">
        <v>695</v>
      </c>
      <c r="S114" s="23">
        <f t="shared" si="5"/>
        <v>400809458.1</v>
      </c>
      <c r="T114" s="23">
        <f t="shared" si="6"/>
        <v>601214187.1</v>
      </c>
      <c r="U114" s="23">
        <f t="shared" si="7"/>
        <v>1218460753</v>
      </c>
      <c r="V114" s="23">
        <f t="shared" si="8"/>
        <v>1827691129</v>
      </c>
      <c r="W114" s="47">
        <v>0.02</v>
      </c>
    </row>
    <row r="115" ht="22.5" customHeight="1">
      <c r="A115" s="11" t="s">
        <v>696</v>
      </c>
      <c r="B115" s="25">
        <f t="shared" si="1"/>
        <v>45062542.28</v>
      </c>
      <c r="C115" s="26" t="s">
        <v>697</v>
      </c>
      <c r="D115" s="27" t="s">
        <v>698</v>
      </c>
      <c r="E115" s="6" t="s">
        <v>47</v>
      </c>
      <c r="F115" s="14">
        <f t="shared" si="2"/>
        <v>10550357120</v>
      </c>
      <c r="G115" s="15">
        <v>234.12698412698413</v>
      </c>
      <c r="H115" s="14">
        <v>3.977484634305825E10</v>
      </c>
      <c r="I115" s="15">
        <f t="shared" si="3"/>
        <v>882.6587302</v>
      </c>
      <c r="J115" s="16">
        <v>25.796</v>
      </c>
      <c r="K115" s="17">
        <v>1746881.0</v>
      </c>
      <c r="L115" s="18">
        <f t="shared" si="4"/>
        <v>674474.2479</v>
      </c>
      <c r="M115" s="19">
        <v>0.505</v>
      </c>
      <c r="N115" s="20">
        <v>4.96</v>
      </c>
      <c r="O115" s="21">
        <v>950.0</v>
      </c>
      <c r="P115" s="22" t="s">
        <v>699</v>
      </c>
      <c r="Q115" s="6" t="s">
        <v>700</v>
      </c>
      <c r="R115" s="1" t="s">
        <v>701</v>
      </c>
      <c r="S115" s="29">
        <f t="shared" si="5"/>
        <v>392473284.9</v>
      </c>
      <c r="T115" s="29">
        <f t="shared" si="6"/>
        <v>588709927.3</v>
      </c>
      <c r="U115" s="29">
        <f t="shared" si="7"/>
        <v>1479624284</v>
      </c>
      <c r="V115" s="29">
        <f t="shared" si="8"/>
        <v>2219436426</v>
      </c>
      <c r="W115" s="44">
        <v>0.0372</v>
      </c>
    </row>
    <row r="116" ht="22.5" customHeight="1">
      <c r="A116" s="11" t="s">
        <v>702</v>
      </c>
      <c r="B116" s="32">
        <f t="shared" si="1"/>
        <v>1158762.78</v>
      </c>
      <c r="C116" s="33" t="s">
        <v>703</v>
      </c>
      <c r="D116" s="33" t="s">
        <v>704</v>
      </c>
      <c r="E116" s="6" t="s">
        <v>26</v>
      </c>
      <c r="F116" s="14">
        <f t="shared" si="2"/>
        <v>19450660950</v>
      </c>
      <c r="G116" s="15">
        <v>16785.714285714286</v>
      </c>
      <c r="H116" s="14">
        <v>2.54803658445E10</v>
      </c>
      <c r="I116" s="15">
        <f t="shared" si="3"/>
        <v>21989.28571</v>
      </c>
      <c r="J116" s="16">
        <v>175.172</v>
      </c>
      <c r="K116" s="17">
        <v>6615.0</v>
      </c>
      <c r="L116" s="18">
        <f t="shared" si="4"/>
        <v>2554.06473</v>
      </c>
      <c r="M116" s="19">
        <v>0.914</v>
      </c>
      <c r="N116" s="20">
        <v>8.98</v>
      </c>
      <c r="O116" s="21">
        <v>243.0</v>
      </c>
      <c r="P116" s="22" t="s">
        <v>705</v>
      </c>
      <c r="Q116" s="6" t="s">
        <v>706</v>
      </c>
      <c r="R116" s="6" t="s">
        <v>707</v>
      </c>
      <c r="S116" s="34">
        <f t="shared" si="5"/>
        <v>389013219</v>
      </c>
      <c r="T116" s="34">
        <f t="shared" si="6"/>
        <v>583519828.5</v>
      </c>
      <c r="U116" s="34">
        <f t="shared" si="7"/>
        <v>509607316.9</v>
      </c>
      <c r="V116" s="34">
        <f t="shared" si="8"/>
        <v>764410975.3</v>
      </c>
      <c r="W116" s="50">
        <v>0.02</v>
      </c>
    </row>
    <row r="117" ht="22.5" customHeight="1">
      <c r="A117" s="11" t="s">
        <v>708</v>
      </c>
      <c r="B117" s="25">
        <f t="shared" si="1"/>
        <v>3146472.56</v>
      </c>
      <c r="C117" s="26" t="s">
        <v>709</v>
      </c>
      <c r="D117" s="27" t="s">
        <v>710</v>
      </c>
      <c r="E117" s="6" t="s">
        <v>121</v>
      </c>
      <c r="F117" s="14">
        <f t="shared" si="2"/>
        <v>19228443422</v>
      </c>
      <c r="G117" s="15">
        <v>6111.111111111111</v>
      </c>
      <c r="H117" s="14">
        <v>4.095658448933333E10</v>
      </c>
      <c r="I117" s="15">
        <f t="shared" si="3"/>
        <v>13016.66667</v>
      </c>
      <c r="J117" s="16">
        <v>1.54</v>
      </c>
      <c r="K117" s="17">
        <v>2043164.0</v>
      </c>
      <c r="L117" s="18">
        <f t="shared" si="4"/>
        <v>788869.7067</v>
      </c>
      <c r="M117" s="19">
        <v>0.803</v>
      </c>
      <c r="N117" s="20">
        <v>5.07</v>
      </c>
      <c r="O117" s="21">
        <v>68.0</v>
      </c>
      <c r="P117" s="22" t="s">
        <v>711</v>
      </c>
      <c r="Q117" s="6" t="s">
        <v>712</v>
      </c>
      <c r="R117" s="1" t="s">
        <v>713</v>
      </c>
      <c r="S117" s="29">
        <f t="shared" si="5"/>
        <v>384568868.4</v>
      </c>
      <c r="T117" s="29">
        <f t="shared" si="6"/>
        <v>576853302.7</v>
      </c>
      <c r="U117" s="29">
        <f t="shared" si="7"/>
        <v>819131689.8</v>
      </c>
      <c r="V117" s="29">
        <f t="shared" si="8"/>
        <v>1228697535</v>
      </c>
      <c r="W117" s="44">
        <v>0.02</v>
      </c>
    </row>
    <row r="118" ht="22.5" customHeight="1">
      <c r="A118" s="31" t="s">
        <v>714</v>
      </c>
      <c r="B118" s="32">
        <f t="shared" si="1"/>
        <v>1300163.451</v>
      </c>
      <c r="C118" s="33" t="s">
        <v>715</v>
      </c>
      <c r="D118" s="33" t="s">
        <v>716</v>
      </c>
      <c r="E118" s="6" t="s">
        <v>26</v>
      </c>
      <c r="F118" s="14">
        <f t="shared" si="2"/>
        <v>18934920101</v>
      </c>
      <c r="G118" s="15">
        <v>14563.492063492064</v>
      </c>
      <c r="H118" s="14">
        <v>2.650888814187222E10</v>
      </c>
      <c r="I118" s="15">
        <f t="shared" si="3"/>
        <v>20388.88889</v>
      </c>
      <c r="J118" s="16">
        <v>38.1179</v>
      </c>
      <c r="K118" s="17">
        <v>34109.0</v>
      </c>
      <c r="L118" s="18">
        <f t="shared" si="4"/>
        <v>13169.55312</v>
      </c>
      <c r="M118" s="19">
        <v>0.907</v>
      </c>
      <c r="N118" s="20">
        <v>7.85</v>
      </c>
      <c r="O118" s="21">
        <v>215.0</v>
      </c>
      <c r="P118" s="22" t="s">
        <v>717</v>
      </c>
      <c r="Q118" s="6" t="s">
        <v>718</v>
      </c>
      <c r="R118" s="6" t="s">
        <v>719</v>
      </c>
      <c r="S118" s="34">
        <f t="shared" si="5"/>
        <v>378698402</v>
      </c>
      <c r="T118" s="34">
        <f t="shared" si="6"/>
        <v>568047603</v>
      </c>
      <c r="U118" s="34">
        <f t="shared" si="7"/>
        <v>530177762.8</v>
      </c>
      <c r="V118" s="34">
        <f t="shared" si="8"/>
        <v>795266644.3</v>
      </c>
      <c r="W118" s="50">
        <v>0.02</v>
      </c>
    </row>
    <row r="119" ht="22.5" customHeight="1">
      <c r="A119" s="11" t="s">
        <v>720</v>
      </c>
      <c r="B119" s="25">
        <f t="shared" si="1"/>
        <v>2170549.55</v>
      </c>
      <c r="C119" s="26" t="s">
        <v>721</v>
      </c>
      <c r="D119" s="27" t="s">
        <v>722</v>
      </c>
      <c r="E119" s="6" t="s">
        <v>26</v>
      </c>
      <c r="F119" s="14">
        <f t="shared" si="2"/>
        <v>18087912918</v>
      </c>
      <c r="G119" s="15">
        <v>8333.333333333334</v>
      </c>
      <c r="H119" s="14">
        <v>3.0387693701400005E10</v>
      </c>
      <c r="I119" s="15">
        <f t="shared" si="3"/>
        <v>14000</v>
      </c>
      <c r="J119" s="16">
        <v>52.3617</v>
      </c>
      <c r="K119" s="17">
        <v>41453.0</v>
      </c>
      <c r="L119" s="18">
        <f t="shared" si="4"/>
        <v>16005.08621</v>
      </c>
      <c r="M119" s="19">
        <v>0.883</v>
      </c>
      <c r="N119" s="20">
        <v>6.18</v>
      </c>
      <c r="O119" s="21">
        <v>242.0</v>
      </c>
      <c r="P119" s="6" t="s">
        <v>723</v>
      </c>
      <c r="Q119" s="6" t="s">
        <v>724</v>
      </c>
      <c r="R119" s="6" t="s">
        <v>725</v>
      </c>
      <c r="S119" s="29">
        <f t="shared" si="5"/>
        <v>361758258.4</v>
      </c>
      <c r="T119" s="29">
        <f t="shared" si="6"/>
        <v>542637387.5</v>
      </c>
      <c r="U119" s="29">
        <f t="shared" si="7"/>
        <v>607753874</v>
      </c>
      <c r="V119" s="29">
        <f t="shared" si="8"/>
        <v>911630811</v>
      </c>
      <c r="W119" s="44">
        <v>0.02</v>
      </c>
    </row>
    <row r="120" ht="22.5" customHeight="1">
      <c r="A120" s="31" t="s">
        <v>726</v>
      </c>
      <c r="B120" s="32">
        <f t="shared" si="1"/>
        <v>730202.55</v>
      </c>
      <c r="C120" s="42" t="s">
        <v>727</v>
      </c>
      <c r="D120" s="33" t="s">
        <v>728</v>
      </c>
      <c r="E120" s="6" t="s">
        <v>121</v>
      </c>
      <c r="F120" s="14">
        <f t="shared" si="2"/>
        <v>17965300833</v>
      </c>
      <c r="G120" s="15">
        <v>24603.174603174604</v>
      </c>
      <c r="H120" s="14">
        <v>2.1917667016666664E10</v>
      </c>
      <c r="I120" s="15">
        <f t="shared" si="3"/>
        <v>30015.87302</v>
      </c>
      <c r="J120" s="16">
        <v>220.605</v>
      </c>
      <c r="K120" s="17">
        <v>3310.0</v>
      </c>
      <c r="L120" s="18">
        <f t="shared" si="4"/>
        <v>1277.99762</v>
      </c>
      <c r="M120" s="19">
        <v>0.892</v>
      </c>
      <c r="N120" s="20">
        <v>5.68</v>
      </c>
      <c r="O120" s="21">
        <v>614.0</v>
      </c>
      <c r="P120" s="22" t="s">
        <v>729</v>
      </c>
      <c r="Q120" s="6" t="s">
        <v>730</v>
      </c>
      <c r="R120" s="6" t="s">
        <v>731</v>
      </c>
      <c r="S120" s="34">
        <f t="shared" si="5"/>
        <v>359306016.7</v>
      </c>
      <c r="T120" s="34">
        <f t="shared" si="6"/>
        <v>538959025</v>
      </c>
      <c r="U120" s="34">
        <f t="shared" si="7"/>
        <v>438353340.3</v>
      </c>
      <c r="V120" s="34">
        <f t="shared" si="8"/>
        <v>657530010.5</v>
      </c>
      <c r="W120" s="50">
        <v>0.02</v>
      </c>
    </row>
    <row r="121" ht="22.5" customHeight="1">
      <c r="A121" s="11" t="s">
        <v>732</v>
      </c>
      <c r="B121" s="36">
        <f t="shared" si="1"/>
        <v>31948027.15</v>
      </c>
      <c r="C121" s="48" t="s">
        <v>733</v>
      </c>
      <c r="D121" s="37" t="s">
        <v>734</v>
      </c>
      <c r="E121" s="6" t="s">
        <v>33</v>
      </c>
      <c r="F121" s="14">
        <f t="shared" si="2"/>
        <v>15720457803</v>
      </c>
      <c r="G121" s="15">
        <v>492.06349206349205</v>
      </c>
      <c r="H121" s="14">
        <v>5.612203435823434E10</v>
      </c>
      <c r="I121" s="15">
        <f t="shared" si="3"/>
        <v>1756.666667</v>
      </c>
      <c r="J121" s="16">
        <v>64.6589</v>
      </c>
      <c r="K121" s="17">
        <v>494101.0</v>
      </c>
      <c r="L121" s="18">
        <f t="shared" si="4"/>
        <v>190773.3843</v>
      </c>
      <c r="M121" s="19">
        <v>0.543</v>
      </c>
      <c r="N121" s="20">
        <v>1.53</v>
      </c>
      <c r="O121" s="21">
        <v>518.0</v>
      </c>
      <c r="P121" s="22" t="s">
        <v>735</v>
      </c>
      <c r="Q121" s="6" t="s">
        <v>736</v>
      </c>
      <c r="R121" s="6" t="s">
        <v>737</v>
      </c>
      <c r="S121" s="39">
        <f t="shared" si="5"/>
        <v>314409156.1</v>
      </c>
      <c r="T121" s="39">
        <f t="shared" si="6"/>
        <v>471613734.1</v>
      </c>
      <c r="U121" s="39">
        <f t="shared" si="7"/>
        <v>1122440687</v>
      </c>
      <c r="V121" s="39">
        <f t="shared" si="8"/>
        <v>1683661031</v>
      </c>
      <c r="W121" s="49">
        <v>0.02</v>
      </c>
    </row>
    <row r="122" ht="22.5" customHeight="1">
      <c r="A122" s="11" t="s">
        <v>738</v>
      </c>
      <c r="B122" s="12">
        <f t="shared" si="1"/>
        <v>1638021</v>
      </c>
      <c r="C122" s="45" t="s">
        <v>739</v>
      </c>
      <c r="D122" s="13" t="s">
        <v>740</v>
      </c>
      <c r="E122" s="6" t="s">
        <v>84</v>
      </c>
      <c r="F122" s="14">
        <f t="shared" si="2"/>
        <v>15405197500</v>
      </c>
      <c r="G122" s="15">
        <v>9404.761904761905</v>
      </c>
      <c r="H122" s="28">
        <v>2.912920165E10</v>
      </c>
      <c r="I122" s="15">
        <f t="shared" si="3"/>
        <v>17783.1674</v>
      </c>
      <c r="J122" s="16">
        <v>107.8</v>
      </c>
      <c r="K122" s="17">
        <v>15195.0</v>
      </c>
      <c r="L122" s="18">
        <f t="shared" si="4"/>
        <v>5866.81989</v>
      </c>
      <c r="M122" s="19">
        <v>0.705</v>
      </c>
      <c r="N122" s="20">
        <v>4.09</v>
      </c>
      <c r="O122" s="21">
        <v>751.0</v>
      </c>
      <c r="P122" s="22" t="s">
        <v>741</v>
      </c>
      <c r="Q122" s="6" t="s">
        <v>742</v>
      </c>
      <c r="R122" s="1" t="s">
        <v>743</v>
      </c>
      <c r="S122" s="23">
        <f t="shared" si="5"/>
        <v>308103950</v>
      </c>
      <c r="T122" s="23">
        <f t="shared" si="6"/>
        <v>462155925</v>
      </c>
      <c r="U122" s="23">
        <f t="shared" si="7"/>
        <v>582584033</v>
      </c>
      <c r="V122" s="23">
        <f t="shared" si="8"/>
        <v>873876049.5</v>
      </c>
      <c r="W122" s="47">
        <v>0.02</v>
      </c>
    </row>
    <row r="123" ht="22.5" customHeight="1">
      <c r="A123" s="54" t="s">
        <v>744</v>
      </c>
      <c r="B123" s="36">
        <f t="shared" si="1"/>
        <v>820937.425</v>
      </c>
      <c r="C123" s="37" t="s">
        <v>745</v>
      </c>
      <c r="D123" s="37" t="s">
        <v>746</v>
      </c>
      <c r="E123" s="6" t="s">
        <v>54</v>
      </c>
      <c r="F123" s="14">
        <f t="shared" si="2"/>
        <v>14985365694</v>
      </c>
      <c r="G123" s="15">
        <v>18253.968253968254</v>
      </c>
      <c r="H123" s="14">
        <v>1.3786536438888891E10</v>
      </c>
      <c r="I123" s="15">
        <f t="shared" si="3"/>
        <v>16793.65079</v>
      </c>
      <c r="J123" s="16">
        <v>1.925</v>
      </c>
      <c r="K123" s="17">
        <v>426461.0</v>
      </c>
      <c r="L123" s="18">
        <f t="shared" si="4"/>
        <v>164657.445</v>
      </c>
      <c r="M123" s="19">
        <v>0.93</v>
      </c>
      <c r="N123" s="20">
        <v>9.69</v>
      </c>
      <c r="O123" s="21">
        <v>145.0</v>
      </c>
      <c r="P123" s="22" t="s">
        <v>747</v>
      </c>
      <c r="Q123" s="6" t="s">
        <v>748</v>
      </c>
      <c r="R123" s="6" t="s">
        <v>749</v>
      </c>
      <c r="S123" s="39">
        <f t="shared" si="5"/>
        <v>299707313.9</v>
      </c>
      <c r="T123" s="39">
        <f t="shared" si="6"/>
        <v>449560970.8</v>
      </c>
      <c r="U123" s="39">
        <f t="shared" si="7"/>
        <v>275730728.8</v>
      </c>
      <c r="V123" s="39">
        <f t="shared" si="8"/>
        <v>413596093.2</v>
      </c>
      <c r="W123" s="49">
        <v>0.02</v>
      </c>
    </row>
    <row r="124" ht="22.5" customHeight="1">
      <c r="A124" s="11" t="s">
        <v>750</v>
      </c>
      <c r="B124" s="12">
        <f t="shared" si="1"/>
        <v>8714285.58</v>
      </c>
      <c r="C124" s="13" t="s">
        <v>751</v>
      </c>
      <c r="D124" s="13" t="s">
        <v>752</v>
      </c>
      <c r="E124" s="6" t="s">
        <v>84</v>
      </c>
      <c r="F124" s="14">
        <f t="shared" si="2"/>
        <v>14869614283</v>
      </c>
      <c r="G124" s="15">
        <v>1706.3492063492063</v>
      </c>
      <c r="H124" s="14">
        <v>4.7136677278166664E10</v>
      </c>
      <c r="I124" s="15">
        <f t="shared" si="3"/>
        <v>5409.126984</v>
      </c>
      <c r="J124" s="16">
        <v>4.62</v>
      </c>
      <c r="K124" s="17">
        <v>1886209.0</v>
      </c>
      <c r="L124" s="18">
        <f t="shared" si="4"/>
        <v>728269.0673</v>
      </c>
      <c r="M124" s="19">
        <v>0.618</v>
      </c>
      <c r="N124" s="20">
        <v>8.39</v>
      </c>
      <c r="O124" s="21">
        <v>799.0</v>
      </c>
      <c r="P124" s="22" t="s">
        <v>753</v>
      </c>
      <c r="Q124" s="6" t="s">
        <v>754</v>
      </c>
      <c r="R124" s="1" t="s">
        <v>755</v>
      </c>
      <c r="S124" s="23">
        <f t="shared" si="5"/>
        <v>297392285.7</v>
      </c>
      <c r="T124" s="23">
        <f t="shared" si="6"/>
        <v>446088428.5</v>
      </c>
      <c r="U124" s="23">
        <f t="shared" si="7"/>
        <v>942733545.6</v>
      </c>
      <c r="V124" s="23">
        <f t="shared" si="8"/>
        <v>1414100318</v>
      </c>
      <c r="W124" s="47">
        <v>0.02</v>
      </c>
    </row>
    <row r="125" ht="22.5" customHeight="1">
      <c r="A125" s="11" t="s">
        <v>756</v>
      </c>
      <c r="B125" s="25">
        <f t="shared" si="1"/>
        <v>833491.136</v>
      </c>
      <c r="C125" s="26" t="s">
        <v>757</v>
      </c>
      <c r="D125" s="27" t="s">
        <v>758</v>
      </c>
      <c r="E125" s="6" t="s">
        <v>26</v>
      </c>
      <c r="F125" s="14">
        <f t="shared" si="2"/>
        <v>13990744069</v>
      </c>
      <c r="G125" s="15">
        <v>16785.714285714286</v>
      </c>
      <c r="H125" s="14">
        <v>1.5809540797485714E10</v>
      </c>
      <c r="I125" s="15">
        <f t="shared" si="3"/>
        <v>18967.85714</v>
      </c>
      <c r="J125" s="16">
        <v>97.0304</v>
      </c>
      <c r="K125" s="17">
        <v>8590.0</v>
      </c>
      <c r="L125" s="18">
        <f t="shared" si="4"/>
        <v>3316.61618</v>
      </c>
      <c r="M125" s="7">
        <v>0.95</v>
      </c>
      <c r="N125" s="20">
        <v>8.07</v>
      </c>
      <c r="O125" s="21">
        <v>214.0</v>
      </c>
      <c r="P125" s="22" t="s">
        <v>759</v>
      </c>
      <c r="Q125" s="6" t="s">
        <v>760</v>
      </c>
      <c r="R125" s="1" t="s">
        <v>761</v>
      </c>
      <c r="S125" s="29">
        <f t="shared" si="5"/>
        <v>279814881.4</v>
      </c>
      <c r="T125" s="29">
        <f t="shared" si="6"/>
        <v>419722322.1</v>
      </c>
      <c r="U125" s="29">
        <f t="shared" si="7"/>
        <v>316190815.9</v>
      </c>
      <c r="V125" s="29">
        <f t="shared" si="8"/>
        <v>474286223.9</v>
      </c>
      <c r="W125" s="44">
        <v>0.02</v>
      </c>
    </row>
    <row r="126" ht="22.5" customHeight="1">
      <c r="A126" s="11" t="s">
        <v>762</v>
      </c>
      <c r="B126" s="32">
        <f t="shared" si="1"/>
        <v>7898975.162</v>
      </c>
      <c r="C126" s="42" t="s">
        <v>763</v>
      </c>
      <c r="D126" s="33" t="s">
        <v>764</v>
      </c>
      <c r="E126" s="6" t="s">
        <v>40</v>
      </c>
      <c r="F126" s="14">
        <f t="shared" si="2"/>
        <v>13854551674</v>
      </c>
      <c r="G126" s="15">
        <v>1753.968253968254</v>
      </c>
      <c r="H126" s="14">
        <v>4.059383640403867E10</v>
      </c>
      <c r="I126" s="15">
        <f t="shared" si="3"/>
        <v>5139.126984</v>
      </c>
      <c r="J126" s="16">
        <v>40.0386</v>
      </c>
      <c r="K126" s="17">
        <v>197284.0</v>
      </c>
      <c r="L126" s="18">
        <f t="shared" si="4"/>
        <v>76171.74697</v>
      </c>
      <c r="M126" s="19">
        <v>0.666</v>
      </c>
      <c r="N126" s="20">
        <v>5.7</v>
      </c>
      <c r="O126" s="21">
        <v>921.0</v>
      </c>
      <c r="P126" s="22" t="s">
        <v>765</v>
      </c>
      <c r="Q126" s="6" t="s">
        <v>766</v>
      </c>
      <c r="R126" s="6" t="s">
        <v>767</v>
      </c>
      <c r="S126" s="34">
        <f t="shared" si="5"/>
        <v>277091033.5</v>
      </c>
      <c r="T126" s="34">
        <f t="shared" si="6"/>
        <v>415636550.2</v>
      </c>
      <c r="U126" s="34">
        <f t="shared" si="7"/>
        <v>811876728.1</v>
      </c>
      <c r="V126" s="34">
        <f t="shared" si="8"/>
        <v>1217815092</v>
      </c>
      <c r="W126" s="50">
        <v>0.02</v>
      </c>
    </row>
    <row r="127" ht="22.5" customHeight="1">
      <c r="A127" s="31" t="s">
        <v>768</v>
      </c>
      <c r="B127" s="25">
        <f t="shared" si="1"/>
        <v>9106538.713</v>
      </c>
      <c r="C127" s="26" t="s">
        <v>769</v>
      </c>
      <c r="D127" s="27" t="s">
        <v>770</v>
      </c>
      <c r="E127" s="6" t="s">
        <v>40</v>
      </c>
      <c r="F127" s="14">
        <f t="shared" si="2"/>
        <v>12611833376</v>
      </c>
      <c r="G127" s="15">
        <v>1384.920634920635</v>
      </c>
      <c r="H127" s="14">
        <v>3.569148845503456E10</v>
      </c>
      <c r="I127" s="15">
        <f t="shared" si="3"/>
        <v>3919.325397</v>
      </c>
      <c r="J127" s="16">
        <v>16.1605</v>
      </c>
      <c r="K127" s="17">
        <v>563506.0</v>
      </c>
      <c r="L127" s="18">
        <f t="shared" si="4"/>
        <v>217570.7936</v>
      </c>
      <c r="M127" s="19">
        <v>0.687</v>
      </c>
      <c r="N127" s="20">
        <v>4.91</v>
      </c>
      <c r="O127" s="21">
        <v>925.0</v>
      </c>
      <c r="P127" s="22" t="s">
        <v>771</v>
      </c>
      <c r="Q127" s="6" t="s">
        <v>772</v>
      </c>
      <c r="R127" s="6" t="s">
        <v>773</v>
      </c>
      <c r="S127" s="29">
        <f t="shared" si="5"/>
        <v>252236667.5</v>
      </c>
      <c r="T127" s="29">
        <f t="shared" si="6"/>
        <v>378355001.3</v>
      </c>
      <c r="U127" s="29">
        <f t="shared" si="7"/>
        <v>713829769.1</v>
      </c>
      <c r="V127" s="29">
        <f t="shared" si="8"/>
        <v>1070744654</v>
      </c>
      <c r="W127" s="44">
        <v>0.02</v>
      </c>
    </row>
    <row r="128" ht="22.5" customHeight="1">
      <c r="A128" s="31" t="s">
        <v>774</v>
      </c>
      <c r="B128" s="12">
        <f t="shared" si="1"/>
        <v>13153004.48</v>
      </c>
      <c r="C128" s="13" t="s">
        <v>775</v>
      </c>
      <c r="D128" s="13" t="s">
        <v>776</v>
      </c>
      <c r="E128" s="6" t="s">
        <v>47</v>
      </c>
      <c r="F128" s="14">
        <f t="shared" si="2"/>
        <v>11274003840</v>
      </c>
      <c r="G128" s="15">
        <v>857.1428571428571</v>
      </c>
      <c r="H128" s="14">
        <v>4.3066694668799995E10</v>
      </c>
      <c r="I128" s="15">
        <f t="shared" si="3"/>
        <v>3274.285714</v>
      </c>
      <c r="J128" s="16">
        <v>12.32</v>
      </c>
      <c r="K128" s="17">
        <v>1067614.0</v>
      </c>
      <c r="L128" s="18">
        <f t="shared" si="4"/>
        <v>412207.9006</v>
      </c>
      <c r="M128" s="19">
        <v>0.492</v>
      </c>
      <c r="N128" s="20">
        <v>1.76</v>
      </c>
      <c r="O128" s="21">
        <v>941.0</v>
      </c>
      <c r="P128" s="22" t="s">
        <v>777</v>
      </c>
      <c r="Q128" s="6" t="s">
        <v>778</v>
      </c>
      <c r="R128" s="6" t="s">
        <v>779</v>
      </c>
      <c r="S128" s="23">
        <f t="shared" si="5"/>
        <v>225480076.8</v>
      </c>
      <c r="T128" s="23">
        <f t="shared" si="6"/>
        <v>338220115.2</v>
      </c>
      <c r="U128" s="23">
        <f t="shared" si="7"/>
        <v>861333893.4</v>
      </c>
      <c r="V128" s="23">
        <f t="shared" si="8"/>
        <v>1292000840</v>
      </c>
      <c r="W128" s="47">
        <v>0.02</v>
      </c>
    </row>
    <row r="129" ht="22.5" customHeight="1">
      <c r="A129" s="11" t="s">
        <v>780</v>
      </c>
      <c r="B129" s="36">
        <f t="shared" si="1"/>
        <v>945980.451</v>
      </c>
      <c r="C129" s="37" t="s">
        <v>781</v>
      </c>
      <c r="D129" s="37" t="s">
        <v>782</v>
      </c>
      <c r="E129" s="6" t="s">
        <v>121</v>
      </c>
      <c r="F129" s="14">
        <f t="shared" si="2"/>
        <v>11250410364</v>
      </c>
      <c r="G129" s="15">
        <v>11892.8571428571</v>
      </c>
      <c r="H129" s="14">
        <v>1.9238201721890285E10</v>
      </c>
      <c r="I129" s="15">
        <f t="shared" si="3"/>
        <v>20336.78571</v>
      </c>
      <c r="J129" s="16">
        <v>449.1835</v>
      </c>
      <c r="K129" s="17">
        <v>2106.0</v>
      </c>
      <c r="L129" s="18">
        <f t="shared" si="4"/>
        <v>813.130812</v>
      </c>
      <c r="M129" s="19">
        <v>0.858</v>
      </c>
      <c r="N129" s="20">
        <v>9.22</v>
      </c>
      <c r="O129" s="21">
        <v>613.0</v>
      </c>
      <c r="P129" s="22" t="s">
        <v>783</v>
      </c>
      <c r="Q129" s="6" t="s">
        <v>784</v>
      </c>
      <c r="R129" s="6" t="s">
        <v>785</v>
      </c>
      <c r="S129" s="39">
        <f t="shared" si="5"/>
        <v>225008207.3</v>
      </c>
      <c r="T129" s="39">
        <f t="shared" si="6"/>
        <v>337512310.9</v>
      </c>
      <c r="U129" s="39">
        <f t="shared" si="7"/>
        <v>384764034.4</v>
      </c>
      <c r="V129" s="39">
        <f t="shared" si="8"/>
        <v>577146051.7</v>
      </c>
      <c r="W129" s="49">
        <v>0.02</v>
      </c>
    </row>
    <row r="130" ht="22.5" customHeight="1">
      <c r="A130" s="11" t="s">
        <v>786</v>
      </c>
      <c r="B130" s="12">
        <f t="shared" si="1"/>
        <v>1405386.767</v>
      </c>
      <c r="C130" s="45" t="s">
        <v>787</v>
      </c>
      <c r="D130" s="13" t="s">
        <v>788</v>
      </c>
      <c r="E130" s="6" t="s">
        <v>26</v>
      </c>
      <c r="F130" s="14">
        <f t="shared" si="2"/>
        <v>10205784859</v>
      </c>
      <c r="G130" s="15">
        <v>7261.9047619047615</v>
      </c>
      <c r="H130" s="14">
        <v>2.081980111134E10</v>
      </c>
      <c r="I130" s="15">
        <f t="shared" si="3"/>
        <v>14814.28571</v>
      </c>
      <c r="J130" s="16">
        <v>55.0506</v>
      </c>
      <c r="K130" s="17">
        <v>25529.0</v>
      </c>
      <c r="L130" s="18">
        <f t="shared" si="4"/>
        <v>9856.797958</v>
      </c>
      <c r="M130" s="19">
        <v>0.815</v>
      </c>
      <c r="N130" s="20">
        <v>7.36</v>
      </c>
      <c r="O130" s="21">
        <v>241.0</v>
      </c>
      <c r="P130" s="22" t="s">
        <v>789</v>
      </c>
      <c r="Q130" s="6" t="s">
        <v>790</v>
      </c>
      <c r="R130" s="6" t="s">
        <v>786</v>
      </c>
      <c r="S130" s="23">
        <f t="shared" si="5"/>
        <v>204115697.2</v>
      </c>
      <c r="T130" s="23">
        <f t="shared" si="6"/>
        <v>306173545.8</v>
      </c>
      <c r="U130" s="23">
        <f t="shared" si="7"/>
        <v>416396022.2</v>
      </c>
      <c r="V130" s="23">
        <f t="shared" si="8"/>
        <v>624594033.3</v>
      </c>
      <c r="W130" s="47">
        <v>0.02</v>
      </c>
    </row>
    <row r="131" ht="22.5" customHeight="1">
      <c r="A131" s="11" t="s">
        <v>791</v>
      </c>
      <c r="B131" s="25">
        <f t="shared" si="1"/>
        <v>22993720.48</v>
      </c>
      <c r="C131" s="27" t="s">
        <v>792</v>
      </c>
      <c r="D131" s="27" t="s">
        <v>793</v>
      </c>
      <c r="E131" s="6" t="s">
        <v>47</v>
      </c>
      <c r="F131" s="14">
        <f t="shared" si="2"/>
        <v>10036941481</v>
      </c>
      <c r="G131" s="15">
        <v>436.5079365079365</v>
      </c>
      <c r="H131" s="14">
        <v>3.3222276302477776E10</v>
      </c>
      <c r="I131" s="15">
        <f t="shared" si="3"/>
        <v>1444.84127</v>
      </c>
      <c r="J131" s="16">
        <v>11.164</v>
      </c>
      <c r="K131" s="17">
        <v>2059631.0</v>
      </c>
      <c r="L131" s="18">
        <f t="shared" si="4"/>
        <v>795227.6484</v>
      </c>
      <c r="M131" s="19">
        <v>0.595</v>
      </c>
      <c r="N131" s="20">
        <v>6.57</v>
      </c>
      <c r="O131" s="21">
        <v>80.0</v>
      </c>
      <c r="P131" s="22" t="s">
        <v>794</v>
      </c>
      <c r="Q131" s="6" t="s">
        <v>795</v>
      </c>
      <c r="R131" s="6" t="s">
        <v>796</v>
      </c>
      <c r="S131" s="29">
        <f t="shared" si="5"/>
        <v>200738829.6</v>
      </c>
      <c r="T131" s="29">
        <f t="shared" si="6"/>
        <v>301108244.4</v>
      </c>
      <c r="U131" s="29">
        <f t="shared" si="7"/>
        <v>664445526</v>
      </c>
      <c r="V131" s="29">
        <f t="shared" si="8"/>
        <v>996668289.1</v>
      </c>
      <c r="W131" s="44">
        <v>0.02</v>
      </c>
    </row>
    <row r="132" ht="22.5" customHeight="1">
      <c r="A132" s="11" t="s">
        <v>797</v>
      </c>
      <c r="B132" s="12">
        <f t="shared" si="1"/>
        <v>9975074.746</v>
      </c>
      <c r="C132" s="13" t="s">
        <v>798</v>
      </c>
      <c r="D132" s="13" t="s">
        <v>799</v>
      </c>
      <c r="E132" s="6" t="s">
        <v>40</v>
      </c>
      <c r="F132" s="14">
        <f t="shared" si="2"/>
        <v>8866733108</v>
      </c>
      <c r="G132" s="15">
        <v>888.8888888888889</v>
      </c>
      <c r="H132" s="14">
        <v>2.784154195772445E10</v>
      </c>
      <c r="I132" s="15">
        <f t="shared" si="3"/>
        <v>2791.111111</v>
      </c>
      <c r="J132" s="16">
        <v>46.5842</v>
      </c>
      <c r="K132" s="17">
        <v>214130.0</v>
      </c>
      <c r="L132" s="18">
        <f t="shared" si="4"/>
        <v>82676.02126</v>
      </c>
      <c r="M132" s="19">
        <v>0.628</v>
      </c>
      <c r="N132" s="20">
        <v>2.96</v>
      </c>
      <c r="O132" s="21">
        <v>920.0</v>
      </c>
      <c r="P132" s="22" t="s">
        <v>800</v>
      </c>
      <c r="Q132" s="6" t="s">
        <v>801</v>
      </c>
      <c r="R132" s="6" t="s">
        <v>802</v>
      </c>
      <c r="S132" s="23">
        <f t="shared" si="5"/>
        <v>177334662.2</v>
      </c>
      <c r="T132" s="23">
        <f t="shared" si="6"/>
        <v>266001993.2</v>
      </c>
      <c r="U132" s="23">
        <f t="shared" si="7"/>
        <v>556830839.2</v>
      </c>
      <c r="V132" s="23">
        <f t="shared" si="8"/>
        <v>835246258.7</v>
      </c>
      <c r="W132" s="47">
        <v>0.02</v>
      </c>
    </row>
    <row r="133" ht="22.5" customHeight="1">
      <c r="A133" s="11" t="s">
        <v>803</v>
      </c>
      <c r="B133" s="36">
        <f t="shared" si="1"/>
        <v>2166682.557</v>
      </c>
      <c r="C133" s="37" t="s">
        <v>804</v>
      </c>
      <c r="D133" s="37" t="s">
        <v>805</v>
      </c>
      <c r="E133" s="6" t="s">
        <v>26</v>
      </c>
      <c r="F133" s="14">
        <f t="shared" si="2"/>
        <v>8683926123</v>
      </c>
      <c r="G133" s="15">
        <v>4007.936507936508</v>
      </c>
      <c r="H133" s="14">
        <v>2.0754583433761353E10</v>
      </c>
      <c r="I133" s="15">
        <f t="shared" si="3"/>
        <v>9578.968254</v>
      </c>
      <c r="J133" s="16">
        <v>63.5279</v>
      </c>
      <c r="K133" s="17">
        <v>34106.0</v>
      </c>
      <c r="L133" s="18">
        <f t="shared" si="4"/>
        <v>13168.39481</v>
      </c>
      <c r="M133" s="19">
        <v>0.762</v>
      </c>
      <c r="N133" s="20">
        <v>5.19</v>
      </c>
      <c r="O133" s="21">
        <v>245.0</v>
      </c>
      <c r="P133" s="22" t="s">
        <v>806</v>
      </c>
      <c r="Q133" s="6" t="s">
        <v>807</v>
      </c>
      <c r="R133" s="6" t="s">
        <v>803</v>
      </c>
      <c r="S133" s="39">
        <f t="shared" si="5"/>
        <v>173678522.5</v>
      </c>
      <c r="T133" s="39">
        <f t="shared" si="6"/>
        <v>260517783.7</v>
      </c>
      <c r="U133" s="39">
        <f t="shared" si="7"/>
        <v>415091668.7</v>
      </c>
      <c r="V133" s="39">
        <f t="shared" si="8"/>
        <v>622637503</v>
      </c>
      <c r="W133" s="49">
        <v>0.02</v>
      </c>
    </row>
    <row r="134" ht="22.5" customHeight="1">
      <c r="A134" s="31" t="s">
        <v>808</v>
      </c>
      <c r="B134" s="32">
        <f t="shared" si="1"/>
        <v>4070554.937</v>
      </c>
      <c r="C134" s="33" t="s">
        <v>809</v>
      </c>
      <c r="D134" s="33" t="s">
        <v>810</v>
      </c>
      <c r="E134" s="6" t="s">
        <v>33</v>
      </c>
      <c r="F134" s="14">
        <f t="shared" si="2"/>
        <v>8593393756</v>
      </c>
      <c r="G134" s="15">
        <v>2111.1111111111113</v>
      </c>
      <c r="H134" s="14">
        <v>2.4920841892077785E10</v>
      </c>
      <c r="I134" s="15">
        <f t="shared" si="3"/>
        <v>6122.222222</v>
      </c>
      <c r="J134" s="16">
        <v>32.3278</v>
      </c>
      <c r="K134" s="17">
        <v>125915.0</v>
      </c>
      <c r="L134" s="18">
        <f t="shared" si="4"/>
        <v>48616.03333</v>
      </c>
      <c r="M134" s="19">
        <v>0.67</v>
      </c>
      <c r="N134" s="20">
        <v>2.58</v>
      </c>
      <c r="O134" s="21">
        <v>512.0</v>
      </c>
      <c r="P134" s="22" t="s">
        <v>811</v>
      </c>
      <c r="Q134" s="6" t="s">
        <v>812</v>
      </c>
      <c r="R134" s="6" t="s">
        <v>813</v>
      </c>
      <c r="S134" s="34">
        <f t="shared" si="5"/>
        <v>171867875.1</v>
      </c>
      <c r="T134" s="34">
        <f t="shared" si="6"/>
        <v>257801812.7</v>
      </c>
      <c r="U134" s="34">
        <f t="shared" si="7"/>
        <v>498416837.8</v>
      </c>
      <c r="V134" s="34">
        <f t="shared" si="8"/>
        <v>747625256.8</v>
      </c>
      <c r="W134" s="50">
        <v>0.02</v>
      </c>
    </row>
    <row r="135" ht="22.5" customHeight="1">
      <c r="A135" s="31" t="s">
        <v>814</v>
      </c>
      <c r="B135" s="25">
        <f t="shared" si="1"/>
        <v>345037.0323</v>
      </c>
      <c r="C135" s="26" t="s">
        <v>815</v>
      </c>
      <c r="D135" s="27" t="s">
        <v>816</v>
      </c>
      <c r="E135" s="6" t="s">
        <v>33</v>
      </c>
      <c r="F135" s="14">
        <f t="shared" si="2"/>
        <v>8502698296</v>
      </c>
      <c r="G135" s="15">
        <v>24642.85714285714</v>
      </c>
      <c r="H135" s="14">
        <v>1.01182109721975E10</v>
      </c>
      <c r="I135" s="15">
        <f t="shared" si="3"/>
        <v>29325</v>
      </c>
      <c r="J135" s="16">
        <v>172.4323</v>
      </c>
      <c r="K135" s="17">
        <v>2001.0</v>
      </c>
      <c r="L135" s="18">
        <f t="shared" si="4"/>
        <v>772.590102</v>
      </c>
      <c r="M135" s="19">
        <v>0.899</v>
      </c>
      <c r="N135" s="20">
        <v>9.37</v>
      </c>
      <c r="O135" s="21">
        <v>511.0</v>
      </c>
      <c r="P135" s="22" t="s">
        <v>817</v>
      </c>
      <c r="Q135" s="6" t="s">
        <v>818</v>
      </c>
      <c r="R135" s="6" t="s">
        <v>819</v>
      </c>
      <c r="S135" s="29">
        <f t="shared" si="5"/>
        <v>170053965.9</v>
      </c>
      <c r="T135" s="29">
        <f t="shared" si="6"/>
        <v>255080948.9</v>
      </c>
      <c r="U135" s="29">
        <f t="shared" si="7"/>
        <v>202364219.4</v>
      </c>
      <c r="V135" s="29">
        <f t="shared" si="8"/>
        <v>303546329.2</v>
      </c>
      <c r="W135" s="44">
        <v>0.02</v>
      </c>
    </row>
    <row r="136" ht="22.5" customHeight="1">
      <c r="A136" s="11" t="s">
        <v>820</v>
      </c>
      <c r="B136" s="12">
        <f t="shared" si="1"/>
        <v>447879.07</v>
      </c>
      <c r="C136" s="13" t="s">
        <v>821</v>
      </c>
      <c r="D136" s="13" t="s">
        <v>822</v>
      </c>
      <c r="E136" s="6" t="s">
        <v>121</v>
      </c>
      <c r="F136" s="14">
        <f t="shared" si="2"/>
        <v>8282208199</v>
      </c>
      <c r="G136" s="15">
        <v>18492.06349206349</v>
      </c>
      <c r="H136" s="14">
        <v>1.2257668134825397E10</v>
      </c>
      <c r="I136" s="15">
        <f t="shared" si="3"/>
        <v>27368.25397</v>
      </c>
      <c r="J136" s="16">
        <v>175.57</v>
      </c>
      <c r="K136" s="17">
        <v>2551.0</v>
      </c>
      <c r="L136" s="18">
        <f t="shared" si="4"/>
        <v>984.946202</v>
      </c>
      <c r="M136" s="19">
        <v>0.871</v>
      </c>
      <c r="N136" s="20">
        <v>7.33</v>
      </c>
      <c r="O136" s="21">
        <v>650.0</v>
      </c>
      <c r="P136" s="22" t="s">
        <v>823</v>
      </c>
      <c r="Q136" s="6" t="s">
        <v>824</v>
      </c>
      <c r="R136" s="6" t="s">
        <v>825</v>
      </c>
      <c r="S136" s="23">
        <f t="shared" si="5"/>
        <v>165644164</v>
      </c>
      <c r="T136" s="23">
        <f t="shared" si="6"/>
        <v>248466246</v>
      </c>
      <c r="U136" s="23">
        <f t="shared" si="7"/>
        <v>245153362.7</v>
      </c>
      <c r="V136" s="23">
        <f t="shared" si="8"/>
        <v>367730044</v>
      </c>
      <c r="W136" s="47">
        <v>0.02</v>
      </c>
    </row>
    <row r="137" ht="22.5" customHeight="1">
      <c r="A137" s="11" t="s">
        <v>826</v>
      </c>
      <c r="B137" s="36">
        <f t="shared" si="1"/>
        <v>27332520.6</v>
      </c>
      <c r="C137" s="37" t="s">
        <v>827</v>
      </c>
      <c r="D137" s="37" t="s">
        <v>828</v>
      </c>
      <c r="E137" s="6" t="s">
        <v>47</v>
      </c>
      <c r="F137" s="14">
        <f t="shared" si="2"/>
        <v>8243141133</v>
      </c>
      <c r="G137" s="15">
        <v>301.58730158730157</v>
      </c>
      <c r="H137" s="14">
        <v>3.4291467114666668E10</v>
      </c>
      <c r="I137" s="15">
        <f t="shared" si="3"/>
        <v>1254.603175</v>
      </c>
      <c r="J137" s="16">
        <v>46.2</v>
      </c>
      <c r="K137" s="17">
        <v>591613.0</v>
      </c>
      <c r="L137" s="18">
        <f t="shared" si="4"/>
        <v>228422.9625</v>
      </c>
      <c r="M137" s="19">
        <v>0.427</v>
      </c>
      <c r="N137" s="20">
        <v>1.98</v>
      </c>
      <c r="O137" s="21">
        <v>949.0</v>
      </c>
      <c r="P137" s="6" t="s">
        <v>829</v>
      </c>
      <c r="Q137" s="6" t="s">
        <v>830</v>
      </c>
      <c r="R137" s="6" t="s">
        <v>831</v>
      </c>
      <c r="S137" s="39">
        <f t="shared" si="5"/>
        <v>164862822.7</v>
      </c>
      <c r="T137" s="39">
        <f t="shared" si="6"/>
        <v>247294234</v>
      </c>
      <c r="U137" s="39">
        <f t="shared" si="7"/>
        <v>685829342.3</v>
      </c>
      <c r="V137" s="39">
        <f t="shared" si="8"/>
        <v>1028744013</v>
      </c>
      <c r="W137" s="49">
        <v>0.02</v>
      </c>
    </row>
    <row r="138" ht="22.5" customHeight="1">
      <c r="A138" s="11" t="s">
        <v>832</v>
      </c>
      <c r="B138" s="32">
        <f t="shared" si="1"/>
        <v>7437016.588</v>
      </c>
      <c r="C138" s="33" t="s">
        <v>833</v>
      </c>
      <c r="D138" s="33" t="s">
        <v>834</v>
      </c>
      <c r="E138" s="6" t="s">
        <v>47</v>
      </c>
      <c r="F138" s="14">
        <f t="shared" si="2"/>
        <v>7879696147</v>
      </c>
      <c r="G138" s="15">
        <v>1059.5238095238094</v>
      </c>
      <c r="H138" s="14">
        <v>3.222795724045095E10</v>
      </c>
      <c r="I138" s="15">
        <f t="shared" si="3"/>
        <v>4333.452381</v>
      </c>
      <c r="J138" s="16">
        <v>21.946</v>
      </c>
      <c r="K138" s="17">
        <v>338878.0</v>
      </c>
      <c r="L138" s="18">
        <f t="shared" si="4"/>
        <v>130841.4736</v>
      </c>
      <c r="M138" s="19">
        <v>0.456</v>
      </c>
      <c r="N138" s="20">
        <v>2.87</v>
      </c>
      <c r="O138" s="21">
        <v>931.0</v>
      </c>
      <c r="P138" s="22" t="s">
        <v>835</v>
      </c>
      <c r="Q138" s="6" t="s">
        <v>836</v>
      </c>
      <c r="R138" s="6" t="s">
        <v>837</v>
      </c>
      <c r="S138" s="34">
        <f t="shared" si="5"/>
        <v>157593922.9</v>
      </c>
      <c r="T138" s="34">
        <f t="shared" si="6"/>
        <v>236390884.4</v>
      </c>
      <c r="U138" s="34">
        <f t="shared" si="7"/>
        <v>644559144.8</v>
      </c>
      <c r="V138" s="34">
        <f t="shared" si="8"/>
        <v>966838717.2</v>
      </c>
      <c r="W138" s="50">
        <v>0.02</v>
      </c>
    </row>
    <row r="139" ht="22.5" customHeight="1">
      <c r="A139" s="31" t="s">
        <v>838</v>
      </c>
      <c r="B139" s="25">
        <f t="shared" si="1"/>
        <v>376608.9492</v>
      </c>
      <c r="C139" s="27" t="s">
        <v>839</v>
      </c>
      <c r="D139" s="27" t="s">
        <v>840</v>
      </c>
      <c r="E139" s="6" t="s">
        <v>121</v>
      </c>
      <c r="F139" s="14">
        <f t="shared" si="2"/>
        <v>7143614195</v>
      </c>
      <c r="G139" s="15">
        <v>18968.25396825397</v>
      </c>
      <c r="H139" s="14">
        <v>1.4858717525897144E10</v>
      </c>
      <c r="I139" s="15">
        <f t="shared" si="3"/>
        <v>39453.96825</v>
      </c>
      <c r="J139" s="16">
        <v>10.3938</v>
      </c>
      <c r="K139" s="17">
        <v>36234.0</v>
      </c>
      <c r="L139" s="18">
        <f t="shared" si="4"/>
        <v>13990.01987</v>
      </c>
      <c r="M139" s="19">
        <v>0.763</v>
      </c>
      <c r="N139" s="20">
        <v>6.43</v>
      </c>
      <c r="O139" s="21">
        <v>612.0</v>
      </c>
      <c r="P139" s="22" t="s">
        <v>841</v>
      </c>
      <c r="Q139" s="6" t="s">
        <v>842</v>
      </c>
      <c r="R139" s="6" t="s">
        <v>843</v>
      </c>
      <c r="S139" s="29">
        <f t="shared" si="5"/>
        <v>142872283.9</v>
      </c>
      <c r="T139" s="29">
        <f t="shared" si="6"/>
        <v>214308425.9</v>
      </c>
      <c r="U139" s="29">
        <f t="shared" si="7"/>
        <v>297174350.5</v>
      </c>
      <c r="V139" s="29">
        <f t="shared" si="8"/>
        <v>445761525.8</v>
      </c>
      <c r="W139" s="44">
        <v>0.02</v>
      </c>
    </row>
    <row r="140" ht="22.5" customHeight="1">
      <c r="A140" s="31" t="s">
        <v>844</v>
      </c>
      <c r="B140" s="12">
        <f t="shared" si="1"/>
        <v>3103321.76</v>
      </c>
      <c r="C140" s="13" t="s">
        <v>845</v>
      </c>
      <c r="D140" s="13" t="s">
        <v>846</v>
      </c>
      <c r="E140" s="6" t="s">
        <v>54</v>
      </c>
      <c r="F140" s="14">
        <f t="shared" si="2"/>
        <v>6773122889</v>
      </c>
      <c r="G140" s="15">
        <v>2182.5396825396824</v>
      </c>
      <c r="H140" s="14">
        <v>1.9845250064444447E10</v>
      </c>
      <c r="I140" s="15">
        <f t="shared" si="3"/>
        <v>6394.84127</v>
      </c>
      <c r="J140" s="16">
        <v>1.54</v>
      </c>
      <c r="K140" s="17">
        <v>2015144.0</v>
      </c>
      <c r="L140" s="18">
        <f t="shared" si="4"/>
        <v>778051.1287</v>
      </c>
      <c r="M140" s="19">
        <v>0.664</v>
      </c>
      <c r="N140" s="20">
        <v>5.91</v>
      </c>
      <c r="O140" s="21">
        <v>333.0</v>
      </c>
      <c r="P140" s="22" t="s">
        <v>847</v>
      </c>
      <c r="Q140" s="6" t="s">
        <v>848</v>
      </c>
      <c r="R140" s="6" t="s">
        <v>849</v>
      </c>
      <c r="S140" s="23">
        <f t="shared" si="5"/>
        <v>135462457.8</v>
      </c>
      <c r="T140" s="23">
        <f t="shared" si="6"/>
        <v>203193686.7</v>
      </c>
      <c r="U140" s="23">
        <f t="shared" si="7"/>
        <v>396905001.3</v>
      </c>
      <c r="V140" s="23">
        <f t="shared" si="8"/>
        <v>595357501.9</v>
      </c>
      <c r="W140" s="47">
        <v>0.02</v>
      </c>
    </row>
    <row r="141" ht="22.5" customHeight="1">
      <c r="A141" s="11" t="s">
        <v>850</v>
      </c>
      <c r="B141" s="25">
        <f t="shared" si="1"/>
        <v>759042.837</v>
      </c>
      <c r="C141" s="27" t="s">
        <v>851</v>
      </c>
      <c r="D141" s="27" t="s">
        <v>852</v>
      </c>
      <c r="E141" s="6" t="s">
        <v>33</v>
      </c>
      <c r="F141" s="14">
        <f t="shared" si="2"/>
        <v>6445839965</v>
      </c>
      <c r="G141" s="15">
        <v>8492.063492063491</v>
      </c>
      <c r="H141" s="14">
        <v>1.2891679929999998E10</v>
      </c>
      <c r="I141" s="15">
        <f t="shared" si="3"/>
        <v>16984.12698</v>
      </c>
      <c r="J141" s="16">
        <v>140.0965</v>
      </c>
      <c r="K141" s="17">
        <v>5418.0</v>
      </c>
      <c r="L141" s="18">
        <f t="shared" si="4"/>
        <v>2091.900636</v>
      </c>
      <c r="M141" s="19">
        <v>0.818</v>
      </c>
      <c r="N141" s="20">
        <v>6.43</v>
      </c>
      <c r="O141" s="21">
        <v>123.0</v>
      </c>
      <c r="P141" s="6" t="s">
        <v>853</v>
      </c>
      <c r="Q141" s="6" t="s">
        <v>854</v>
      </c>
      <c r="R141" s="1" t="s">
        <v>855</v>
      </c>
      <c r="S141" s="29">
        <f t="shared" si="5"/>
        <v>128916799.3</v>
      </c>
      <c r="T141" s="29">
        <f t="shared" si="6"/>
        <v>193375199</v>
      </c>
      <c r="U141" s="29">
        <f t="shared" si="7"/>
        <v>257833598.6</v>
      </c>
      <c r="V141" s="29">
        <f t="shared" si="8"/>
        <v>386750397.9</v>
      </c>
      <c r="W141" s="44">
        <v>0.02</v>
      </c>
    </row>
    <row r="142" ht="22.5" customHeight="1">
      <c r="A142" s="11" t="s">
        <v>856</v>
      </c>
      <c r="B142" s="32">
        <f t="shared" si="1"/>
        <v>9388939.206</v>
      </c>
      <c r="C142" s="42" t="s">
        <v>857</v>
      </c>
      <c r="D142" s="33" t="s">
        <v>858</v>
      </c>
      <c r="E142" s="6" t="s">
        <v>47</v>
      </c>
      <c r="F142" s="14">
        <f t="shared" si="2"/>
        <v>6259292804</v>
      </c>
      <c r="G142" s="15">
        <v>666.6666666666666</v>
      </c>
      <c r="H142" s="14">
        <v>1.821454205964E10</v>
      </c>
      <c r="I142" s="15">
        <f t="shared" si="3"/>
        <v>1940</v>
      </c>
      <c r="J142" s="16">
        <v>40.422</v>
      </c>
      <c r="K142" s="17">
        <v>232273.0</v>
      </c>
      <c r="L142" s="18">
        <f t="shared" si="4"/>
        <v>89681.06985</v>
      </c>
      <c r="M142" s="19">
        <v>0.474</v>
      </c>
      <c r="N142" s="20">
        <v>1.35</v>
      </c>
      <c r="O142" s="21">
        <v>911.0</v>
      </c>
      <c r="P142" s="22" t="s">
        <v>859</v>
      </c>
      <c r="Q142" s="6" t="s">
        <v>860</v>
      </c>
      <c r="R142" s="6" t="s">
        <v>861</v>
      </c>
      <c r="S142" s="34">
        <f t="shared" si="5"/>
        <v>125185856.1</v>
      </c>
      <c r="T142" s="34">
        <f t="shared" si="6"/>
        <v>187778784.1</v>
      </c>
      <c r="U142" s="34">
        <f t="shared" si="7"/>
        <v>364290841.2</v>
      </c>
      <c r="V142" s="34">
        <f t="shared" si="8"/>
        <v>546436261.8</v>
      </c>
      <c r="W142" s="50">
        <v>0.02</v>
      </c>
    </row>
    <row r="143" ht="22.5" customHeight="1">
      <c r="A143" s="11" t="s">
        <v>862</v>
      </c>
      <c r="B143" s="25">
        <f t="shared" si="1"/>
        <v>3307616.822</v>
      </c>
      <c r="C143" s="27" t="s">
        <v>863</v>
      </c>
      <c r="D143" s="27" t="s">
        <v>864</v>
      </c>
      <c r="E143" s="6" t="s">
        <v>33</v>
      </c>
      <c r="F143" s="14">
        <f t="shared" si="2"/>
        <v>5630823875</v>
      </c>
      <c r="G143" s="15">
        <v>1702.3809523809523</v>
      </c>
      <c r="H143" s="14">
        <v>1.7399245773338E10</v>
      </c>
      <c r="I143" s="15">
        <f t="shared" si="3"/>
        <v>5260.357143</v>
      </c>
      <c r="J143" s="16">
        <v>23.0924</v>
      </c>
      <c r="K143" s="17">
        <v>143234.0</v>
      </c>
      <c r="L143" s="18">
        <f t="shared" si="4"/>
        <v>55302.93387</v>
      </c>
      <c r="M143" s="19">
        <v>0.634</v>
      </c>
      <c r="N143" s="20">
        <v>3.68</v>
      </c>
      <c r="O143" s="21">
        <v>521.0</v>
      </c>
      <c r="P143" s="22" t="s">
        <v>865</v>
      </c>
      <c r="Q143" s="6" t="s">
        <v>866</v>
      </c>
      <c r="R143" s="6" t="s">
        <v>867</v>
      </c>
      <c r="S143" s="29">
        <f t="shared" si="5"/>
        <v>112616477.5</v>
      </c>
      <c r="T143" s="29">
        <f t="shared" si="6"/>
        <v>168924716.2</v>
      </c>
      <c r="U143" s="29">
        <f t="shared" si="7"/>
        <v>347984915.5</v>
      </c>
      <c r="V143" s="29">
        <f t="shared" si="8"/>
        <v>521977373.2</v>
      </c>
      <c r="W143" s="44">
        <v>0.02</v>
      </c>
    </row>
    <row r="144" ht="22.5" customHeight="1">
      <c r="A144" s="57" t="s">
        <v>868</v>
      </c>
      <c r="B144" s="12">
        <f t="shared" si="1"/>
        <v>2020940.075</v>
      </c>
      <c r="C144" s="13" t="s">
        <v>869</v>
      </c>
      <c r="D144" s="13" t="s">
        <v>870</v>
      </c>
      <c r="E144" s="6" t="s">
        <v>54</v>
      </c>
      <c r="F144" s="14">
        <f t="shared" si="2"/>
        <v>5453330361</v>
      </c>
      <c r="G144" s="15">
        <v>2698.4126984126983</v>
      </c>
      <c r="H144" s="14">
        <v>1.3796925813611109E10</v>
      </c>
      <c r="I144" s="15">
        <f t="shared" si="3"/>
        <v>6826.984127</v>
      </c>
      <c r="J144" s="16">
        <v>2.695</v>
      </c>
      <c r="K144" s="17">
        <v>749885.0</v>
      </c>
      <c r="L144" s="18">
        <f t="shared" si="4"/>
        <v>289532.0983</v>
      </c>
      <c r="M144" s="19">
        <v>0.741</v>
      </c>
      <c r="N144" s="20">
        <v>3.27</v>
      </c>
      <c r="O144" s="21">
        <v>31.0</v>
      </c>
      <c r="P144" s="22" t="s">
        <v>871</v>
      </c>
      <c r="Q144" s="6" t="s">
        <v>872</v>
      </c>
      <c r="R144" s="6" t="s">
        <v>873</v>
      </c>
      <c r="S144" s="23">
        <f t="shared" si="5"/>
        <v>109066607.2</v>
      </c>
      <c r="T144" s="23">
        <f t="shared" si="6"/>
        <v>163599910.8</v>
      </c>
      <c r="U144" s="23">
        <f t="shared" si="7"/>
        <v>275938516.3</v>
      </c>
      <c r="V144" s="23">
        <f t="shared" si="8"/>
        <v>413907774.4</v>
      </c>
      <c r="W144" s="47">
        <v>0.02</v>
      </c>
    </row>
    <row r="145" ht="22.5" customHeight="1">
      <c r="A145" s="31" t="s">
        <v>874</v>
      </c>
      <c r="B145" s="25">
        <f t="shared" si="1"/>
        <v>133064.855</v>
      </c>
      <c r="C145" s="27" t="s">
        <v>875</v>
      </c>
      <c r="D145" s="27" t="s">
        <v>876</v>
      </c>
      <c r="E145" s="6" t="s">
        <v>54</v>
      </c>
      <c r="F145" s="14">
        <f t="shared" si="2"/>
        <v>5438761931</v>
      </c>
      <c r="G145" s="15">
        <v>40873.01587301587</v>
      </c>
      <c r="H145" s="14">
        <v>4.361887068305556E9</v>
      </c>
      <c r="I145" s="15">
        <f t="shared" si="3"/>
        <v>32780.15873</v>
      </c>
      <c r="J145" s="16">
        <v>0.385</v>
      </c>
      <c r="K145" s="17">
        <v>345623.0</v>
      </c>
      <c r="L145" s="18">
        <f t="shared" si="4"/>
        <v>133445.7315</v>
      </c>
      <c r="M145" s="19">
        <v>0.952</v>
      </c>
      <c r="N145" s="20">
        <v>9.35</v>
      </c>
      <c r="O145" s="21">
        <v>33.0</v>
      </c>
      <c r="P145" s="6" t="s">
        <v>877</v>
      </c>
      <c r="Q145" s="6" t="s">
        <v>874</v>
      </c>
      <c r="R145" s="6" t="s">
        <v>878</v>
      </c>
      <c r="S145" s="29">
        <f t="shared" si="5"/>
        <v>108775238.6</v>
      </c>
      <c r="T145" s="29">
        <f t="shared" si="6"/>
        <v>163162857.9</v>
      </c>
      <c r="U145" s="29">
        <f t="shared" si="7"/>
        <v>87237741.37</v>
      </c>
      <c r="V145" s="29">
        <f t="shared" si="8"/>
        <v>130856612</v>
      </c>
      <c r="W145" s="44">
        <v>0.02</v>
      </c>
    </row>
    <row r="146" ht="22.5" customHeight="1">
      <c r="A146" s="43" t="s">
        <v>879</v>
      </c>
      <c r="B146" s="12">
        <f t="shared" si="1"/>
        <v>2549416.1</v>
      </c>
      <c r="C146" s="45" t="s">
        <v>880</v>
      </c>
      <c r="D146" s="13" t="s">
        <v>881</v>
      </c>
      <c r="E146" s="6" t="s">
        <v>47</v>
      </c>
      <c r="F146" s="14">
        <f t="shared" si="2"/>
        <v>4856030667</v>
      </c>
      <c r="G146" s="15">
        <v>1904.7619047619048</v>
      </c>
      <c r="H146" s="14">
        <v>1.6073461506666664E10</v>
      </c>
      <c r="I146" s="15">
        <f t="shared" si="3"/>
        <v>6304.761905</v>
      </c>
      <c r="J146" s="16">
        <v>10.78</v>
      </c>
      <c r="K146" s="17">
        <v>236495.0</v>
      </c>
      <c r="L146" s="18">
        <f t="shared" si="4"/>
        <v>91311.19249</v>
      </c>
      <c r="M146" s="19">
        <v>0.589</v>
      </c>
      <c r="N146" s="20">
        <v>2.44</v>
      </c>
      <c r="O146" s="21">
        <v>930.0</v>
      </c>
      <c r="P146" s="22" t="s">
        <v>882</v>
      </c>
      <c r="Q146" s="6" t="s">
        <v>883</v>
      </c>
      <c r="R146" s="6" t="s">
        <v>884</v>
      </c>
      <c r="S146" s="23">
        <f t="shared" si="5"/>
        <v>97120613.33</v>
      </c>
      <c r="T146" s="23">
        <f t="shared" si="6"/>
        <v>145680920</v>
      </c>
      <c r="U146" s="23">
        <f t="shared" si="7"/>
        <v>321469230.1</v>
      </c>
      <c r="V146" s="23">
        <f t="shared" si="8"/>
        <v>482203845.2</v>
      </c>
      <c r="W146" s="47">
        <v>0.02</v>
      </c>
    </row>
    <row r="147" ht="22.5" customHeight="1">
      <c r="A147" s="11" t="s">
        <v>885</v>
      </c>
      <c r="B147" s="36">
        <f t="shared" si="1"/>
        <v>2236563.365</v>
      </c>
      <c r="C147" s="37" t="s">
        <v>886</v>
      </c>
      <c r="D147" s="37" t="s">
        <v>887</v>
      </c>
      <c r="E147" s="6" t="s">
        <v>40</v>
      </c>
      <c r="F147" s="14">
        <f t="shared" si="2"/>
        <v>4286746449</v>
      </c>
      <c r="G147" s="15">
        <v>1916.6666666666667</v>
      </c>
      <c r="H147" s="14">
        <v>9.902384296323751E9</v>
      </c>
      <c r="I147" s="15">
        <f t="shared" si="3"/>
        <v>4427.5</v>
      </c>
      <c r="J147" s="16">
        <v>6.1605</v>
      </c>
      <c r="K147" s="17">
        <v>363049.0</v>
      </c>
      <c r="L147" s="18">
        <f t="shared" si="4"/>
        <v>140173.945</v>
      </c>
      <c r="M147" s="19">
        <v>0.688</v>
      </c>
      <c r="N147" s="20">
        <v>2.38</v>
      </c>
      <c r="O147" s="21">
        <v>924.0</v>
      </c>
      <c r="P147" s="22" t="s">
        <v>888</v>
      </c>
      <c r="Q147" s="6" t="s">
        <v>889</v>
      </c>
      <c r="R147" s="1" t="s">
        <v>890</v>
      </c>
      <c r="S147" s="39">
        <f t="shared" si="5"/>
        <v>85734928.97</v>
      </c>
      <c r="T147" s="39">
        <f t="shared" si="6"/>
        <v>128602393.5</v>
      </c>
      <c r="U147" s="39">
        <f t="shared" si="7"/>
        <v>198047685.9</v>
      </c>
      <c r="V147" s="39">
        <f t="shared" si="8"/>
        <v>297071528.9</v>
      </c>
      <c r="W147" s="49">
        <v>0.02</v>
      </c>
    </row>
    <row r="148" ht="22.5" customHeight="1">
      <c r="A148" s="31" t="s">
        <v>891</v>
      </c>
      <c r="B148" s="12">
        <f t="shared" si="1"/>
        <v>1724423.085</v>
      </c>
      <c r="C148" s="13" t="s">
        <v>892</v>
      </c>
      <c r="D148" s="13" t="s">
        <v>893</v>
      </c>
      <c r="E148" s="6" t="s">
        <v>84</v>
      </c>
      <c r="F148" s="14">
        <f t="shared" si="2"/>
        <v>4215256430</v>
      </c>
      <c r="G148" s="15">
        <v>2444.4444444444443</v>
      </c>
      <c r="H148" s="14">
        <v>1.1381192361E10</v>
      </c>
      <c r="I148" s="15">
        <f t="shared" si="3"/>
        <v>6600</v>
      </c>
      <c r="J148" s="16">
        <v>11.165</v>
      </c>
      <c r="K148" s="17">
        <v>154449.0</v>
      </c>
      <c r="L148" s="18">
        <f t="shared" si="4"/>
        <v>59633.0678</v>
      </c>
      <c r="M148" s="19">
        <v>0.708</v>
      </c>
      <c r="N148" s="20">
        <v>2.56</v>
      </c>
      <c r="O148" s="21">
        <v>733.0</v>
      </c>
      <c r="P148" s="22" t="s">
        <v>894</v>
      </c>
      <c r="Q148" s="6" t="s">
        <v>895</v>
      </c>
      <c r="R148" s="6" t="s">
        <v>896</v>
      </c>
      <c r="S148" s="23">
        <f t="shared" si="5"/>
        <v>84305128.6</v>
      </c>
      <c r="T148" s="23">
        <f t="shared" si="6"/>
        <v>126457692.9</v>
      </c>
      <c r="U148" s="23">
        <f t="shared" si="7"/>
        <v>227623847.2</v>
      </c>
      <c r="V148" s="23">
        <f t="shared" si="8"/>
        <v>341435770.8</v>
      </c>
      <c r="W148" s="47">
        <v>0.02</v>
      </c>
    </row>
    <row r="149" ht="22.5" customHeight="1">
      <c r="A149" s="11" t="s">
        <v>897</v>
      </c>
      <c r="B149" s="36">
        <f t="shared" si="1"/>
        <v>19674606.07</v>
      </c>
      <c r="C149" s="48" t="s">
        <v>898</v>
      </c>
      <c r="D149" s="37" t="s">
        <v>899</v>
      </c>
      <c r="E149" s="6" t="s">
        <v>33</v>
      </c>
      <c r="F149" s="14">
        <f t="shared" si="2"/>
        <v>3841232613</v>
      </c>
      <c r="G149" s="15">
        <v>195.23809523809524</v>
      </c>
      <c r="H149" s="14">
        <v>1.6248413953497599E10</v>
      </c>
      <c r="I149" s="15">
        <f t="shared" si="3"/>
        <v>825.8571429</v>
      </c>
      <c r="J149" s="16">
        <v>25.4016</v>
      </c>
      <c r="K149" s="17">
        <v>774542.0</v>
      </c>
      <c r="L149" s="18">
        <f t="shared" si="4"/>
        <v>299052.2153</v>
      </c>
      <c r="M149" s="19">
        <v>0.414</v>
      </c>
      <c r="N149" s="20">
        <v>3.94</v>
      </c>
      <c r="O149" s="21">
        <v>516.0</v>
      </c>
      <c r="P149" s="22" t="s">
        <v>900</v>
      </c>
      <c r="Q149" s="6" t="s">
        <v>901</v>
      </c>
      <c r="R149" s="6" t="s">
        <v>902</v>
      </c>
      <c r="S149" s="39">
        <f t="shared" si="5"/>
        <v>76824652.26</v>
      </c>
      <c r="T149" s="39">
        <f t="shared" si="6"/>
        <v>115236978.4</v>
      </c>
      <c r="U149" s="39">
        <f t="shared" si="7"/>
        <v>324968279.1</v>
      </c>
      <c r="V149" s="39">
        <f t="shared" si="8"/>
        <v>487452418.6</v>
      </c>
      <c r="W149" s="49">
        <v>0.02</v>
      </c>
    </row>
    <row r="150" ht="22.5" customHeight="1">
      <c r="A150" s="31" t="s">
        <v>903</v>
      </c>
      <c r="B150" s="12">
        <f t="shared" si="1"/>
        <v>1914198.44</v>
      </c>
      <c r="C150" s="13" t="s">
        <v>904</v>
      </c>
      <c r="D150" s="13" t="s">
        <v>605</v>
      </c>
      <c r="E150" s="6" t="s">
        <v>54</v>
      </c>
      <c r="F150" s="14">
        <f t="shared" si="2"/>
        <v>3418211500</v>
      </c>
      <c r="G150" s="15">
        <v>1785.7142857142858</v>
      </c>
      <c r="H150" s="14">
        <v>9.50262797E9</v>
      </c>
      <c r="I150" s="15">
        <f t="shared" si="3"/>
        <v>4964.285714</v>
      </c>
      <c r="J150" s="16">
        <v>1.54</v>
      </c>
      <c r="K150" s="17">
        <v>1242986.0</v>
      </c>
      <c r="L150" s="18">
        <f t="shared" si="4"/>
        <v>479919.3806</v>
      </c>
      <c r="M150" s="19">
        <v>0.695</v>
      </c>
      <c r="N150" s="20">
        <v>2.3</v>
      </c>
      <c r="O150" s="21">
        <v>133.0</v>
      </c>
      <c r="P150" s="22" t="s">
        <v>905</v>
      </c>
      <c r="Q150" s="6" t="s">
        <v>906</v>
      </c>
      <c r="R150" s="6" t="s">
        <v>907</v>
      </c>
      <c r="S150" s="23">
        <f t="shared" si="5"/>
        <v>68364230</v>
      </c>
      <c r="T150" s="23">
        <f t="shared" si="6"/>
        <v>102546345</v>
      </c>
      <c r="U150" s="23">
        <f t="shared" si="7"/>
        <v>190052559.4</v>
      </c>
      <c r="V150" s="23">
        <f t="shared" si="8"/>
        <v>285078839.1</v>
      </c>
      <c r="W150" s="47">
        <v>0.02</v>
      </c>
    </row>
    <row r="151" ht="22.5" customHeight="1">
      <c r="A151" s="31" t="s">
        <v>908</v>
      </c>
      <c r="B151" s="36">
        <f t="shared" si="1"/>
        <v>635532.1569</v>
      </c>
      <c r="C151" s="37" t="s">
        <v>909</v>
      </c>
      <c r="D151" s="37" t="s">
        <v>910</v>
      </c>
      <c r="E151" s="6" t="s">
        <v>26</v>
      </c>
      <c r="F151" s="14">
        <f t="shared" si="2"/>
        <v>2824587364</v>
      </c>
      <c r="G151" s="15">
        <v>4444.444444444444</v>
      </c>
      <c r="H151" s="14">
        <v>6.553042684479999E9</v>
      </c>
      <c r="I151" s="15">
        <f t="shared" si="3"/>
        <v>10311.11111</v>
      </c>
      <c r="J151" s="16">
        <v>34.6509</v>
      </c>
      <c r="K151" s="17">
        <v>18341.0</v>
      </c>
      <c r="L151" s="18">
        <f t="shared" si="4"/>
        <v>7081.496782</v>
      </c>
      <c r="M151" s="19">
        <v>0.774</v>
      </c>
      <c r="N151" s="20">
        <v>6.92</v>
      </c>
      <c r="O151" s="21">
        <v>271.0</v>
      </c>
      <c r="P151" s="22" t="s">
        <v>911</v>
      </c>
      <c r="Q151" s="6" t="s">
        <v>912</v>
      </c>
      <c r="R151" s="6" t="s">
        <v>913</v>
      </c>
      <c r="S151" s="39">
        <f t="shared" si="5"/>
        <v>56491747.28</v>
      </c>
      <c r="T151" s="39">
        <f t="shared" si="6"/>
        <v>84737620.92</v>
      </c>
      <c r="U151" s="39">
        <f t="shared" si="7"/>
        <v>131060853.7</v>
      </c>
      <c r="V151" s="39">
        <f t="shared" si="8"/>
        <v>196591280.5</v>
      </c>
      <c r="W151" s="49">
        <v>0.02</v>
      </c>
    </row>
    <row r="152" ht="22.5" customHeight="1">
      <c r="A152" s="5" t="s">
        <v>914</v>
      </c>
      <c r="B152" s="12">
        <f t="shared" si="1"/>
        <v>7354909.54</v>
      </c>
      <c r="C152" s="13" t="s">
        <v>915</v>
      </c>
      <c r="D152" s="13" t="s">
        <v>916</v>
      </c>
      <c r="E152" s="6" t="s">
        <v>84</v>
      </c>
      <c r="F152" s="14">
        <f t="shared" si="2"/>
        <v>2597567258</v>
      </c>
      <c r="G152" s="15">
        <v>353.1746031746032</v>
      </c>
      <c r="H152" s="14">
        <v>3.714521179189683E9</v>
      </c>
      <c r="I152" s="15">
        <f t="shared" si="3"/>
        <v>505.0396825</v>
      </c>
      <c r="J152" s="16">
        <v>1.385</v>
      </c>
      <c r="K152" s="17">
        <v>5310404.0</v>
      </c>
      <c r="L152" s="18">
        <f t="shared" si="4"/>
        <v>2050357.605</v>
      </c>
      <c r="M152" s="19">
        <v>0.528</v>
      </c>
      <c r="N152" s="20">
        <v>1.8</v>
      </c>
      <c r="O152" s="21">
        <v>734.0</v>
      </c>
      <c r="P152" s="22" t="s">
        <v>917</v>
      </c>
      <c r="Q152" s="6" t="s">
        <v>918</v>
      </c>
      <c r="R152" s="6" t="s">
        <v>919</v>
      </c>
      <c r="S152" s="23">
        <f t="shared" si="5"/>
        <v>51951345.16</v>
      </c>
      <c r="T152" s="23">
        <f t="shared" si="6"/>
        <v>77927017.75</v>
      </c>
      <c r="U152" s="23">
        <f t="shared" si="7"/>
        <v>74290423.58</v>
      </c>
      <c r="V152" s="23">
        <f t="shared" si="8"/>
        <v>111435635.4</v>
      </c>
      <c r="W152" s="47">
        <v>0.02</v>
      </c>
    </row>
    <row r="153" ht="22.5" customHeight="1">
      <c r="A153" s="31" t="s">
        <v>920</v>
      </c>
      <c r="B153" s="25">
        <f t="shared" si="1"/>
        <v>189681.24</v>
      </c>
      <c r="C153" s="26" t="s">
        <v>921</v>
      </c>
      <c r="D153" s="27" t="s">
        <v>922</v>
      </c>
      <c r="E153" s="6" t="s">
        <v>121</v>
      </c>
      <c r="F153" s="14">
        <f t="shared" si="2"/>
        <v>2039826033</v>
      </c>
      <c r="G153" s="15">
        <v>10753.968253968254</v>
      </c>
      <c r="H153" s="14">
        <v>3.875669463333334E9</v>
      </c>
      <c r="I153" s="15">
        <f t="shared" si="3"/>
        <v>20432.53968</v>
      </c>
      <c r="J153" s="16">
        <v>132.83</v>
      </c>
      <c r="K153" s="38">
        <v>1428.0</v>
      </c>
      <c r="L153" s="18">
        <f t="shared" si="4"/>
        <v>551.353656</v>
      </c>
      <c r="M153" s="19">
        <v>0.827</v>
      </c>
      <c r="N153" s="20">
        <v>5.29</v>
      </c>
      <c r="O153" s="21">
        <v>667.0</v>
      </c>
      <c r="P153" s="22" t="s">
        <v>923</v>
      </c>
      <c r="Q153" s="6" t="s">
        <v>924</v>
      </c>
      <c r="R153" s="6" t="s">
        <v>925</v>
      </c>
      <c r="S153" s="29">
        <f t="shared" si="5"/>
        <v>40796520.67</v>
      </c>
      <c r="T153" s="29">
        <f t="shared" si="6"/>
        <v>61194781</v>
      </c>
      <c r="U153" s="29">
        <f t="shared" si="7"/>
        <v>77513389.27</v>
      </c>
      <c r="V153" s="29">
        <f t="shared" si="8"/>
        <v>116270083.9</v>
      </c>
      <c r="W153" s="44">
        <v>0.02</v>
      </c>
    </row>
    <row r="154" ht="22.5" customHeight="1">
      <c r="A154" s="11" t="s">
        <v>926</v>
      </c>
      <c r="B154" s="32">
        <f t="shared" si="1"/>
        <v>6231859.052</v>
      </c>
      <c r="C154" s="33" t="s">
        <v>927</v>
      </c>
      <c r="D154" s="33" t="s">
        <v>928</v>
      </c>
      <c r="E154" s="6" t="s">
        <v>33</v>
      </c>
      <c r="F154" s="14">
        <f t="shared" si="2"/>
        <v>1928908754</v>
      </c>
      <c r="G154" s="15">
        <v>309.5238095238095</v>
      </c>
      <c r="H154" s="14">
        <v>1.1766343400561905E10</v>
      </c>
      <c r="I154" s="15">
        <f t="shared" si="3"/>
        <v>1888.095238</v>
      </c>
      <c r="J154" s="16">
        <v>6.158</v>
      </c>
      <c r="K154" s="17">
        <v>1011994.0</v>
      </c>
      <c r="L154" s="18">
        <f t="shared" si="4"/>
        <v>390732.9074</v>
      </c>
      <c r="M154" s="19">
        <v>0.499</v>
      </c>
      <c r="N154" s="20">
        <v>1.09</v>
      </c>
      <c r="O154" s="21">
        <v>976.0</v>
      </c>
      <c r="P154" s="22" t="s">
        <v>929</v>
      </c>
      <c r="Q154" s="6" t="s">
        <v>930</v>
      </c>
      <c r="R154" s="1" t="s">
        <v>931</v>
      </c>
      <c r="S154" s="34">
        <f t="shared" si="5"/>
        <v>38578175.08</v>
      </c>
      <c r="T154" s="34">
        <f t="shared" si="6"/>
        <v>57867262.63</v>
      </c>
      <c r="U154" s="34">
        <f t="shared" si="7"/>
        <v>235326868</v>
      </c>
      <c r="V154" s="34">
        <f t="shared" si="8"/>
        <v>352990302</v>
      </c>
      <c r="W154" s="50">
        <v>0.02</v>
      </c>
    </row>
    <row r="155" ht="22.5" customHeight="1">
      <c r="A155" s="31" t="s">
        <v>932</v>
      </c>
      <c r="B155" s="36">
        <f t="shared" si="1"/>
        <v>233966.306</v>
      </c>
      <c r="C155" s="37" t="s">
        <v>933</v>
      </c>
      <c r="D155" s="37" t="s">
        <v>934</v>
      </c>
      <c r="E155" s="6" t="s">
        <v>47</v>
      </c>
      <c r="F155" s="14">
        <f t="shared" si="2"/>
        <v>1439078469</v>
      </c>
      <c r="G155" s="15">
        <v>6150.793650793651</v>
      </c>
      <c r="H155" s="14">
        <v>3.7847763746388893E9</v>
      </c>
      <c r="I155" s="15">
        <f t="shared" si="3"/>
        <v>16176.5873</v>
      </c>
      <c r="J155" s="16">
        <v>21.946</v>
      </c>
      <c r="K155" s="17">
        <v>10661.0</v>
      </c>
      <c r="L155" s="18">
        <f t="shared" si="4"/>
        <v>4116.233422</v>
      </c>
      <c r="M155" s="19">
        <v>0.703</v>
      </c>
      <c r="N155" s="20">
        <v>6.07</v>
      </c>
      <c r="O155" s="21">
        <v>129.0</v>
      </c>
      <c r="P155" s="22" t="s">
        <v>935</v>
      </c>
      <c r="Q155" s="6" t="s">
        <v>936</v>
      </c>
      <c r="R155" s="6" t="s">
        <v>937</v>
      </c>
      <c r="S155" s="39">
        <f t="shared" si="5"/>
        <v>28781569.39</v>
      </c>
      <c r="T155" s="39">
        <f t="shared" si="6"/>
        <v>43172354.08</v>
      </c>
      <c r="U155" s="39">
        <f t="shared" si="7"/>
        <v>75695527.49</v>
      </c>
      <c r="V155" s="39">
        <f t="shared" si="8"/>
        <v>113543291.2</v>
      </c>
      <c r="W155" s="49">
        <v>0.02</v>
      </c>
    </row>
    <row r="156" ht="22.5" customHeight="1">
      <c r="A156" s="31" t="s">
        <v>938</v>
      </c>
      <c r="B156" s="32">
        <f t="shared" si="1"/>
        <v>828597</v>
      </c>
      <c r="C156" s="33" t="s">
        <v>939</v>
      </c>
      <c r="D156" s="33" t="s">
        <v>940</v>
      </c>
      <c r="E156" s="6" t="s">
        <v>121</v>
      </c>
      <c r="F156" s="14">
        <f t="shared" si="2"/>
        <v>1410587750</v>
      </c>
      <c r="G156" s="15">
        <v>1702.3809523809523</v>
      </c>
      <c r="H156" s="14">
        <v>3.8932221899999995E9</v>
      </c>
      <c r="I156" s="15">
        <f t="shared" si="3"/>
        <v>4698.571429</v>
      </c>
      <c r="J156" s="16">
        <v>4.62</v>
      </c>
      <c r="K156" s="17">
        <v>179350.0</v>
      </c>
      <c r="L156" s="18">
        <f t="shared" si="4"/>
        <v>69247.3937</v>
      </c>
      <c r="M156" s="19">
        <v>0.699</v>
      </c>
      <c r="N156" s="20">
        <v>7.1</v>
      </c>
      <c r="O156" s="21">
        <v>611.0</v>
      </c>
      <c r="P156" s="22" t="s">
        <v>941</v>
      </c>
      <c r="Q156" s="6" t="s">
        <v>942</v>
      </c>
      <c r="R156" s="6" t="s">
        <v>943</v>
      </c>
      <c r="S156" s="34">
        <f t="shared" si="5"/>
        <v>28211755</v>
      </c>
      <c r="T156" s="34">
        <f t="shared" si="6"/>
        <v>42317632.5</v>
      </c>
      <c r="U156" s="34">
        <f t="shared" si="7"/>
        <v>77864443.8</v>
      </c>
      <c r="V156" s="34">
        <f t="shared" si="8"/>
        <v>116796665.7</v>
      </c>
      <c r="W156" s="50">
        <v>0.02</v>
      </c>
    </row>
    <row r="157" ht="22.5" customHeight="1">
      <c r="A157" s="11" t="s">
        <v>944</v>
      </c>
      <c r="B157" s="25">
        <f t="shared" si="1"/>
        <v>2898501.76</v>
      </c>
      <c r="C157" s="26" t="s">
        <v>945</v>
      </c>
      <c r="D157" s="27" t="s">
        <v>946</v>
      </c>
      <c r="E157" s="6" t="s">
        <v>84</v>
      </c>
      <c r="F157" s="14">
        <f t="shared" si="2"/>
        <v>1150199111</v>
      </c>
      <c r="G157" s="15">
        <v>396.8253968253968</v>
      </c>
      <c r="H157" s="14">
        <v>2.7949838400000005E9</v>
      </c>
      <c r="I157" s="15">
        <f t="shared" si="3"/>
        <v>964.2857143</v>
      </c>
      <c r="J157" s="16">
        <v>67.76</v>
      </c>
      <c r="K157" s="17">
        <v>42776.0</v>
      </c>
      <c r="L157" s="18">
        <f t="shared" si="4"/>
        <v>16515.89915</v>
      </c>
      <c r="M157" s="7">
        <v>0.388</v>
      </c>
      <c r="N157" s="20">
        <v>0.67</v>
      </c>
      <c r="O157" s="21">
        <v>700.0</v>
      </c>
      <c r="P157" s="22" t="s">
        <v>947</v>
      </c>
      <c r="Q157" s="6" t="s">
        <v>948</v>
      </c>
      <c r="R157" s="6" t="s">
        <v>949</v>
      </c>
      <c r="S157" s="29">
        <f t="shared" si="5"/>
        <v>23003982.22</v>
      </c>
      <c r="T157" s="29">
        <f t="shared" si="6"/>
        <v>34505973.33</v>
      </c>
      <c r="U157" s="29">
        <f t="shared" si="7"/>
        <v>55899676.8</v>
      </c>
      <c r="V157" s="29">
        <f t="shared" si="8"/>
        <v>83849515.2</v>
      </c>
      <c r="W157" s="44">
        <v>0.02</v>
      </c>
    </row>
    <row r="158" ht="22.5" customHeight="1">
      <c r="A158" s="11" t="s">
        <v>950</v>
      </c>
      <c r="B158" s="12">
        <f t="shared" si="1"/>
        <v>495291.4</v>
      </c>
      <c r="C158" s="45" t="s">
        <v>951</v>
      </c>
      <c r="D158" s="13" t="s">
        <v>952</v>
      </c>
      <c r="E158" s="6" t="s">
        <v>121</v>
      </c>
      <c r="F158" s="14">
        <f t="shared" si="2"/>
        <v>1120301976</v>
      </c>
      <c r="G158" s="15">
        <v>2261.904761904762</v>
      </c>
      <c r="H158" s="14">
        <v>3.0808304345238094E9</v>
      </c>
      <c r="I158" s="15">
        <f t="shared" si="3"/>
        <v>6220.238095</v>
      </c>
      <c r="J158" s="16">
        <v>43.325</v>
      </c>
      <c r="K158" s="17">
        <v>11432.0</v>
      </c>
      <c r="L158" s="18">
        <f t="shared" si="4"/>
        <v>4413.918064</v>
      </c>
      <c r="M158" s="19">
        <v>0.698</v>
      </c>
      <c r="N158" s="20">
        <v>5.34</v>
      </c>
      <c r="O158" s="21">
        <v>615.0</v>
      </c>
      <c r="P158" s="22" t="s">
        <v>953</v>
      </c>
      <c r="Q158" s="6" t="s">
        <v>954</v>
      </c>
      <c r="R158" s="6" t="s">
        <v>955</v>
      </c>
      <c r="S158" s="23">
        <f t="shared" si="5"/>
        <v>22406039.52</v>
      </c>
      <c r="T158" s="23">
        <f t="shared" si="6"/>
        <v>33609059.29</v>
      </c>
      <c r="U158" s="23">
        <f t="shared" si="7"/>
        <v>61616608.69</v>
      </c>
      <c r="V158" s="23">
        <f t="shared" si="8"/>
        <v>92424913.04</v>
      </c>
      <c r="W158" s="47">
        <v>0.02</v>
      </c>
    </row>
    <row r="159" ht="22.5" customHeight="1">
      <c r="A159" s="31" t="s">
        <v>956</v>
      </c>
      <c r="B159" s="25">
        <f t="shared" si="1"/>
        <v>324028.32</v>
      </c>
      <c r="C159" s="26" t="s">
        <v>957</v>
      </c>
      <c r="D159" s="27" t="s">
        <v>958</v>
      </c>
      <c r="E159" s="6" t="s">
        <v>121</v>
      </c>
      <c r="F159" s="14">
        <f t="shared" si="2"/>
        <v>843502293.3</v>
      </c>
      <c r="G159" s="15">
        <v>2603.1746031746034</v>
      </c>
      <c r="H159" s="14">
        <v>2.0750156416000001E9</v>
      </c>
      <c r="I159" s="15">
        <f t="shared" si="3"/>
        <v>6403.809524</v>
      </c>
      <c r="J159" s="16">
        <v>67.76</v>
      </c>
      <c r="K159" s="17">
        <v>4782.0</v>
      </c>
      <c r="L159" s="18">
        <f t="shared" si="4"/>
        <v>1846.339764</v>
      </c>
      <c r="M159" s="19">
        <v>0.754</v>
      </c>
      <c r="N159" s="20">
        <v>6.88</v>
      </c>
      <c r="O159" s="21">
        <v>677.0</v>
      </c>
      <c r="P159" s="22" t="s">
        <v>959</v>
      </c>
      <c r="Q159" s="6" t="s">
        <v>960</v>
      </c>
      <c r="R159" s="6" t="s">
        <v>961</v>
      </c>
      <c r="S159" s="29">
        <f t="shared" si="5"/>
        <v>16870045.87</v>
      </c>
      <c r="T159" s="29">
        <f t="shared" si="6"/>
        <v>25305068.8</v>
      </c>
      <c r="U159" s="29">
        <f t="shared" si="7"/>
        <v>41500312.83</v>
      </c>
      <c r="V159" s="29">
        <f t="shared" si="8"/>
        <v>62250469.25</v>
      </c>
      <c r="W159" s="44">
        <v>0.02</v>
      </c>
    </row>
    <row r="160" ht="22.5" customHeight="1">
      <c r="A160" s="31" t="s">
        <v>962</v>
      </c>
      <c r="B160" s="32">
        <f t="shared" si="1"/>
        <v>5131190.176</v>
      </c>
      <c r="C160" s="33" t="s">
        <v>963</v>
      </c>
      <c r="D160" s="33" t="s">
        <v>964</v>
      </c>
      <c r="E160" s="6" t="s">
        <v>47</v>
      </c>
      <c r="F160" s="14">
        <f t="shared" si="2"/>
        <v>814474631.1</v>
      </c>
      <c r="G160" s="15">
        <v>158.73015873015873</v>
      </c>
      <c r="H160" s="14">
        <v>3.5592541380942855E9</v>
      </c>
      <c r="I160" s="15">
        <f t="shared" si="3"/>
        <v>693.6507937</v>
      </c>
      <c r="J160" s="16">
        <v>32.3994</v>
      </c>
      <c r="K160" s="17">
        <v>158373.0</v>
      </c>
      <c r="L160" s="18">
        <f t="shared" si="4"/>
        <v>61148.13205</v>
      </c>
      <c r="M160" s="19">
        <v>0.445</v>
      </c>
      <c r="N160" s="20">
        <v>0.95</v>
      </c>
      <c r="O160" s="21">
        <v>963.0</v>
      </c>
      <c r="P160" s="22" t="s">
        <v>965</v>
      </c>
      <c r="Q160" s="6" t="s">
        <v>966</v>
      </c>
      <c r="R160" s="6" t="s">
        <v>967</v>
      </c>
      <c r="S160" s="34">
        <f t="shared" si="5"/>
        <v>16289492.62</v>
      </c>
      <c r="T160" s="34">
        <f t="shared" si="6"/>
        <v>24434238.93</v>
      </c>
      <c r="U160" s="34">
        <f t="shared" si="7"/>
        <v>71185082.76</v>
      </c>
      <c r="V160" s="34">
        <f t="shared" si="8"/>
        <v>106777624.1</v>
      </c>
      <c r="W160" s="50">
        <v>0.02</v>
      </c>
    </row>
    <row r="161" ht="22.5" customHeight="1">
      <c r="A161" s="31" t="s">
        <v>968</v>
      </c>
      <c r="B161" s="36">
        <f t="shared" si="1"/>
        <v>220217.6</v>
      </c>
      <c r="C161" s="37" t="s">
        <v>969</v>
      </c>
      <c r="D161" s="37" t="s">
        <v>970</v>
      </c>
      <c r="E161" s="6" t="s">
        <v>54</v>
      </c>
      <c r="F161" s="14">
        <f t="shared" si="2"/>
        <v>760275047.6</v>
      </c>
      <c r="G161" s="15">
        <v>3452.3809523809523</v>
      </c>
      <c r="H161" s="14">
        <v>2.584935161904762E9</v>
      </c>
      <c r="I161" s="15">
        <f t="shared" si="3"/>
        <v>11738.09524</v>
      </c>
      <c r="J161" s="16">
        <v>12.16</v>
      </c>
      <c r="K161" s="17">
        <v>18110.0</v>
      </c>
      <c r="L161" s="18">
        <f t="shared" si="4"/>
        <v>6992.30722</v>
      </c>
      <c r="M161" s="19">
        <v>0.562</v>
      </c>
      <c r="N161" s="20">
        <v>5.2</v>
      </c>
      <c r="O161" s="21">
        <v>34.0</v>
      </c>
      <c r="P161" s="22" t="s">
        <v>971</v>
      </c>
      <c r="Q161" s="6" t="s">
        <v>972</v>
      </c>
      <c r="R161" s="6" t="s">
        <v>973</v>
      </c>
      <c r="S161" s="39">
        <f t="shared" si="5"/>
        <v>15205500.95</v>
      </c>
      <c r="T161" s="39">
        <f t="shared" si="6"/>
        <v>22808251.43</v>
      </c>
      <c r="U161" s="39">
        <f t="shared" si="7"/>
        <v>51698703.24</v>
      </c>
      <c r="V161" s="39">
        <f t="shared" si="8"/>
        <v>77548054.86</v>
      </c>
      <c r="W161" s="49">
        <v>0.02</v>
      </c>
    </row>
    <row r="162" ht="22.5" customHeight="1">
      <c r="A162" s="11" t="s">
        <v>974</v>
      </c>
      <c r="B162" s="12">
        <f t="shared" si="1"/>
        <v>239091.7217</v>
      </c>
      <c r="C162" s="45" t="s">
        <v>975</v>
      </c>
      <c r="D162" s="13" t="s">
        <v>976</v>
      </c>
      <c r="E162" s="6" t="s">
        <v>121</v>
      </c>
      <c r="F162" s="14">
        <f t="shared" si="2"/>
        <v>747636018.6</v>
      </c>
      <c r="G162" s="15">
        <v>3126.9841269841268</v>
      </c>
      <c r="H162" s="14">
        <v>1.7494682836391425E9</v>
      </c>
      <c r="I162" s="15">
        <f t="shared" si="3"/>
        <v>7317.142857</v>
      </c>
      <c r="J162" s="16">
        <v>61.6057</v>
      </c>
      <c r="K162" s="17">
        <v>3881.0</v>
      </c>
      <c r="L162" s="18">
        <f t="shared" si="4"/>
        <v>1498.461862</v>
      </c>
      <c r="M162" s="19">
        <v>0.777</v>
      </c>
      <c r="N162" s="20">
        <v>4.6</v>
      </c>
      <c r="O162" s="21">
        <v>615.0</v>
      </c>
      <c r="P162" s="22" t="s">
        <v>977</v>
      </c>
      <c r="Q162" s="6" t="s">
        <v>978</v>
      </c>
      <c r="R162" s="6" t="s">
        <v>979</v>
      </c>
      <c r="S162" s="23">
        <f t="shared" si="5"/>
        <v>14952720.37</v>
      </c>
      <c r="T162" s="23">
        <f t="shared" si="6"/>
        <v>22429080.56</v>
      </c>
      <c r="U162" s="23">
        <f t="shared" si="7"/>
        <v>34989365.67</v>
      </c>
      <c r="V162" s="23">
        <f t="shared" si="8"/>
        <v>52484048.51</v>
      </c>
      <c r="W162" s="47">
        <v>0.02</v>
      </c>
    </row>
    <row r="163" ht="22.5" customHeight="1">
      <c r="A163" s="11" t="s">
        <v>980</v>
      </c>
      <c r="B163" s="25">
        <f t="shared" si="1"/>
        <v>47933.0675</v>
      </c>
      <c r="C163" s="26" t="s">
        <v>981</v>
      </c>
      <c r="D163" s="27" t="s">
        <v>982</v>
      </c>
      <c r="E163" s="6" t="s">
        <v>33</v>
      </c>
      <c r="F163" s="14">
        <f t="shared" si="2"/>
        <v>540198062.3</v>
      </c>
      <c r="G163" s="15">
        <v>11269.84126984127</v>
      </c>
      <c r="H163" s="14">
        <v>1.2208476208015873E9</v>
      </c>
      <c r="I163" s="15">
        <f t="shared" si="3"/>
        <v>25469.84127</v>
      </c>
      <c r="J163" s="16">
        <v>36.1759</v>
      </c>
      <c r="K163" s="17">
        <v>1325.0</v>
      </c>
      <c r="L163" s="18">
        <f t="shared" si="4"/>
        <v>511.58515</v>
      </c>
      <c r="M163" s="19">
        <v>0.752</v>
      </c>
      <c r="N163" s="20">
        <v>8.97</v>
      </c>
      <c r="O163" s="21">
        <v>182.0</v>
      </c>
      <c r="P163" s="22" t="s">
        <v>983</v>
      </c>
      <c r="Q163" s="6" t="s">
        <v>984</v>
      </c>
      <c r="R163" s="6" t="s">
        <v>985</v>
      </c>
      <c r="S163" s="29">
        <f t="shared" si="5"/>
        <v>10803961.25</v>
      </c>
      <c r="T163" s="29">
        <f t="shared" si="6"/>
        <v>16205941.87</v>
      </c>
      <c r="U163" s="29">
        <f t="shared" si="7"/>
        <v>24416952.42</v>
      </c>
      <c r="V163" s="29">
        <f t="shared" si="8"/>
        <v>36625428.62</v>
      </c>
      <c r="W163" s="44">
        <v>0.02</v>
      </c>
    </row>
    <row r="164" ht="22.5" customHeight="1">
      <c r="A164" s="31" t="s">
        <v>986</v>
      </c>
      <c r="B164" s="12">
        <f t="shared" si="1"/>
        <v>82798.0608</v>
      </c>
      <c r="C164" s="13" t="s">
        <v>987</v>
      </c>
      <c r="D164" s="13" t="s">
        <v>988</v>
      </c>
      <c r="E164" s="6" t="s">
        <v>121</v>
      </c>
      <c r="F164" s="14">
        <f t="shared" si="2"/>
        <v>417275941.3</v>
      </c>
      <c r="G164" s="15">
        <v>5039.68253968254</v>
      </c>
      <c r="H164" s="14">
        <v>9.054887926933333E8</v>
      </c>
      <c r="I164" s="15">
        <f t="shared" si="3"/>
        <v>10936.11111</v>
      </c>
      <c r="J164" s="16">
        <v>61.6057</v>
      </c>
      <c r="K164" s="38">
        <v>1344.0</v>
      </c>
      <c r="L164" s="18">
        <f t="shared" si="4"/>
        <v>518.921088</v>
      </c>
      <c r="M164" s="19">
        <v>0.8</v>
      </c>
      <c r="N164" s="20">
        <v>6.21</v>
      </c>
      <c r="O164" s="21">
        <v>620.0</v>
      </c>
      <c r="P164" s="22" t="s">
        <v>989</v>
      </c>
      <c r="Q164" s="6" t="s">
        <v>990</v>
      </c>
      <c r="R164" s="6" t="s">
        <v>991</v>
      </c>
      <c r="S164" s="23">
        <f t="shared" si="5"/>
        <v>8345518.827</v>
      </c>
      <c r="T164" s="23">
        <f t="shared" si="6"/>
        <v>12518278.24</v>
      </c>
      <c r="U164" s="23">
        <f t="shared" si="7"/>
        <v>18109775.85</v>
      </c>
      <c r="V164" s="23">
        <f t="shared" si="8"/>
        <v>27164663.78</v>
      </c>
      <c r="W164" s="47">
        <v>0.02</v>
      </c>
    </row>
    <row r="165" ht="22.5" customHeight="1">
      <c r="A165" s="11" t="s">
        <v>992</v>
      </c>
      <c r="B165" s="25">
        <f t="shared" si="1"/>
        <v>2950683.185</v>
      </c>
      <c r="C165" s="27" t="s">
        <v>993</v>
      </c>
      <c r="D165" s="27" t="s">
        <v>994</v>
      </c>
      <c r="E165" s="6" t="s">
        <v>33</v>
      </c>
      <c r="F165" s="14">
        <f t="shared" si="2"/>
        <v>375860834.2</v>
      </c>
      <c r="G165" s="15">
        <v>127.38095238095238</v>
      </c>
      <c r="H165" s="14">
        <v>1.6274774121555893E9</v>
      </c>
      <c r="I165" s="15">
        <f t="shared" si="3"/>
        <v>551.5595238</v>
      </c>
      <c r="J165" s="16">
        <v>13.8559</v>
      </c>
      <c r="K165" s="17">
        <v>212955.0</v>
      </c>
      <c r="L165" s="18">
        <f t="shared" si="4"/>
        <v>82222.35141</v>
      </c>
      <c r="M165" s="7">
        <v>0.393</v>
      </c>
      <c r="N165" s="20">
        <v>1.25</v>
      </c>
      <c r="O165" s="21">
        <v>543.0</v>
      </c>
      <c r="P165" s="6" t="s">
        <v>995</v>
      </c>
      <c r="Q165" s="6" t="s">
        <v>996</v>
      </c>
      <c r="R165" s="6" t="s">
        <v>997</v>
      </c>
      <c r="S165" s="29">
        <f t="shared" si="5"/>
        <v>7517216.684</v>
      </c>
      <c r="T165" s="29">
        <f t="shared" si="6"/>
        <v>11275825.03</v>
      </c>
      <c r="U165" s="29">
        <f t="shared" si="7"/>
        <v>32549548.24</v>
      </c>
      <c r="V165" s="29">
        <f t="shared" si="8"/>
        <v>48824322.36</v>
      </c>
      <c r="W165" s="44">
        <v>0.02</v>
      </c>
    </row>
    <row r="166" ht="22.5" customHeight="1">
      <c r="A166" s="31" t="s">
        <v>998</v>
      </c>
      <c r="B166" s="12">
        <f t="shared" si="1"/>
        <v>51690.1</v>
      </c>
      <c r="C166" s="13" t="s">
        <v>999</v>
      </c>
      <c r="D166" s="13" t="s">
        <v>1000</v>
      </c>
      <c r="E166" s="6" t="s">
        <v>47</v>
      </c>
      <c r="F166" s="14">
        <f t="shared" si="2"/>
        <v>252296916.7</v>
      </c>
      <c r="G166" s="15">
        <v>4880.952380952381</v>
      </c>
      <c r="H166" s="14">
        <v>6.004666616666666E8</v>
      </c>
      <c r="I166" s="15">
        <f t="shared" si="3"/>
        <v>11616.66667</v>
      </c>
      <c r="J166" s="16">
        <v>94.325</v>
      </c>
      <c r="K166" s="17">
        <v>548.0</v>
      </c>
      <c r="L166" s="18">
        <f t="shared" si="4"/>
        <v>211.583896</v>
      </c>
      <c r="M166" s="19">
        <v>0.759</v>
      </c>
      <c r="N166" s="20">
        <v>8.34</v>
      </c>
      <c r="O166" s="21">
        <v>344.0</v>
      </c>
      <c r="P166" s="22" t="s">
        <v>1001</v>
      </c>
      <c r="Q166" s="6" t="s">
        <v>1002</v>
      </c>
      <c r="R166" s="6" t="s">
        <v>1003</v>
      </c>
      <c r="S166" s="23">
        <f t="shared" si="5"/>
        <v>5045938.333</v>
      </c>
      <c r="T166" s="23">
        <f t="shared" si="6"/>
        <v>7568907.5</v>
      </c>
      <c r="U166" s="23">
        <f t="shared" si="7"/>
        <v>12009333.23</v>
      </c>
      <c r="V166" s="23">
        <f t="shared" si="8"/>
        <v>18013999.85</v>
      </c>
      <c r="W166" s="47">
        <v>0.02</v>
      </c>
    </row>
    <row r="167" ht="22.5" customHeight="1">
      <c r="A167" s="31" t="s">
        <v>1004</v>
      </c>
      <c r="B167" s="25">
        <f t="shared" si="1"/>
        <v>1441953.94</v>
      </c>
      <c r="C167" s="26" t="s">
        <v>1005</v>
      </c>
      <c r="D167" s="27" t="s">
        <v>1006</v>
      </c>
      <c r="E167" s="6" t="s">
        <v>84</v>
      </c>
      <c r="F167" s="14">
        <f t="shared" si="2"/>
        <v>223159538.3</v>
      </c>
      <c r="G167" s="15">
        <v>154.76190476190476</v>
      </c>
      <c r="H167" s="14">
        <v>5.467408689166666E8</v>
      </c>
      <c r="I167" s="15">
        <f t="shared" si="3"/>
        <v>379.1666667</v>
      </c>
      <c r="J167" s="16">
        <v>0.785</v>
      </c>
      <c r="K167" s="17">
        <v>1836884.0</v>
      </c>
      <c r="L167" s="18">
        <f t="shared" si="4"/>
        <v>709224.5862</v>
      </c>
      <c r="M167" s="19">
        <v>0.463</v>
      </c>
      <c r="N167" s="20">
        <v>4.35</v>
      </c>
      <c r="O167" s="21">
        <v>735.0</v>
      </c>
      <c r="P167" s="22" t="s">
        <v>1007</v>
      </c>
      <c r="Q167" s="6" t="s">
        <v>1008</v>
      </c>
      <c r="R167" s="6" t="s">
        <v>1009</v>
      </c>
      <c r="S167" s="29">
        <f t="shared" si="5"/>
        <v>4463190.767</v>
      </c>
      <c r="T167" s="29">
        <f t="shared" si="6"/>
        <v>6694786.15</v>
      </c>
      <c r="U167" s="29">
        <f t="shared" si="7"/>
        <v>10934817.38</v>
      </c>
      <c r="V167" s="29">
        <f t="shared" si="8"/>
        <v>16402226.07</v>
      </c>
      <c r="W167" s="44">
        <v>0.02</v>
      </c>
    </row>
    <row r="168" ht="22.5" customHeight="1">
      <c r="A168" s="11" t="s">
        <v>1010</v>
      </c>
      <c r="B168" s="32">
        <f t="shared" si="1"/>
        <v>37482.06</v>
      </c>
      <c r="C168" s="42" t="s">
        <v>1011</v>
      </c>
      <c r="D168" s="33" t="s">
        <v>1012</v>
      </c>
      <c r="E168" s="6" t="s">
        <v>121</v>
      </c>
      <c r="F168" s="14">
        <f t="shared" si="2"/>
        <v>165099550</v>
      </c>
      <c r="G168" s="15">
        <v>4404.761904761905</v>
      </c>
      <c r="H168" s="14">
        <v>4.2595683900000006E8</v>
      </c>
      <c r="I168" s="15">
        <f t="shared" si="3"/>
        <v>11364.28571</v>
      </c>
      <c r="J168" s="16">
        <v>14.63</v>
      </c>
      <c r="K168" s="17">
        <v>2562.0</v>
      </c>
      <c r="L168" s="18">
        <f t="shared" si="4"/>
        <v>989.193324</v>
      </c>
      <c r="M168" s="19">
        <v>0.722</v>
      </c>
      <c r="N168" s="20">
        <v>3.86</v>
      </c>
      <c r="O168" s="21">
        <v>652.0</v>
      </c>
      <c r="P168" s="22" t="s">
        <v>1013</v>
      </c>
      <c r="Q168" s="6" t="s">
        <v>1014</v>
      </c>
      <c r="R168" s="6" t="s">
        <v>1015</v>
      </c>
      <c r="S168" s="34">
        <f t="shared" si="5"/>
        <v>3301991</v>
      </c>
      <c r="T168" s="34">
        <f t="shared" si="6"/>
        <v>4952986.5</v>
      </c>
      <c r="U168" s="34">
        <f t="shared" si="7"/>
        <v>8519136.78</v>
      </c>
      <c r="V168" s="34">
        <f t="shared" si="8"/>
        <v>12778705.17</v>
      </c>
      <c r="W168" s="50">
        <v>0.02</v>
      </c>
    </row>
    <row r="169" ht="22.5" customHeight="1">
      <c r="A169" s="11" t="s">
        <v>1016</v>
      </c>
      <c r="B169" s="36">
        <f t="shared" si="1"/>
        <v>143924.55</v>
      </c>
      <c r="C169" s="37" t="s">
        <v>1017</v>
      </c>
      <c r="D169" s="37" t="s">
        <v>1018</v>
      </c>
      <c r="E169" s="6" t="s">
        <v>54</v>
      </c>
      <c r="F169" s="14">
        <f t="shared" si="2"/>
        <v>154204875</v>
      </c>
      <c r="G169" s="15">
        <v>1071.4285714285713</v>
      </c>
      <c r="H169" s="14">
        <v>4.564464299999999E8</v>
      </c>
      <c r="I169" s="15">
        <f t="shared" si="3"/>
        <v>3171.428571</v>
      </c>
      <c r="J169" s="16">
        <v>6.545</v>
      </c>
      <c r="K169" s="17">
        <v>21990.0</v>
      </c>
      <c r="L169" s="18">
        <f t="shared" si="4"/>
        <v>8490.38298</v>
      </c>
      <c r="M169" s="19">
        <v>0.662</v>
      </c>
      <c r="N169" s="20">
        <v>4.44</v>
      </c>
      <c r="O169" s="21">
        <v>185.0</v>
      </c>
      <c r="P169" s="22" t="s">
        <v>1019</v>
      </c>
      <c r="Q169" s="6" t="s">
        <v>1016</v>
      </c>
      <c r="R169" s="6" t="s">
        <v>1020</v>
      </c>
      <c r="S169" s="39">
        <f t="shared" si="5"/>
        <v>3084097.5</v>
      </c>
      <c r="T169" s="39">
        <f t="shared" si="6"/>
        <v>4626146.25</v>
      </c>
      <c r="U169" s="39">
        <f t="shared" si="7"/>
        <v>9128928.6</v>
      </c>
      <c r="V169" s="39">
        <f t="shared" si="8"/>
        <v>13693392.9</v>
      </c>
      <c r="W169" s="49">
        <v>0.02</v>
      </c>
    </row>
    <row r="170" ht="22.5" customHeight="1">
      <c r="A170" s="58" t="s">
        <v>1021</v>
      </c>
      <c r="B170" s="59">
        <v>76045.20000000001</v>
      </c>
      <c r="C170" s="13" t="s">
        <v>1022</v>
      </c>
      <c r="D170" s="13" t="s">
        <v>1023</v>
      </c>
      <c r="E170" s="60" t="s">
        <v>84</v>
      </c>
      <c r="F170" s="61">
        <v>1.2342256666666669E8</v>
      </c>
      <c r="G170" s="62">
        <v>1623.015873015873</v>
      </c>
      <c r="H170" s="61">
        <v>3.2830402733333343E8</v>
      </c>
      <c r="I170" s="15">
        <f t="shared" si="3"/>
        <v>4317.222222</v>
      </c>
      <c r="J170" s="63">
        <v>46.2</v>
      </c>
      <c r="K170" s="18">
        <v>1646.0</v>
      </c>
      <c r="L170" s="18">
        <v>635.523892</v>
      </c>
      <c r="M170" s="64">
        <v>0.72</v>
      </c>
      <c r="N170" s="65">
        <v>2.47</v>
      </c>
      <c r="O170" s="66">
        <v>780.0</v>
      </c>
      <c r="P170" s="60" t="s">
        <v>1024</v>
      </c>
      <c r="Q170" s="60" t="s">
        <v>1025</v>
      </c>
      <c r="R170" s="6" t="s">
        <v>1021</v>
      </c>
      <c r="S170" s="23">
        <v>0.0</v>
      </c>
      <c r="T170" s="23">
        <f t="shared" si="6"/>
        <v>3702677</v>
      </c>
      <c r="U170" s="23">
        <f t="shared" si="7"/>
        <v>6566080.547</v>
      </c>
      <c r="V170" s="23">
        <f t="shared" si="8"/>
        <v>9849120.82</v>
      </c>
      <c r="W170" s="47">
        <v>0.02</v>
      </c>
    </row>
    <row r="171" ht="22.5" customHeight="1">
      <c r="A171" s="31" t="s">
        <v>1026</v>
      </c>
      <c r="B171" s="25">
        <f t="shared" ref="B171:B173" si="9">SUM(J171*K171)</f>
        <v>5165.16</v>
      </c>
      <c r="C171" s="26" t="s">
        <v>1027</v>
      </c>
      <c r="D171" s="27" t="s">
        <v>1028</v>
      </c>
      <c r="E171" s="6" t="s">
        <v>121</v>
      </c>
      <c r="F171" s="14">
        <f t="shared" ref="F171:F173" si="10">SUM(G171*B171)</f>
        <v>48167166.67</v>
      </c>
      <c r="G171" s="15">
        <v>9325.396825396825</v>
      </c>
      <c r="H171" s="14">
        <v>9.440764666666666E7</v>
      </c>
      <c r="I171" s="15">
        <f t="shared" si="3"/>
        <v>18277.77778</v>
      </c>
      <c r="J171" s="16">
        <v>40.04</v>
      </c>
      <c r="K171" s="38">
        <v>129.0</v>
      </c>
      <c r="L171" s="18">
        <f t="shared" ref="L171:L173" si="11">SUM(K171*0.386102)</f>
        <v>49.807158</v>
      </c>
      <c r="M171" s="19">
        <v>0.822</v>
      </c>
      <c r="N171" s="20">
        <v>5.15</v>
      </c>
      <c r="O171" s="21">
        <v>616.0</v>
      </c>
      <c r="P171" s="22" t="s">
        <v>1029</v>
      </c>
      <c r="Q171" s="6" t="s">
        <v>1030</v>
      </c>
      <c r="R171" s="6" t="s">
        <v>1031</v>
      </c>
      <c r="S171" s="29">
        <f t="shared" ref="S171:S173" si="12">SUM(F171*W171)</f>
        <v>963343.3333</v>
      </c>
      <c r="T171" s="29">
        <f t="shared" si="6"/>
        <v>1445015</v>
      </c>
      <c r="U171" s="29">
        <f t="shared" si="7"/>
        <v>1888152.933</v>
      </c>
      <c r="V171" s="29">
        <f t="shared" si="8"/>
        <v>2832229.4</v>
      </c>
      <c r="W171" s="44">
        <v>0.02</v>
      </c>
    </row>
    <row r="172" ht="22.5" customHeight="1">
      <c r="A172" s="31" t="s">
        <v>1032</v>
      </c>
      <c r="B172" s="32">
        <f t="shared" si="9"/>
        <v>10360.45</v>
      </c>
      <c r="C172" s="33" t="s">
        <v>1033</v>
      </c>
      <c r="D172" s="33" t="s">
        <v>1034</v>
      </c>
      <c r="E172" s="6" t="s">
        <v>47</v>
      </c>
      <c r="F172" s="14">
        <f t="shared" si="10"/>
        <v>36590478.17</v>
      </c>
      <c r="G172" s="15">
        <v>3531.746031746032</v>
      </c>
      <c r="H172" s="14">
        <v>9.074438587301588E7</v>
      </c>
      <c r="I172" s="15">
        <f t="shared" si="3"/>
        <v>8758.730159</v>
      </c>
      <c r="J172" s="16">
        <v>19.01</v>
      </c>
      <c r="K172" s="17">
        <v>545.0</v>
      </c>
      <c r="L172" s="18">
        <f t="shared" si="11"/>
        <v>210.42559</v>
      </c>
      <c r="M172" s="19">
        <v>0.747</v>
      </c>
      <c r="N172" s="20">
        <v>6.12</v>
      </c>
      <c r="O172" s="21">
        <v>345.0</v>
      </c>
      <c r="P172" s="22" t="s">
        <v>1035</v>
      </c>
      <c r="Q172" s="6" t="s">
        <v>1036</v>
      </c>
      <c r="R172" s="6" t="s">
        <v>1037</v>
      </c>
      <c r="S172" s="34">
        <f t="shared" si="12"/>
        <v>731809.5635</v>
      </c>
      <c r="T172" s="34">
        <f t="shared" si="6"/>
        <v>1097714.345</v>
      </c>
      <c r="U172" s="34">
        <f t="shared" si="7"/>
        <v>1814887.717</v>
      </c>
      <c r="V172" s="34">
        <f t="shared" si="8"/>
        <v>2722331.576</v>
      </c>
      <c r="W172" s="50">
        <v>0.02</v>
      </c>
    </row>
    <row r="173" ht="22.5" customHeight="1">
      <c r="A173" s="31" t="s">
        <v>1038</v>
      </c>
      <c r="B173" s="25">
        <f t="shared" si="9"/>
        <v>3983.807</v>
      </c>
      <c r="C173" s="27" t="s">
        <v>1039</v>
      </c>
      <c r="D173" s="27" t="s">
        <v>1040</v>
      </c>
      <c r="E173" s="6" t="s">
        <v>40</v>
      </c>
      <c r="F173" s="14">
        <f t="shared" si="10"/>
        <v>7524968.778</v>
      </c>
      <c r="G173" s="15">
        <v>1888.888888888889</v>
      </c>
      <c r="H173" s="14">
        <v>2.2273907582222223E7</v>
      </c>
      <c r="I173" s="15">
        <f t="shared" si="3"/>
        <v>5591.111111</v>
      </c>
      <c r="J173" s="16">
        <v>17.3209</v>
      </c>
      <c r="K173" s="17">
        <v>230.0</v>
      </c>
      <c r="L173" s="18">
        <f t="shared" si="11"/>
        <v>88.80346</v>
      </c>
      <c r="M173" s="19">
        <v>0.659</v>
      </c>
      <c r="N173" s="20">
        <v>7.45</v>
      </c>
      <c r="O173" s="21">
        <v>955.0</v>
      </c>
      <c r="P173" s="22" t="s">
        <v>1041</v>
      </c>
      <c r="Q173" s="6" t="s">
        <v>1042</v>
      </c>
      <c r="R173" s="6" t="s">
        <v>1043</v>
      </c>
      <c r="S173" s="29">
        <f t="shared" si="12"/>
        <v>150499.3756</v>
      </c>
      <c r="T173" s="29">
        <f t="shared" si="6"/>
        <v>225749.0633</v>
      </c>
      <c r="U173" s="29">
        <f t="shared" si="7"/>
        <v>445478.1516</v>
      </c>
      <c r="V173" s="29">
        <f t="shared" si="8"/>
        <v>668217.2275</v>
      </c>
      <c r="W173" s="44">
        <v>0.02</v>
      </c>
    </row>
    <row r="174" ht="22.5" customHeight="1">
      <c r="A174" s="6" t="s">
        <v>1044</v>
      </c>
      <c r="B174" s="67">
        <f>SUM(ALL[Population])</f>
        <v>6750557645</v>
      </c>
      <c r="C174" s="68"/>
      <c r="D174" s="68"/>
      <c r="E174" s="6" t="s">
        <v>1045</v>
      </c>
      <c r="F174" s="14">
        <f>SUM(ALL[GDP (Nominal)])</f>
        <v>62761418039984</v>
      </c>
      <c r="G174" s="15">
        <f>sum(ALL[[#TOTALS],[GDP (Nominal)]]/ALL[[#TOTALS],[Population]])</f>
        <v>9297.219776</v>
      </c>
      <c r="H174" s="14">
        <f>SUM(ALL[GDP (PPP)])</f>
        <v>109171110759386</v>
      </c>
      <c r="I174" s="15">
        <f>sum(ALL[[#TOTALS],[GDP (PPP)]]/ALL[[#TOTALS],[Population]])</f>
        <v>16172.16184</v>
      </c>
      <c r="J174" s="69">
        <f>sum(ALL[[#TOTALS],[Population]]/ALL[[#TOTALS],[Area (Km)]])</f>
        <v>53.72462378</v>
      </c>
      <c r="K174" s="18">
        <f>SUM(ALL[Area (Km)])</f>
        <v>125651092</v>
      </c>
      <c r="L174" s="18">
        <f>SUM(ALL[Area (Mi)])</f>
        <v>48514137.92</v>
      </c>
      <c r="M174" s="6" t="s">
        <v>1045</v>
      </c>
      <c r="N174" s="6" t="s">
        <v>1045</v>
      </c>
      <c r="O174" s="6" t="s">
        <v>1045</v>
      </c>
      <c r="P174" s="6" t="s">
        <v>1045</v>
      </c>
      <c r="Q174" s="6" t="s">
        <v>186</v>
      </c>
      <c r="R174" s="22"/>
      <c r="S174" s="70">
        <f>SUM(ALL!$S$2:$S$173)</f>
        <v>1781251406476</v>
      </c>
      <c r="T174" s="70">
        <f>SUM(ALL!$T$2:$T$173)</f>
        <v>2671880812391</v>
      </c>
      <c r="U174" s="70">
        <f>SUM(ALL!$U$2:$U$173)</f>
        <v>3054715591231</v>
      </c>
      <c r="V174" s="70">
        <f>SUM(ALL!$V$2:$V$173)</f>
        <v>4582073386847</v>
      </c>
      <c r="W174" s="71">
        <f>SUM(W175/172)</f>
        <v>0.022175</v>
      </c>
    </row>
    <row r="175">
      <c r="A175" s="72"/>
      <c r="B175" s="73"/>
      <c r="C175" s="74"/>
      <c r="D175" s="74"/>
      <c r="E175" s="75"/>
      <c r="F175" s="76"/>
      <c r="G175" s="77"/>
      <c r="H175" s="76"/>
      <c r="I175" s="77"/>
      <c r="J175" s="78"/>
      <c r="K175" s="76"/>
      <c r="L175" s="76"/>
      <c r="M175" s="72"/>
      <c r="N175" s="72"/>
      <c r="O175" s="72"/>
      <c r="P175" s="75"/>
      <c r="Q175" s="75"/>
      <c r="R175" s="79"/>
      <c r="S175" s="80"/>
      <c r="T175" s="81"/>
      <c r="U175" s="81"/>
      <c r="V175" s="81"/>
      <c r="W175" s="82">
        <f>SUM(ALL!$W$2:$W$173)</f>
        <v>3.8141</v>
      </c>
    </row>
    <row r="176">
      <c r="A176" s="72"/>
      <c r="B176" s="83"/>
      <c r="C176" s="84"/>
      <c r="D176" s="84"/>
      <c r="E176" s="85"/>
      <c r="F176" s="76"/>
      <c r="G176" s="83"/>
      <c r="H176" s="76"/>
      <c r="I176" s="83"/>
      <c r="J176" s="86"/>
      <c r="K176" s="76"/>
      <c r="L176" s="76"/>
      <c r="M176" s="87"/>
      <c r="N176" s="72"/>
      <c r="O176" s="76"/>
      <c r="P176" s="79"/>
      <c r="Q176" s="88"/>
      <c r="R176" s="79"/>
      <c r="S176" s="89"/>
      <c r="T176" s="90"/>
      <c r="U176" s="90"/>
      <c r="V176" s="90"/>
      <c r="W176" s="90"/>
    </row>
    <row r="177">
      <c r="A177" s="72"/>
      <c r="B177" s="83"/>
      <c r="C177" s="84"/>
      <c r="D177" s="84"/>
      <c r="E177" s="85"/>
      <c r="F177" s="76"/>
      <c r="G177" s="91"/>
      <c r="H177" s="76"/>
      <c r="I177" s="91"/>
      <c r="J177" s="86"/>
      <c r="K177" s="76"/>
      <c r="L177" s="76"/>
      <c r="M177" s="87"/>
      <c r="N177" s="72"/>
      <c r="O177" s="76"/>
      <c r="P177" s="79"/>
      <c r="Q177" s="88"/>
      <c r="R177" s="88"/>
      <c r="S177" s="84"/>
      <c r="T177" s="92"/>
      <c r="U177" s="92"/>
      <c r="V177" s="92"/>
      <c r="W177" s="92"/>
    </row>
    <row r="178">
      <c r="A178" s="86"/>
      <c r="B178" s="83"/>
      <c r="C178" s="84"/>
      <c r="D178" s="84"/>
      <c r="E178" s="85"/>
      <c r="F178" s="76"/>
      <c r="G178" s="83"/>
      <c r="H178" s="76"/>
      <c r="I178" s="83"/>
      <c r="J178" s="86"/>
      <c r="K178" s="76"/>
      <c r="L178" s="76"/>
      <c r="M178" s="87"/>
      <c r="N178" s="72"/>
      <c r="O178" s="76"/>
      <c r="P178" s="79"/>
      <c r="Q178" s="88"/>
      <c r="R178" s="88"/>
      <c r="S178" s="84"/>
      <c r="T178" s="92"/>
      <c r="U178" s="92"/>
      <c r="V178" s="92"/>
      <c r="W178" s="92"/>
    </row>
    <row r="179">
      <c r="A179" s="86"/>
      <c r="B179" s="83"/>
      <c r="C179" s="84"/>
      <c r="D179" s="84"/>
      <c r="E179" s="85"/>
      <c r="F179" s="76"/>
      <c r="G179" s="72"/>
      <c r="H179" s="76"/>
      <c r="I179" s="72"/>
      <c r="J179" s="86"/>
      <c r="K179" s="76"/>
      <c r="L179" s="76"/>
      <c r="M179" s="87"/>
      <c r="N179" s="72"/>
      <c r="O179" s="76"/>
      <c r="P179" s="79"/>
      <c r="Q179" s="88"/>
      <c r="R179" s="88"/>
      <c r="S179" s="84"/>
      <c r="T179" s="92"/>
      <c r="U179" s="92"/>
      <c r="V179" s="92"/>
      <c r="W179" s="92"/>
    </row>
    <row r="180">
      <c r="A180" s="86"/>
      <c r="B180" s="83"/>
      <c r="C180" s="84"/>
      <c r="D180" s="84"/>
      <c r="E180" s="85"/>
      <c r="F180" s="76"/>
      <c r="G180" s="72"/>
      <c r="H180" s="76"/>
      <c r="I180" s="72"/>
      <c r="J180" s="86"/>
      <c r="K180" s="76"/>
      <c r="L180" s="76"/>
      <c r="M180" s="87"/>
      <c r="N180" s="72"/>
      <c r="O180" s="76"/>
      <c r="P180" s="79"/>
      <c r="Q180" s="88"/>
      <c r="R180" s="88"/>
      <c r="S180" s="84"/>
      <c r="T180" s="92"/>
      <c r="U180" s="92"/>
      <c r="V180" s="92"/>
      <c r="W180" s="92"/>
    </row>
    <row r="181">
      <c r="A181" s="86"/>
      <c r="B181" s="83"/>
      <c r="C181" s="84"/>
      <c r="D181" s="84"/>
      <c r="E181" s="85"/>
      <c r="F181" s="76"/>
      <c r="G181" s="72"/>
      <c r="H181" s="76"/>
      <c r="I181" s="72"/>
      <c r="J181" s="86"/>
      <c r="K181" s="76"/>
      <c r="L181" s="76"/>
      <c r="M181" s="87"/>
      <c r="N181" s="72"/>
      <c r="O181" s="76"/>
      <c r="P181" s="79"/>
      <c r="Q181" s="88"/>
      <c r="R181" s="88"/>
      <c r="S181" s="84"/>
      <c r="T181" s="92"/>
      <c r="U181" s="92"/>
      <c r="V181" s="92"/>
      <c r="W181" s="92"/>
    </row>
    <row r="182">
      <c r="A182" s="86"/>
      <c r="B182" s="83"/>
      <c r="C182" s="84"/>
      <c r="D182" s="84"/>
      <c r="E182" s="85"/>
      <c r="F182" s="76"/>
      <c r="G182" s="72"/>
      <c r="H182" s="76"/>
      <c r="I182" s="72"/>
      <c r="J182" s="86"/>
      <c r="K182" s="76"/>
      <c r="L182" s="76"/>
      <c r="M182" s="87"/>
      <c r="N182" s="72"/>
      <c r="O182" s="76"/>
      <c r="P182" s="79"/>
      <c r="Q182" s="88"/>
      <c r="R182" s="88"/>
      <c r="S182" s="84"/>
      <c r="T182" s="92"/>
      <c r="U182" s="92"/>
      <c r="V182" s="92"/>
      <c r="W182" s="92"/>
    </row>
    <row r="183">
      <c r="A183" s="86"/>
      <c r="B183" s="83"/>
      <c r="C183" s="84"/>
      <c r="D183" s="84"/>
      <c r="E183" s="85"/>
      <c r="F183" s="76"/>
      <c r="G183" s="72"/>
      <c r="H183" s="76"/>
      <c r="I183" s="72"/>
      <c r="J183" s="86"/>
      <c r="K183" s="76"/>
      <c r="L183" s="76"/>
      <c r="M183" s="87"/>
      <c r="N183" s="72"/>
      <c r="O183" s="76"/>
      <c r="P183" s="79"/>
      <c r="Q183" s="88"/>
      <c r="R183" s="88"/>
      <c r="S183" s="84"/>
      <c r="T183" s="92"/>
      <c r="U183" s="92"/>
      <c r="V183" s="92"/>
      <c r="W183" s="92"/>
    </row>
    <row r="184">
      <c r="A184" s="86"/>
      <c r="B184" s="83"/>
      <c r="C184" s="84"/>
      <c r="D184" s="84"/>
      <c r="E184" s="85"/>
      <c r="F184" s="76"/>
      <c r="G184" s="72"/>
      <c r="H184" s="76"/>
      <c r="I184" s="72"/>
      <c r="J184" s="86"/>
      <c r="K184" s="76"/>
      <c r="L184" s="76"/>
      <c r="M184" s="87"/>
      <c r="N184" s="72"/>
      <c r="O184" s="76"/>
      <c r="P184" s="79"/>
      <c r="Q184" s="88"/>
      <c r="R184" s="88"/>
      <c r="S184" s="84"/>
      <c r="T184" s="92"/>
      <c r="U184" s="92"/>
      <c r="V184" s="92"/>
      <c r="W184" s="92"/>
    </row>
    <row r="185">
      <c r="A185" s="86"/>
      <c r="B185" s="83"/>
      <c r="C185" s="84"/>
      <c r="D185" s="84"/>
      <c r="E185" s="85"/>
      <c r="F185" s="76"/>
      <c r="G185" s="72"/>
      <c r="H185" s="76"/>
      <c r="I185" s="72"/>
      <c r="J185" s="86"/>
      <c r="K185" s="76"/>
      <c r="L185" s="76"/>
      <c r="M185" s="87"/>
      <c r="N185" s="72"/>
      <c r="O185" s="76"/>
      <c r="P185" s="79"/>
      <c r="Q185" s="88"/>
      <c r="R185" s="88"/>
      <c r="S185" s="84"/>
      <c r="T185" s="92"/>
      <c r="U185" s="92"/>
      <c r="V185" s="92"/>
      <c r="W185" s="92"/>
    </row>
  </sheetData>
  <dataValidations>
    <dataValidation type="custom" allowBlank="1" showDropDown="1" sqref="F2:I173">
      <formula1>AND(ISNUMBER(F2),(NOT(OR(NOT(ISERROR(DATEVALUE(F2))), AND(ISNUMBER(F2), LEFT(CELL("format", F2))="D")))))</formula1>
    </dataValidation>
    <dataValidation allowBlank="1" showDropDown="1" sqref="A2:A173"/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0.63"/>
    <col customWidth="1" min="3" max="3" width="12.25"/>
    <col customWidth="1" min="4" max="4" width="6.88"/>
    <col customWidth="1" min="5" max="5" width="15.75"/>
    <col customWidth="1" min="6" max="6" width="17.13"/>
    <col customWidth="1" min="7" max="7" width="8.63"/>
    <col customWidth="1" min="8" max="8" width="4.88"/>
    <col customWidth="1" min="9" max="10" width="0.38"/>
    <col customWidth="1" min="11" max="11" width="32.88"/>
    <col customWidth="1" min="12" max="12" width="37.13"/>
    <col customWidth="1" min="13" max="13" width="302.38"/>
    <col customWidth="1" min="17" max="18" width="14.88"/>
  </cols>
  <sheetData>
    <row r="1">
      <c r="A1" s="93" t="s">
        <v>0</v>
      </c>
      <c r="B1" s="94" t="s">
        <v>10</v>
      </c>
      <c r="C1" s="95" t="s">
        <v>1</v>
      </c>
      <c r="D1" s="96" t="s">
        <v>9</v>
      </c>
      <c r="E1" s="97" t="s">
        <v>7</v>
      </c>
      <c r="F1" s="98" t="s">
        <v>5</v>
      </c>
      <c r="G1" s="97" t="s">
        <v>6</v>
      </c>
      <c r="H1" s="99" t="s">
        <v>1046</v>
      </c>
      <c r="I1" s="100" t="s">
        <v>4</v>
      </c>
      <c r="J1" s="101" t="s">
        <v>1047</v>
      </c>
      <c r="K1" s="102"/>
      <c r="M1" s="102"/>
      <c r="N1" s="84"/>
      <c r="O1" s="103"/>
      <c r="P1" s="104"/>
      <c r="Q1" s="103"/>
      <c r="R1" s="103"/>
    </row>
    <row r="2">
      <c r="A2" s="105" t="s">
        <v>212</v>
      </c>
      <c r="B2" s="106">
        <v>440878.0</v>
      </c>
      <c r="C2" s="107">
        <v>3.1745420389999997E7</v>
      </c>
      <c r="D2" s="108">
        <v>72.005</v>
      </c>
      <c r="E2" s="109">
        <v>6.26063516049016E11</v>
      </c>
      <c r="F2" s="110">
        <v>3.426489819873015E11</v>
      </c>
      <c r="G2" s="109">
        <v>10793.650793650793</v>
      </c>
      <c r="H2" s="111">
        <v>1.0</v>
      </c>
      <c r="I2" s="111" t="s">
        <v>84</v>
      </c>
      <c r="J2" s="111" t="s">
        <v>1048</v>
      </c>
      <c r="K2" s="102" t="str">
        <f>CONCATENATE(A2",,"%",,")</f>
        <v>#ERROR!</v>
      </c>
      <c r="M2" s="84"/>
      <c r="N2" s="84"/>
      <c r="O2" s="103"/>
      <c r="P2" s="104"/>
      <c r="Q2" s="103"/>
      <c r="R2" s="103"/>
    </row>
    <row r="3">
      <c r="A3" s="105" t="s">
        <v>891</v>
      </c>
      <c r="B3" s="112">
        <v>154449.0</v>
      </c>
      <c r="C3" s="113">
        <v>1724423.085</v>
      </c>
      <c r="D3" s="108">
        <v>11.165</v>
      </c>
      <c r="E3" s="114">
        <v>1.1381192361E10</v>
      </c>
      <c r="F3" s="110">
        <v>4.2152564299999995E9</v>
      </c>
      <c r="G3" s="114">
        <v>2444.4444444444443</v>
      </c>
      <c r="H3" s="111">
        <v>1.0</v>
      </c>
      <c r="I3" s="111" t="s">
        <v>84</v>
      </c>
      <c r="J3" s="111" t="s">
        <v>1048</v>
      </c>
      <c r="K3" s="102" t="str">
        <f t="shared" ref="K3:K5" si="1">CONCATENATE("| ",B3," || ",C3," || ",D3," || ",E3," || ",F3," || ",G3,"  ")</f>
        <v>| 154449 || 1724423.085 || 11.165 || 11381192361 || 4215256430. || 2444.44444444444  </v>
      </c>
      <c r="M3" s="102" t="s">
        <v>1049</v>
      </c>
      <c r="N3" s="115"/>
      <c r="O3" s="116"/>
      <c r="P3" s="117"/>
      <c r="Q3" s="116"/>
      <c r="R3" s="116"/>
    </row>
    <row r="4">
      <c r="A4" s="105" t="s">
        <v>311</v>
      </c>
      <c r="B4" s="106">
        <v>431272.0</v>
      </c>
      <c r="C4" s="107">
        <v>4.267220804E7</v>
      </c>
      <c r="D4" s="118">
        <v>98.945</v>
      </c>
      <c r="E4" s="109">
        <v>7.24141172136111E11</v>
      </c>
      <c r="F4" s="110">
        <v>3.132681939444444E11</v>
      </c>
      <c r="G4" s="109">
        <v>7341.269841269841</v>
      </c>
      <c r="H4" s="111">
        <v>1.0</v>
      </c>
      <c r="I4" s="111" t="s">
        <v>84</v>
      </c>
      <c r="J4" s="111" t="s">
        <v>1048</v>
      </c>
      <c r="K4" s="102" t="str">
        <f t="shared" si="1"/>
        <v>| 431272 || 42672208.04 || 98.945 || 724141172136.111 || 313268193944.444 || 7341.26984126984  </v>
      </c>
      <c r="M4" s="84" t="str">
        <f>#REF! </f>
        <v>#REF!</v>
      </c>
      <c r="N4" s="115"/>
      <c r="O4" s="103"/>
      <c r="P4" s="104"/>
      <c r="Q4" s="103"/>
      <c r="R4" s="103"/>
    </row>
    <row r="5">
      <c r="A5" s="105" t="s">
        <v>567</v>
      </c>
      <c r="B5" s="112">
        <v>266831.0</v>
      </c>
      <c r="C5" s="113">
        <v>1.2224862264999999E7</v>
      </c>
      <c r="D5" s="118">
        <v>45.815</v>
      </c>
      <c r="E5" s="109">
        <v>1.271278950571972E11</v>
      </c>
      <c r="F5" s="110">
        <v>4.492151768805555E10</v>
      </c>
      <c r="G5" s="109">
        <v>3674.6031746031745</v>
      </c>
      <c r="H5" s="111">
        <v>1.0</v>
      </c>
      <c r="I5" s="111" t="s">
        <v>84</v>
      </c>
      <c r="J5" s="111" t="s">
        <v>1048</v>
      </c>
      <c r="K5" s="102" t="str">
        <f t="shared" si="1"/>
        <v>| 266831 || 12224862.265 || 45.815 || 127127895057.197 || 44921517688.0556 || 3674.60317460317  </v>
      </c>
      <c r="M5" s="102" t="s">
        <v>1049</v>
      </c>
      <c r="N5" s="115"/>
      <c r="O5" s="103"/>
      <c r="P5" s="104"/>
      <c r="Q5" s="103"/>
      <c r="R5" s="103"/>
    </row>
    <row r="6">
      <c r="A6" s="105" t="s">
        <v>591</v>
      </c>
      <c r="B6" s="119">
        <v>255572.0</v>
      </c>
      <c r="C6" s="120">
        <v>1.0233102879999999E7</v>
      </c>
      <c r="D6" s="118">
        <v>40.04</v>
      </c>
      <c r="E6" s="114">
        <v>1.0043059540799998E11</v>
      </c>
      <c r="F6" s="110">
        <v>3.719651681777777E10</v>
      </c>
      <c r="G6" s="114">
        <v>3634.9206349206347</v>
      </c>
      <c r="H6" s="111">
        <v>1.0</v>
      </c>
      <c r="I6" s="111" t="s">
        <v>84</v>
      </c>
      <c r="J6" s="111" t="s">
        <v>1048</v>
      </c>
      <c r="K6" s="102" t="str">
        <f t="shared" ref="K6:K21" si="2">CONCATENATE("| ",B6," || ",C6," || ",D6," || ",E6," || ",F6,"  ")</f>
        <v>| 255572 || 10233102.88 || 40.04 || 100430595408. || 37196516817.7778  </v>
      </c>
      <c r="M6" s="102" t="str">
        <f>K2 </f>
        <v>#ERROR!</v>
      </c>
      <c r="N6" s="84"/>
      <c r="O6" s="116"/>
      <c r="P6" s="117"/>
      <c r="Q6" s="116"/>
      <c r="R6" s="116"/>
    </row>
    <row r="7">
      <c r="A7" s="121" t="s">
        <v>371</v>
      </c>
      <c r="B7" s="122">
        <v>1542246.0</v>
      </c>
      <c r="C7" s="123">
        <v>1.721917659E7</v>
      </c>
      <c r="D7" s="118">
        <v>11.165</v>
      </c>
      <c r="E7" s="114">
        <v>2.266313806965E11</v>
      </c>
      <c r="F7" s="110">
        <v>1.2709392245E11</v>
      </c>
      <c r="G7" s="114">
        <v>7380.952380952381</v>
      </c>
      <c r="H7" s="111">
        <v>1.0</v>
      </c>
      <c r="I7" s="111" t="s">
        <v>84</v>
      </c>
      <c r="J7" s="111" t="s">
        <v>1048</v>
      </c>
      <c r="K7" s="102" t="str">
        <f t="shared" si="2"/>
        <v>| 1542246 || 17219176.59 || 11.165 || 226631380696.5 || 127093922450  </v>
      </c>
      <c r="M7" s="102" t="s">
        <v>1049</v>
      </c>
      <c r="N7" s="84"/>
      <c r="O7" s="116"/>
      <c r="P7" s="117"/>
      <c r="Q7" s="116"/>
      <c r="R7" s="116"/>
    </row>
    <row r="8">
      <c r="A8" s="121" t="s">
        <v>914</v>
      </c>
      <c r="B8" s="119">
        <v>5310404.0</v>
      </c>
      <c r="C8" s="120">
        <v>7354909.54</v>
      </c>
      <c r="D8" s="108">
        <v>1.385</v>
      </c>
      <c r="E8" s="114">
        <v>3.714521179189683E9</v>
      </c>
      <c r="F8" s="110">
        <v>2.5975672581746035E9</v>
      </c>
      <c r="G8" s="114">
        <v>353.1746031746032</v>
      </c>
      <c r="H8" s="111">
        <v>1.0</v>
      </c>
      <c r="I8" s="111" t="s">
        <v>84</v>
      </c>
      <c r="J8" s="111" t="s">
        <v>1048</v>
      </c>
      <c r="K8" s="102" t="str">
        <f t="shared" si="2"/>
        <v>| 5310404 || 7354909.54 || 1.385 || 3714521179.18968 || 2597567258.1746  </v>
      </c>
      <c r="M8" s="84" t="str">
        <f>K4 </f>
        <v>| 431272 || 42672208.04 || 98.945 || 724141172136.111 || 313268193944.444 || 7341.26984126984  </v>
      </c>
    </row>
    <row r="9">
      <c r="A9" s="124"/>
      <c r="B9" s="125"/>
      <c r="C9" s="126"/>
      <c r="D9" s="118"/>
      <c r="E9" s="127"/>
      <c r="F9" s="128"/>
      <c r="G9" s="127"/>
      <c r="H9" s="111"/>
      <c r="I9" s="111" t="s">
        <v>121</v>
      </c>
      <c r="J9" s="111" t="s">
        <v>1050</v>
      </c>
      <c r="K9" s="102" t="str">
        <f t="shared" si="2"/>
        <v>|  ||  ||  ||  ||   </v>
      </c>
      <c r="M9" s="102" t="s">
        <v>1049</v>
      </c>
    </row>
    <row r="10">
      <c r="A10" s="111"/>
      <c r="B10" s="129"/>
      <c r="C10" s="130"/>
      <c r="D10" s="118"/>
      <c r="E10" s="127"/>
      <c r="F10" s="128"/>
      <c r="G10" s="127"/>
      <c r="H10" s="111"/>
      <c r="I10" s="111" t="s">
        <v>121</v>
      </c>
      <c r="J10" s="111" t="s">
        <v>1050</v>
      </c>
      <c r="K10" s="102" t="str">
        <f t="shared" si="2"/>
        <v>|  ||  ||  ||  ||   </v>
      </c>
      <c r="M10" s="84" t="str">
        <f>K5 </f>
        <v>| 266831 || 12224862.265 || 45.815 || 127127895057.197 || 44921517688.0556 || 3674.60317460317  </v>
      </c>
      <c r="N10" s="115"/>
      <c r="O10" s="103"/>
      <c r="P10" s="104"/>
      <c r="Q10" s="103"/>
      <c r="R10" s="103"/>
    </row>
    <row r="11">
      <c r="A11" s="111"/>
      <c r="B11" s="131"/>
      <c r="C11" s="132"/>
      <c r="D11" s="108"/>
      <c r="E11" s="133"/>
      <c r="F11" s="128"/>
      <c r="G11" s="133"/>
      <c r="H11" s="111"/>
      <c r="I11" s="111" t="s">
        <v>121</v>
      </c>
      <c r="J11" s="111" t="s">
        <v>1050</v>
      </c>
      <c r="K11" s="102" t="str">
        <f t="shared" si="2"/>
        <v>|  ||  ||  ||  ||   </v>
      </c>
      <c r="M11" s="102" t="s">
        <v>1049</v>
      </c>
      <c r="N11" s="115"/>
      <c r="O11" s="116"/>
      <c r="P11" s="117"/>
      <c r="Q11" s="116"/>
      <c r="R11" s="116"/>
    </row>
    <row r="12">
      <c r="A12" s="111"/>
      <c r="B12" s="129"/>
      <c r="C12" s="130"/>
      <c r="D12" s="118"/>
      <c r="E12" s="127"/>
      <c r="F12" s="128"/>
      <c r="G12" s="127"/>
      <c r="H12" s="111"/>
      <c r="I12" s="111" t="s">
        <v>121</v>
      </c>
      <c r="J12" s="111" t="s">
        <v>1050</v>
      </c>
      <c r="K12" s="102" t="str">
        <f t="shared" si="2"/>
        <v>|  ||  ||  ||  ||   </v>
      </c>
      <c r="M12" s="84" t="str">
        <f>K6 </f>
        <v>| 255572 || 10233102.88 || 40.04 || 100430595408. || 37196516817.7778  </v>
      </c>
      <c r="N12" s="84"/>
      <c r="O12" s="116"/>
      <c r="P12" s="117"/>
      <c r="Q12" s="116"/>
      <c r="R12" s="116"/>
    </row>
    <row r="13">
      <c r="A13" s="111"/>
      <c r="B13" s="134"/>
      <c r="C13" s="135"/>
      <c r="D13" s="118"/>
      <c r="E13" s="127"/>
      <c r="F13" s="128"/>
      <c r="G13" s="127"/>
      <c r="H13" s="111"/>
      <c r="I13" s="111" t="s">
        <v>121</v>
      </c>
      <c r="J13" s="111" t="s">
        <v>1050</v>
      </c>
      <c r="K13" s="102" t="str">
        <f t="shared" si="2"/>
        <v>|  ||  ||  ||  ||   </v>
      </c>
      <c r="M13" s="102" t="s">
        <v>1049</v>
      </c>
      <c r="N13" s="115"/>
      <c r="O13" s="116"/>
      <c r="P13" s="117"/>
      <c r="Q13" s="116"/>
      <c r="R13" s="116"/>
    </row>
    <row r="14">
      <c r="A14" s="136"/>
      <c r="B14" s="137"/>
      <c r="C14" s="137"/>
      <c r="D14" s="138"/>
      <c r="E14" s="139"/>
      <c r="F14" s="138"/>
      <c r="G14" s="140"/>
      <c r="H14" s="141"/>
      <c r="I14" s="142" t="s">
        <v>121</v>
      </c>
      <c r="J14" s="142" t="s">
        <v>1050</v>
      </c>
      <c r="K14" s="102" t="str">
        <f t="shared" si="2"/>
        <v>|  ||  ||  ||  ||   </v>
      </c>
      <c r="M14" s="84" t="str">
        <f>K7 </f>
        <v>| 1542246 || 17219176.59 || 11.165 || 226631380696.5 || 127093922450  </v>
      </c>
      <c r="N14" s="84"/>
      <c r="O14" s="103"/>
      <c r="P14" s="104"/>
      <c r="Q14" s="103"/>
      <c r="R14" s="103"/>
    </row>
    <row r="15">
      <c r="A15" s="136"/>
      <c r="B15" s="143"/>
      <c r="C15" s="144"/>
      <c r="D15" s="138"/>
      <c r="E15" s="139"/>
      <c r="F15" s="138"/>
      <c r="G15" s="140"/>
      <c r="H15" s="141"/>
      <c r="I15" s="145"/>
      <c r="J15" s="145"/>
      <c r="K15" s="102" t="str">
        <f t="shared" si="2"/>
        <v>|  ||  ||  ||  ||   </v>
      </c>
      <c r="M15" s="102" t="s">
        <v>1049</v>
      </c>
    </row>
    <row r="16">
      <c r="A16" s="136"/>
      <c r="B16" s="143"/>
      <c r="C16" s="144"/>
      <c r="D16" s="138"/>
      <c r="E16" s="139"/>
      <c r="F16" s="138"/>
      <c r="G16" s="140"/>
      <c r="H16" s="141"/>
      <c r="I16" s="146"/>
      <c r="J16" s="146"/>
      <c r="K16" s="102" t="str">
        <f t="shared" si="2"/>
        <v>|  ||  ||  ||  ||   </v>
      </c>
      <c r="M16" s="84" t="str">
        <f>K8 </f>
        <v>| 5310404 || 7354909.54 || 1.385 || 3714521179.18968 || 2597567258.1746  </v>
      </c>
    </row>
    <row r="17">
      <c r="A17" s="136"/>
      <c r="B17" s="144"/>
      <c r="C17" s="144"/>
      <c r="D17" s="138"/>
      <c r="E17" s="139"/>
      <c r="F17" s="138"/>
      <c r="G17" s="140"/>
      <c r="H17" s="141"/>
      <c r="I17" s="145"/>
      <c r="J17" s="145"/>
      <c r="K17" s="102" t="str">
        <f t="shared" si="2"/>
        <v>|  ||  ||  ||  ||   </v>
      </c>
      <c r="M17" s="102" t="s">
        <v>1049</v>
      </c>
    </row>
    <row r="18">
      <c r="A18" s="136"/>
      <c r="B18" s="147"/>
      <c r="C18" s="144"/>
      <c r="D18" s="148"/>
      <c r="E18" s="149"/>
      <c r="F18" s="148"/>
      <c r="G18" s="150"/>
      <c r="H18" s="151"/>
      <c r="I18" s="152"/>
      <c r="J18" s="152"/>
      <c r="K18" s="102" t="str">
        <f t="shared" si="2"/>
        <v>|  ||  ||  ||  ||   </v>
      </c>
      <c r="M18" s="84" t="str">
        <f>K9 </f>
        <v>|  ||  ||  ||  ||   </v>
      </c>
    </row>
    <row r="19">
      <c r="A19" s="153"/>
      <c r="B19" s="154"/>
      <c r="C19" s="154"/>
      <c r="D19" s="155"/>
      <c r="E19" s="154"/>
      <c r="F19" s="154"/>
      <c r="G19" s="154"/>
      <c r="H19" s="154"/>
      <c r="I19" s="152"/>
      <c r="J19" s="152"/>
      <c r="K19" s="102" t="str">
        <f t="shared" si="2"/>
        <v>|  ||  ||  ||  ||   </v>
      </c>
      <c r="M19" s="102" t="s">
        <v>1049</v>
      </c>
    </row>
    <row r="20">
      <c r="A20" s="156"/>
      <c r="B20" s="154"/>
      <c r="C20" s="154"/>
      <c r="D20" s="155"/>
      <c r="E20" s="154"/>
      <c r="F20" s="154"/>
      <c r="G20" s="154"/>
      <c r="H20" s="154"/>
      <c r="I20" s="157"/>
      <c r="J20" s="157"/>
      <c r="K20" s="102" t="str">
        <f t="shared" si="2"/>
        <v>|  ||  ||  ||  ||   </v>
      </c>
      <c r="M20" s="84" t="str">
        <f>K10 </f>
        <v>|  ||  ||  ||  ||   </v>
      </c>
    </row>
    <row r="21">
      <c r="A21" s="156"/>
      <c r="B21" s="154"/>
      <c r="C21" s="154"/>
      <c r="D21" s="155"/>
      <c r="E21" s="154"/>
      <c r="F21" s="154"/>
      <c r="G21" s="154"/>
      <c r="H21" s="154"/>
      <c r="I21" s="157"/>
      <c r="J21" s="157"/>
      <c r="K21" s="102" t="str">
        <f t="shared" si="2"/>
        <v>|  ||  ||  ||  ||   </v>
      </c>
      <c r="M21" s="102" t="s">
        <v>1049</v>
      </c>
    </row>
    <row r="22">
      <c r="A22" s="156"/>
      <c r="B22" s="154"/>
      <c r="C22" s="154"/>
      <c r="D22" s="155"/>
      <c r="E22" s="154"/>
      <c r="F22" s="154"/>
      <c r="G22" s="154"/>
      <c r="H22" s="154"/>
      <c r="I22" s="157"/>
      <c r="J22" s="157"/>
      <c r="K22" s="102" t="str">
        <f t="shared" ref="K22:K106" si="3">CONCATENATE("| align=left | {{flag|",A22,"}} || ",B22," || ",C22," || ",D22," || ",E22," || ",F22,"  ")</f>
        <v>| align=left | {{flag|}} ||  ||  ||  ||  ||   </v>
      </c>
      <c r="M22" s="84" t="str">
        <f>K11 </f>
        <v>|  ||  ||  ||  ||   </v>
      </c>
    </row>
    <row r="23">
      <c r="A23" s="158"/>
      <c r="B23" s="154"/>
      <c r="C23" s="154"/>
      <c r="D23" s="155"/>
      <c r="E23" s="154"/>
      <c r="F23" s="154"/>
      <c r="G23" s="154"/>
      <c r="H23" s="154"/>
      <c r="I23" s="157"/>
      <c r="J23" s="157"/>
      <c r="K23" s="102" t="str">
        <f t="shared" si="3"/>
        <v>| align=left | {{flag|}} ||  ||  ||  ||  ||   </v>
      </c>
      <c r="M23" s="102" t="s">
        <v>1049</v>
      </c>
    </row>
    <row r="24">
      <c r="A24" s="157" t="s">
        <v>1051</v>
      </c>
      <c r="B24" s="154">
        <f t="shared" ref="B24:C24" si="4">SUM(B2:B23)</f>
        <v>8401652</v>
      </c>
      <c r="C24" s="154">
        <f t="shared" si="4"/>
        <v>123174102.8</v>
      </c>
      <c r="D24" s="155">
        <f>SUM(C24/B24)</f>
        <v>14.66070039</v>
      </c>
      <c r="E24" s="154">
        <f t="shared" ref="E24:F24" si="5">SUM(E2:E23)</f>
        <v>1819490272887</v>
      </c>
      <c r="F24" s="154">
        <f t="shared" si="5"/>
        <v>871941956576</v>
      </c>
      <c r="G24" s="154">
        <f>SUM(F24/C24)</f>
        <v>7078.938972</v>
      </c>
      <c r="H24" s="154">
        <f>SUM(H2:H23)</f>
        <v>7</v>
      </c>
      <c r="I24" s="157"/>
      <c r="J24" s="157"/>
      <c r="K24" s="102" t="str">
        <f t="shared" si="3"/>
        <v>| align=left | {{flag|South Ayuma}} || 8401652 || 123174102.79 || 14.6607003943986 || 1819490272887.01 || 871941956575.754  </v>
      </c>
      <c r="M24" s="84" t="str">
        <f>K12 </f>
        <v>|  ||  ||  ||  ||   </v>
      </c>
    </row>
    <row r="25">
      <c r="A25" s="159" t="s">
        <v>0</v>
      </c>
      <c r="B25" s="160" t="s">
        <v>10</v>
      </c>
      <c r="C25" s="161" t="s">
        <v>1</v>
      </c>
      <c r="D25" s="162" t="s">
        <v>9</v>
      </c>
      <c r="E25" s="163" t="s">
        <v>7</v>
      </c>
      <c r="F25" s="164" t="s">
        <v>5</v>
      </c>
      <c r="G25" s="163" t="s">
        <v>6</v>
      </c>
      <c r="H25" s="165" t="s">
        <v>1046</v>
      </c>
      <c r="I25" s="157"/>
      <c r="J25" s="157"/>
      <c r="K25" s="102" t="str">
        <f t="shared" si="3"/>
        <v>| align=left | {{flag|Name}} || Area (Km) || Population || Density || GDP (PPP) || GDP (Nominal)  </v>
      </c>
      <c r="M25" s="102" t="s">
        <v>1049</v>
      </c>
    </row>
    <row r="26">
      <c r="A26" s="166"/>
      <c r="B26" s="167"/>
      <c r="C26" s="167"/>
      <c r="D26" s="167"/>
      <c r="E26" s="167"/>
      <c r="F26" s="167"/>
      <c r="G26" s="157"/>
      <c r="H26" s="157"/>
      <c r="I26" s="157"/>
      <c r="J26" s="157"/>
      <c r="K26" s="102" t="str">
        <f t="shared" si="3"/>
        <v>| align=left | {{flag|}} ||  ||  ||  ||  ||   </v>
      </c>
      <c r="M26" s="102" t="str">
        <f>K13 </f>
        <v>|  ||  ||  ||  ||   </v>
      </c>
    </row>
    <row r="27">
      <c r="A27" s="168"/>
      <c r="B27" s="167"/>
      <c r="C27" s="167"/>
      <c r="D27" s="167"/>
      <c r="E27" s="167"/>
      <c r="F27" s="167"/>
      <c r="G27" s="157"/>
      <c r="H27" s="157"/>
      <c r="I27" s="157"/>
      <c r="J27" s="157"/>
      <c r="K27" s="102" t="str">
        <f t="shared" si="3"/>
        <v>| align=left | {{flag|}} ||  ||  ||  ||  ||   </v>
      </c>
      <c r="M27" s="102" t="s">
        <v>1049</v>
      </c>
    </row>
    <row r="28">
      <c r="A28" s="168"/>
      <c r="B28" s="169"/>
      <c r="C28" s="169"/>
      <c r="D28" s="167"/>
      <c r="E28" s="167"/>
      <c r="F28" s="169"/>
      <c r="G28" s="157"/>
      <c r="H28" s="157"/>
      <c r="I28" s="157"/>
      <c r="J28" s="157"/>
      <c r="K28" s="102" t="str">
        <f t="shared" si="3"/>
        <v>| align=left | {{flag|}} ||  ||  ||  ||  ||   </v>
      </c>
      <c r="M28" s="84" t="str">
        <f>K14 </f>
        <v>|  ||  ||  ||  ||   </v>
      </c>
    </row>
    <row r="29">
      <c r="A29" s="168"/>
      <c r="B29" s="167"/>
      <c r="C29" s="167"/>
      <c r="D29" s="167"/>
      <c r="E29" s="170"/>
      <c r="F29" s="167"/>
      <c r="G29" s="157"/>
      <c r="H29" s="157"/>
      <c r="I29" s="157"/>
      <c r="J29" s="157"/>
      <c r="K29" s="102" t="str">
        <f t="shared" si="3"/>
        <v>| align=left | {{flag|}} ||  ||  ||  ||  ||   </v>
      </c>
      <c r="M29" s="102" t="s">
        <v>1049</v>
      </c>
    </row>
    <row r="30">
      <c r="A30" s="168"/>
      <c r="B30" s="167"/>
      <c r="C30" s="169"/>
      <c r="D30" s="169"/>
      <c r="E30" s="170"/>
      <c r="F30" s="167"/>
      <c r="G30" s="157"/>
      <c r="H30" s="157"/>
      <c r="I30" s="157"/>
      <c r="J30" s="157"/>
      <c r="K30" s="102" t="str">
        <f t="shared" si="3"/>
        <v>| align=left | {{flag|}} ||  ||  ||  ||  ||   </v>
      </c>
      <c r="M30" s="84" t="str">
        <f>K15 </f>
        <v>|  ||  ||  ||  ||   </v>
      </c>
    </row>
    <row r="31">
      <c r="A31" s="168"/>
      <c r="B31" s="167"/>
      <c r="C31" s="169"/>
      <c r="D31" s="169"/>
      <c r="E31" s="170"/>
      <c r="F31" s="167"/>
      <c r="G31" s="157"/>
      <c r="H31" s="157"/>
      <c r="I31" s="157"/>
      <c r="J31" s="157"/>
      <c r="K31" s="102" t="str">
        <f t="shared" si="3"/>
        <v>| align=left | {{flag|}} ||  ||  ||  ||  ||   </v>
      </c>
      <c r="M31" s="102" t="s">
        <v>1049</v>
      </c>
    </row>
    <row r="32">
      <c r="A32" s="168"/>
      <c r="B32" s="167"/>
      <c r="C32" s="167"/>
      <c r="D32" s="167"/>
      <c r="E32" s="170"/>
      <c r="F32" s="167"/>
      <c r="G32" s="157"/>
      <c r="H32" s="157"/>
      <c r="I32" s="157"/>
      <c r="J32" s="157"/>
      <c r="K32" s="102" t="str">
        <f t="shared" si="3"/>
        <v>| align=left | {{flag|}} ||  ||  ||  ||  ||   </v>
      </c>
      <c r="M32" s="84" t="str">
        <f>K16 </f>
        <v>|  ||  ||  ||  ||   </v>
      </c>
    </row>
    <row r="33">
      <c r="A33" s="168"/>
      <c r="B33" s="167"/>
      <c r="C33" s="167"/>
      <c r="D33" s="167"/>
      <c r="E33" s="170"/>
      <c r="F33" s="167"/>
      <c r="G33" s="157"/>
      <c r="H33" s="157"/>
      <c r="I33" s="157"/>
      <c r="J33" s="157"/>
      <c r="K33" s="102" t="str">
        <f t="shared" si="3"/>
        <v>| align=left | {{flag|}} ||  ||  ||  ||  ||   </v>
      </c>
      <c r="M33" s="102" t="s">
        <v>1049</v>
      </c>
    </row>
    <row r="34">
      <c r="A34" s="168"/>
      <c r="B34" s="167"/>
      <c r="C34" s="167"/>
      <c r="D34" s="167"/>
      <c r="E34" s="170"/>
      <c r="F34" s="167"/>
      <c r="G34" s="171"/>
      <c r="H34" s="171"/>
      <c r="I34" s="171"/>
      <c r="J34" s="171"/>
      <c r="K34" s="102" t="str">
        <f t="shared" si="3"/>
        <v>| align=left | {{flag|}} ||  ||  ||  ||  ||   </v>
      </c>
      <c r="M34" s="84" t="str">
        <f>K17 </f>
        <v>|  ||  ||  ||  ||   </v>
      </c>
    </row>
    <row r="35">
      <c r="A35" s="166"/>
      <c r="B35" s="167"/>
      <c r="C35" s="167"/>
      <c r="D35" s="167"/>
      <c r="E35" s="170"/>
      <c r="F35" s="167"/>
      <c r="G35" s="171"/>
      <c r="H35" s="171"/>
      <c r="I35" s="171"/>
      <c r="J35" s="171"/>
      <c r="K35" s="102" t="str">
        <f t="shared" si="3"/>
        <v>| align=left | {{flag|}} ||  ||  ||  ||  ||   </v>
      </c>
      <c r="M35" s="102" t="s">
        <v>1049</v>
      </c>
    </row>
    <row r="36">
      <c r="A36" s="168"/>
      <c r="B36" s="167"/>
      <c r="C36" s="169"/>
      <c r="D36" s="167"/>
      <c r="E36" s="170"/>
      <c r="F36" s="167"/>
      <c r="G36" s="171"/>
      <c r="H36" s="171"/>
      <c r="I36" s="171"/>
      <c r="J36" s="171"/>
      <c r="K36" s="102" t="str">
        <f t="shared" si="3"/>
        <v>| align=left | {{flag|}} ||  ||  ||  ||  ||   </v>
      </c>
      <c r="M36" s="84" t="str">
        <f>K18 </f>
        <v>|  ||  ||  ||  ||   </v>
      </c>
    </row>
    <row r="37">
      <c r="A37" s="166"/>
      <c r="B37" s="167"/>
      <c r="C37" s="169"/>
      <c r="D37" s="169"/>
      <c r="E37" s="170"/>
      <c r="F37" s="167"/>
      <c r="G37" s="171"/>
      <c r="H37" s="171"/>
      <c r="I37" s="171"/>
      <c r="J37" s="171"/>
      <c r="K37" s="102" t="str">
        <f t="shared" si="3"/>
        <v>| align=left | {{flag|}} ||  ||  ||  ||  ||   </v>
      </c>
      <c r="M37" s="102" t="s">
        <v>1049</v>
      </c>
    </row>
    <row r="38">
      <c r="A38" s="168"/>
      <c r="B38" s="167"/>
      <c r="C38" s="167"/>
      <c r="D38" s="167"/>
      <c r="E38" s="170"/>
      <c r="F38" s="167"/>
      <c r="G38" s="171"/>
      <c r="H38" s="171"/>
      <c r="I38" s="171"/>
      <c r="J38" s="171"/>
      <c r="K38" s="102" t="str">
        <f t="shared" si="3"/>
        <v>| align=left | {{flag|}} ||  ||  ||  ||  ||   </v>
      </c>
      <c r="M38" s="84" t="str">
        <f>K19 </f>
        <v>|  ||  ||  ||  ||   </v>
      </c>
    </row>
    <row r="39">
      <c r="A39" s="166"/>
      <c r="B39" s="167"/>
      <c r="C39" s="167"/>
      <c r="D39" s="169"/>
      <c r="E39" s="170"/>
      <c r="F39" s="167"/>
      <c r="G39" s="171"/>
      <c r="H39" s="171"/>
      <c r="I39" s="171"/>
      <c r="J39" s="171"/>
      <c r="K39" s="102" t="str">
        <f t="shared" si="3"/>
        <v>| align=left | {{flag|}} ||  ||  ||  ||  ||   </v>
      </c>
      <c r="M39" s="102" t="s">
        <v>1049</v>
      </c>
    </row>
    <row r="40">
      <c r="A40" s="168"/>
      <c r="B40" s="167"/>
      <c r="C40" s="167"/>
      <c r="D40" s="167"/>
      <c r="E40" s="170"/>
      <c r="F40" s="167"/>
      <c r="G40" s="171"/>
      <c r="H40" s="171"/>
      <c r="I40" s="171"/>
      <c r="J40" s="171"/>
      <c r="K40" s="102" t="str">
        <f t="shared" si="3"/>
        <v>| align=left | {{flag|}} ||  ||  ||  ||  ||   </v>
      </c>
      <c r="M40" s="84" t="str">
        <f>K20 </f>
        <v>|  ||  ||  ||  ||   </v>
      </c>
    </row>
    <row r="41">
      <c r="A41" s="166"/>
      <c r="B41" s="167"/>
      <c r="C41" s="167"/>
      <c r="D41" s="167"/>
      <c r="E41" s="170"/>
      <c r="F41" s="167"/>
      <c r="G41" s="171"/>
      <c r="H41" s="171"/>
      <c r="I41" s="171"/>
      <c r="J41" s="171"/>
      <c r="K41" s="102" t="str">
        <f t="shared" si="3"/>
        <v>| align=left | {{flag|}} ||  ||  ||  ||  ||   </v>
      </c>
      <c r="M41" s="102" t="s">
        <v>1049</v>
      </c>
    </row>
    <row r="42">
      <c r="A42" s="166"/>
      <c r="B42" s="167"/>
      <c r="C42" s="167"/>
      <c r="D42" s="167"/>
      <c r="E42" s="170"/>
      <c r="F42" s="167"/>
      <c r="G42" s="171"/>
      <c r="H42" s="171"/>
      <c r="I42" s="171"/>
      <c r="J42" s="171"/>
      <c r="K42" s="102" t="str">
        <f t="shared" si="3"/>
        <v>| align=left | {{flag|}} ||  ||  ||  ||  ||   </v>
      </c>
      <c r="M42" s="84" t="str">
        <f>K21 </f>
        <v>|  ||  ||  ||  ||   </v>
      </c>
    </row>
    <row r="43">
      <c r="A43" s="168"/>
      <c r="B43" s="167"/>
      <c r="C43" s="167"/>
      <c r="D43" s="169"/>
      <c r="E43" s="170"/>
      <c r="F43" s="167"/>
      <c r="G43" s="171"/>
      <c r="H43" s="171"/>
      <c r="I43" s="171"/>
      <c r="J43" s="171"/>
      <c r="K43" s="102" t="str">
        <f t="shared" si="3"/>
        <v>| align=left | {{flag|}} ||  ||  ||  ||  ||   </v>
      </c>
      <c r="M43" s="102" t="s">
        <v>1049</v>
      </c>
    </row>
    <row r="44">
      <c r="A44" s="168"/>
      <c r="B44" s="167"/>
      <c r="C44" s="167"/>
      <c r="D44" s="167"/>
      <c r="E44" s="170"/>
      <c r="F44" s="167"/>
      <c r="G44" s="171"/>
      <c r="H44" s="171"/>
      <c r="I44" s="171"/>
      <c r="J44" s="171"/>
      <c r="K44" s="102" t="str">
        <f t="shared" si="3"/>
        <v>| align=left | {{flag|}} ||  ||  ||  ||  ||   </v>
      </c>
      <c r="M44" s="84" t="str">
        <f>K22 </f>
        <v>| align=left | {{flag|}} ||  ||  ||  ||  ||   </v>
      </c>
    </row>
    <row r="45">
      <c r="A45" s="168"/>
      <c r="B45" s="167"/>
      <c r="C45" s="167"/>
      <c r="D45" s="167"/>
      <c r="E45" s="170"/>
      <c r="F45" s="167"/>
      <c r="G45" s="171"/>
      <c r="H45" s="171"/>
      <c r="I45" s="171"/>
      <c r="J45" s="171"/>
      <c r="K45" s="102" t="str">
        <f t="shared" si="3"/>
        <v>| align=left | {{flag|}} ||  ||  ||  ||  ||   </v>
      </c>
      <c r="M45" s="102" t="s">
        <v>1049</v>
      </c>
    </row>
    <row r="46">
      <c r="A46" s="168"/>
      <c r="B46" s="167"/>
      <c r="C46" s="169"/>
      <c r="D46" s="167"/>
      <c r="E46" s="170"/>
      <c r="F46" s="167"/>
      <c r="G46" s="171"/>
      <c r="H46" s="171"/>
      <c r="I46" s="171"/>
      <c r="J46" s="171"/>
      <c r="K46" s="102" t="str">
        <f t="shared" si="3"/>
        <v>| align=left | {{flag|}} ||  ||  ||  ||  ||   </v>
      </c>
      <c r="M46" s="84" t="str">
        <f>K23 </f>
        <v>| align=left | {{flag|}} ||  ||  ||  ||  ||   </v>
      </c>
    </row>
    <row r="47">
      <c r="A47" s="168"/>
      <c r="B47" s="167"/>
      <c r="C47" s="167"/>
      <c r="D47" s="167"/>
      <c r="E47" s="170"/>
      <c r="F47" s="167"/>
      <c r="G47" s="171"/>
      <c r="H47" s="171"/>
      <c r="I47" s="171"/>
      <c r="J47" s="171"/>
      <c r="K47" s="102" t="str">
        <f t="shared" si="3"/>
        <v>| align=left | {{flag|}} ||  ||  ||  ||  ||   </v>
      </c>
      <c r="M47" s="102" t="s">
        <v>1049</v>
      </c>
    </row>
    <row r="48">
      <c r="A48" s="166"/>
      <c r="B48" s="167"/>
      <c r="C48" s="167"/>
      <c r="D48" s="167"/>
      <c r="E48" s="170"/>
      <c r="F48" s="167"/>
      <c r="G48" s="171"/>
      <c r="H48" s="171"/>
      <c r="I48" s="171"/>
      <c r="J48" s="171"/>
      <c r="K48" s="102" t="str">
        <f t="shared" si="3"/>
        <v>| align=left | {{flag|}} ||  ||  ||  ||  ||   </v>
      </c>
      <c r="M48" s="84" t="str">
        <f>K24 </f>
        <v>| align=left | {{flag|South Ayuma}} || 8401652 || 123174102.79 || 14.6607003943986 || 1819490272887.01 || 871941956575.754  </v>
      </c>
    </row>
    <row r="49">
      <c r="A49" s="168"/>
      <c r="B49" s="167"/>
      <c r="C49" s="169"/>
      <c r="D49" s="167"/>
      <c r="E49" s="170"/>
      <c r="F49" s="167"/>
      <c r="G49" s="171"/>
      <c r="H49" s="171"/>
      <c r="I49" s="171"/>
      <c r="J49" s="171"/>
      <c r="K49" s="102" t="str">
        <f t="shared" si="3"/>
        <v>| align=left | {{flag|}} ||  ||  ||  ||  ||   </v>
      </c>
      <c r="M49" s="102" t="s">
        <v>1049</v>
      </c>
    </row>
    <row r="50">
      <c r="A50" s="166"/>
      <c r="B50" s="167"/>
      <c r="C50" s="167"/>
      <c r="D50" s="167"/>
      <c r="E50" s="170"/>
      <c r="F50" s="167"/>
      <c r="G50" s="171"/>
      <c r="H50" s="171"/>
      <c r="I50" s="171"/>
      <c r="J50" s="171"/>
      <c r="K50" s="102" t="str">
        <f t="shared" si="3"/>
        <v>| align=left | {{flag|}} ||  ||  ||  ||  ||   </v>
      </c>
      <c r="M50" s="84" t="str">
        <f>K25 </f>
        <v>| align=left | {{flag|Name}} || Area (Km) || Population || Density || GDP (PPP) || GDP (Nominal)  </v>
      </c>
    </row>
    <row r="51">
      <c r="A51" s="172"/>
      <c r="B51" s="173"/>
      <c r="C51" s="173"/>
      <c r="D51" s="174"/>
      <c r="E51" s="175"/>
      <c r="F51" s="176"/>
      <c r="G51" s="171"/>
      <c r="H51" s="171"/>
      <c r="I51" s="171"/>
      <c r="J51" s="171"/>
      <c r="K51" s="102" t="str">
        <f t="shared" si="3"/>
        <v>| align=left | {{flag|}} ||  ||  ||  ||  ||   </v>
      </c>
      <c r="M51" s="102" t="s">
        <v>1049</v>
      </c>
    </row>
    <row r="52">
      <c r="A52" s="177"/>
      <c r="B52" s="178"/>
      <c r="C52" s="178"/>
      <c r="D52" s="179"/>
      <c r="E52" s="180"/>
      <c r="F52" s="181"/>
      <c r="G52" s="171"/>
      <c r="H52" s="171"/>
      <c r="I52" s="171"/>
      <c r="J52" s="171"/>
      <c r="K52" s="102" t="str">
        <f t="shared" si="3"/>
        <v>| align=left | {{flag|}} ||  ||  ||  ||  ||   </v>
      </c>
      <c r="M52" s="84" t="str">
        <f>K26 </f>
        <v>| align=left | {{flag|}} ||  ||  ||  ||  ||   </v>
      </c>
    </row>
    <row r="53">
      <c r="A53" s="182"/>
      <c r="B53" s="183"/>
      <c r="C53" s="183"/>
      <c r="D53" s="183"/>
      <c r="E53" s="184"/>
      <c r="F53" s="185"/>
      <c r="G53" s="171"/>
      <c r="H53" s="171"/>
      <c r="I53" s="171"/>
      <c r="J53" s="171"/>
      <c r="K53" s="102" t="str">
        <f t="shared" si="3"/>
        <v>| align=left | {{flag|}} ||  ||  ||  ||  ||   </v>
      </c>
      <c r="M53" s="102" t="s">
        <v>1049</v>
      </c>
    </row>
    <row r="54">
      <c r="A54" s="186"/>
      <c r="B54" s="178"/>
      <c r="C54" s="178"/>
      <c r="D54" s="178"/>
      <c r="E54" s="180"/>
      <c r="F54" s="181"/>
      <c r="G54" s="171"/>
      <c r="H54" s="171"/>
      <c r="I54" s="171"/>
      <c r="J54" s="171"/>
      <c r="K54" s="102" t="str">
        <f t="shared" si="3"/>
        <v>| align=left | {{flag|}} ||  ||  ||  ||  ||   </v>
      </c>
      <c r="M54" s="84" t="str">
        <f>K27 </f>
        <v>| align=left | {{flag|}} ||  ||  ||  ||  ||   </v>
      </c>
    </row>
    <row r="55">
      <c r="A55" s="182"/>
      <c r="B55" s="183"/>
      <c r="C55" s="183"/>
      <c r="D55" s="183"/>
      <c r="E55" s="184"/>
      <c r="F55" s="185"/>
      <c r="G55" s="171"/>
      <c r="H55" s="171"/>
      <c r="I55" s="171"/>
      <c r="J55" s="171"/>
      <c r="K55" s="102" t="str">
        <f t="shared" si="3"/>
        <v>| align=left | {{flag|}} ||  ||  ||  ||  ||   </v>
      </c>
      <c r="M55" s="102" t="s">
        <v>1049</v>
      </c>
    </row>
    <row r="56">
      <c r="A56" s="187"/>
      <c r="B56" s="183"/>
      <c r="C56" s="183"/>
      <c r="D56" s="188"/>
      <c r="E56" s="184"/>
      <c r="F56" s="185"/>
      <c r="G56" s="171"/>
      <c r="H56" s="171"/>
      <c r="I56" s="171"/>
      <c r="J56" s="171"/>
      <c r="K56" s="102" t="str">
        <f t="shared" si="3"/>
        <v>| align=left | {{flag|}} ||  ||  ||  ||  ||   </v>
      </c>
      <c r="M56" s="84" t="str">
        <f>K28 </f>
        <v>| align=left | {{flag|}} ||  ||  ||  ||  ||   </v>
      </c>
    </row>
    <row r="57">
      <c r="A57" s="186"/>
      <c r="B57" s="178"/>
      <c r="C57" s="178"/>
      <c r="D57" s="178"/>
      <c r="E57" s="178"/>
      <c r="F57" s="181"/>
      <c r="G57" s="171"/>
      <c r="H57" s="171"/>
      <c r="I57" s="171"/>
      <c r="J57" s="171"/>
      <c r="K57" s="102" t="str">
        <f t="shared" si="3"/>
        <v>| align=left | {{flag|}} ||  ||  ||  ||  ||   </v>
      </c>
      <c r="M57" s="102" t="s">
        <v>1049</v>
      </c>
    </row>
    <row r="58">
      <c r="A58" s="182"/>
      <c r="B58" s="183"/>
      <c r="C58" s="183"/>
      <c r="D58" s="183"/>
      <c r="E58" s="184"/>
      <c r="F58" s="185"/>
      <c r="G58" s="171"/>
      <c r="H58" s="171"/>
      <c r="I58" s="171"/>
      <c r="J58" s="171"/>
      <c r="K58" s="102" t="str">
        <f t="shared" si="3"/>
        <v>| align=left | {{flag|}} ||  ||  ||  ||  ||   </v>
      </c>
      <c r="M58" s="84" t="str">
        <f>K29 </f>
        <v>| align=left | {{flag|}} ||  ||  ||  ||  ||   </v>
      </c>
    </row>
    <row r="59">
      <c r="A59" s="186"/>
      <c r="B59" s="178"/>
      <c r="C59" s="179"/>
      <c r="D59" s="178"/>
      <c r="E59" s="180"/>
      <c r="F59" s="181"/>
      <c r="G59" s="171"/>
      <c r="H59" s="171"/>
      <c r="I59" s="171"/>
      <c r="J59" s="171"/>
      <c r="K59" s="102" t="str">
        <f t="shared" si="3"/>
        <v>| align=left | {{flag|}} ||  ||  ||  ||  ||   </v>
      </c>
      <c r="M59" s="102" t="s">
        <v>1049</v>
      </c>
    </row>
    <row r="60">
      <c r="A60" s="182"/>
      <c r="B60" s="183"/>
      <c r="C60" s="188"/>
      <c r="D60" s="188"/>
      <c r="E60" s="188"/>
      <c r="F60" s="185"/>
      <c r="G60" s="171"/>
      <c r="H60" s="171"/>
      <c r="I60" s="171"/>
      <c r="J60" s="171"/>
      <c r="K60" s="102" t="str">
        <f t="shared" si="3"/>
        <v>| align=left | {{flag|}} ||  ||  ||  ||  ||   </v>
      </c>
      <c r="M60" s="84" t="str">
        <f>K30 </f>
        <v>| align=left | {{flag|}} ||  ||  ||  ||  ||   </v>
      </c>
    </row>
    <row r="61">
      <c r="A61" s="186"/>
      <c r="B61" s="178"/>
      <c r="C61" s="179"/>
      <c r="D61" s="179"/>
      <c r="E61" s="178"/>
      <c r="F61" s="181"/>
      <c r="G61" s="171"/>
      <c r="H61" s="171"/>
      <c r="I61" s="171"/>
      <c r="J61" s="171"/>
      <c r="K61" s="102" t="str">
        <f t="shared" si="3"/>
        <v>| align=left | {{flag|}} ||  ||  ||  ||  ||   </v>
      </c>
      <c r="M61" s="102" t="s">
        <v>1049</v>
      </c>
    </row>
    <row r="62">
      <c r="A62" s="182"/>
      <c r="B62" s="183"/>
      <c r="C62" s="188"/>
      <c r="D62" s="188"/>
      <c r="E62" s="184"/>
      <c r="F62" s="185"/>
      <c r="G62" s="171"/>
      <c r="H62" s="171"/>
      <c r="I62" s="171"/>
      <c r="J62" s="171"/>
      <c r="K62" s="102" t="str">
        <f t="shared" si="3"/>
        <v>| align=left | {{flag|}} ||  ||  ||  ||  ||   </v>
      </c>
      <c r="M62" s="84" t="str">
        <f>K31 </f>
        <v>| align=left | {{flag|}} ||  ||  ||  ||  ||   </v>
      </c>
    </row>
    <row r="63">
      <c r="A63" s="186"/>
      <c r="B63" s="178"/>
      <c r="C63" s="179"/>
      <c r="D63" s="179"/>
      <c r="E63" s="179"/>
      <c r="F63" s="181"/>
      <c r="K63" s="102" t="str">
        <f t="shared" si="3"/>
        <v>| align=left | {{flag|}} ||  ||  ||  ||  ||   </v>
      </c>
      <c r="M63" s="102" t="s">
        <v>1049</v>
      </c>
    </row>
    <row r="64">
      <c r="A64" s="187"/>
      <c r="B64" s="183"/>
      <c r="C64" s="188"/>
      <c r="D64" s="188"/>
      <c r="E64" s="188"/>
      <c r="F64" s="185"/>
      <c r="K64" s="102" t="str">
        <f t="shared" si="3"/>
        <v>| align=left | {{flag|}} ||  ||  ||  ||  ||   </v>
      </c>
      <c r="M64" s="84" t="str">
        <f>K32 </f>
        <v>| align=left | {{flag|}} ||  ||  ||  ||  ||   </v>
      </c>
    </row>
    <row r="65">
      <c r="A65" s="177"/>
      <c r="B65" s="178"/>
      <c r="C65" s="179"/>
      <c r="D65" s="179"/>
      <c r="E65" s="179"/>
      <c r="F65" s="181"/>
      <c r="K65" s="102" t="str">
        <f t="shared" si="3"/>
        <v>| align=left | {{flag|}} ||  ||  ||  ||  ||   </v>
      </c>
      <c r="M65" s="102" t="s">
        <v>1049</v>
      </c>
    </row>
    <row r="66">
      <c r="A66" s="182"/>
      <c r="B66" s="183"/>
      <c r="C66" s="188"/>
      <c r="D66" s="188"/>
      <c r="E66" s="188"/>
      <c r="F66" s="185"/>
      <c r="K66" s="102" t="str">
        <f t="shared" si="3"/>
        <v>| align=left | {{flag|}} ||  ||  ||  ||  ||   </v>
      </c>
      <c r="M66" s="84" t="str">
        <f>K33 </f>
        <v>| align=left | {{flag|}} ||  ||  ||  ||  ||   </v>
      </c>
    </row>
    <row r="67">
      <c r="A67" s="177"/>
      <c r="B67" s="178"/>
      <c r="C67" s="178"/>
      <c r="D67" s="178"/>
      <c r="E67" s="180"/>
      <c r="F67" s="181"/>
      <c r="K67" s="102" t="str">
        <f t="shared" si="3"/>
        <v>| align=left | {{flag|}} ||  ||  ||  ||  ||   </v>
      </c>
      <c r="M67" s="102" t="s">
        <v>1049</v>
      </c>
    </row>
    <row r="68">
      <c r="A68" s="187"/>
      <c r="B68" s="183"/>
      <c r="C68" s="188"/>
      <c r="D68" s="188"/>
      <c r="E68" s="184"/>
      <c r="F68" s="185"/>
      <c r="K68" s="102" t="str">
        <f t="shared" si="3"/>
        <v>| align=left | {{flag|}} ||  ||  ||  ||  ||   </v>
      </c>
      <c r="M68" s="84" t="str">
        <f>K34 </f>
        <v>| align=left | {{flag|}} ||  ||  ||  ||  ||   </v>
      </c>
    </row>
    <row r="69">
      <c r="A69" s="186"/>
      <c r="B69" s="178"/>
      <c r="C69" s="179"/>
      <c r="D69" s="179"/>
      <c r="E69" s="180"/>
      <c r="F69" s="181"/>
      <c r="K69" s="102" t="str">
        <f t="shared" si="3"/>
        <v>| align=left | {{flag|}} ||  ||  ||  ||  ||   </v>
      </c>
      <c r="M69" s="102" t="s">
        <v>1049</v>
      </c>
    </row>
    <row r="70">
      <c r="A70" s="187"/>
      <c r="B70" s="183"/>
      <c r="C70" s="183"/>
      <c r="D70" s="183"/>
      <c r="E70" s="183"/>
      <c r="F70" s="185"/>
      <c r="K70" s="102" t="str">
        <f t="shared" si="3"/>
        <v>| align=left | {{flag|}} ||  ||  ||  ||  ||   </v>
      </c>
      <c r="M70" s="84" t="str">
        <f>K35 </f>
        <v>| align=left | {{flag|}} ||  ||  ||  ||  ||   </v>
      </c>
    </row>
    <row r="71">
      <c r="A71" s="186"/>
      <c r="B71" s="178"/>
      <c r="C71" s="179"/>
      <c r="D71" s="179"/>
      <c r="E71" s="179"/>
      <c r="F71" s="181"/>
      <c r="K71" s="102" t="str">
        <f t="shared" si="3"/>
        <v>| align=left | {{flag|}} ||  ||  ||  ||  ||   </v>
      </c>
      <c r="M71" s="102" t="s">
        <v>1049</v>
      </c>
    </row>
    <row r="72">
      <c r="A72" s="182"/>
      <c r="B72" s="183"/>
      <c r="C72" s="188"/>
      <c r="D72" s="188"/>
      <c r="E72" s="188"/>
      <c r="F72" s="185"/>
      <c r="K72" s="102" t="str">
        <f t="shared" si="3"/>
        <v>| align=left | {{flag|}} ||  ||  ||  ||  ||   </v>
      </c>
      <c r="M72" s="84" t="str">
        <f>K36 </f>
        <v>| align=left | {{flag|}} ||  ||  ||  ||  ||   </v>
      </c>
    </row>
    <row r="73">
      <c r="A73" s="177"/>
      <c r="B73" s="178"/>
      <c r="C73" s="179"/>
      <c r="D73" s="179"/>
      <c r="E73" s="179"/>
      <c r="F73" s="181"/>
      <c r="K73" s="102" t="str">
        <f t="shared" si="3"/>
        <v>| align=left | {{flag|}} ||  ||  ||  ||  ||   </v>
      </c>
      <c r="M73" s="102" t="s">
        <v>1049</v>
      </c>
    </row>
    <row r="74">
      <c r="A74" s="182"/>
      <c r="B74" s="183"/>
      <c r="C74" s="183"/>
      <c r="D74" s="188"/>
      <c r="E74" s="188"/>
      <c r="F74" s="185"/>
      <c r="K74" s="102" t="str">
        <f t="shared" si="3"/>
        <v>| align=left | {{flag|}} ||  ||  ||  ||  ||   </v>
      </c>
      <c r="M74" s="84" t="str">
        <f>K37 </f>
        <v>| align=left | {{flag|}} ||  ||  ||  ||  ||   </v>
      </c>
    </row>
    <row r="75">
      <c r="A75" s="177"/>
      <c r="B75" s="178"/>
      <c r="C75" s="178"/>
      <c r="D75" s="178"/>
      <c r="E75" s="179"/>
      <c r="F75" s="181"/>
      <c r="K75" s="102" t="str">
        <f t="shared" si="3"/>
        <v>| align=left | {{flag|}} ||  ||  ||  ||  ||   </v>
      </c>
      <c r="M75" s="102" t="s">
        <v>1049</v>
      </c>
    </row>
    <row r="76">
      <c r="A76" s="182"/>
      <c r="B76" s="183"/>
      <c r="C76" s="188"/>
      <c r="D76" s="188"/>
      <c r="E76" s="188"/>
      <c r="F76" s="185"/>
      <c r="K76" s="102" t="str">
        <f t="shared" si="3"/>
        <v>| align=left | {{flag|}} ||  ||  ||  ||  ||   </v>
      </c>
      <c r="M76" s="84" t="str">
        <f>K38 </f>
        <v>| align=left | {{flag|}} ||  ||  ||  ||  ||   </v>
      </c>
    </row>
    <row r="77">
      <c r="A77" s="177"/>
      <c r="B77" s="178"/>
      <c r="C77" s="179"/>
      <c r="D77" s="179"/>
      <c r="E77" s="179"/>
      <c r="F77" s="181"/>
      <c r="K77" s="102" t="str">
        <f t="shared" si="3"/>
        <v>| align=left | {{flag|}} ||  ||  ||  ||  ||   </v>
      </c>
      <c r="M77" s="102" t="s">
        <v>1049</v>
      </c>
    </row>
    <row r="78">
      <c r="A78" s="182"/>
      <c r="B78" s="183"/>
      <c r="C78" s="188"/>
      <c r="D78" s="188"/>
      <c r="E78" s="188"/>
      <c r="F78" s="185"/>
      <c r="K78" s="102" t="str">
        <f t="shared" si="3"/>
        <v>| align=left | {{flag|}} ||  ||  ||  ||  ||   </v>
      </c>
      <c r="M78" s="84" t="str">
        <f>K39 </f>
        <v>| align=left | {{flag|}} ||  ||  ||  ||  ||   </v>
      </c>
    </row>
    <row r="79">
      <c r="A79" s="177"/>
      <c r="B79" s="178"/>
      <c r="C79" s="179"/>
      <c r="D79" s="179"/>
      <c r="E79" s="179"/>
      <c r="F79" s="181"/>
      <c r="K79" s="102" t="str">
        <f t="shared" si="3"/>
        <v>| align=left | {{flag|}} ||  ||  ||  ||  ||   </v>
      </c>
      <c r="M79" s="102" t="s">
        <v>1049</v>
      </c>
    </row>
    <row r="80">
      <c r="A80" s="182"/>
      <c r="B80" s="183"/>
      <c r="C80" s="188"/>
      <c r="D80" s="188"/>
      <c r="E80" s="188"/>
      <c r="F80" s="185"/>
      <c r="K80" s="102" t="str">
        <f t="shared" si="3"/>
        <v>| align=left | {{flag|}} ||  ||  ||  ||  ||   </v>
      </c>
      <c r="M80" s="84" t="str">
        <f>K40 </f>
        <v>| align=left | {{flag|}} ||  ||  ||  ||  ||   </v>
      </c>
    </row>
    <row r="81">
      <c r="A81" s="177"/>
      <c r="B81" s="178"/>
      <c r="C81" s="178"/>
      <c r="D81" s="179"/>
      <c r="E81" s="179"/>
      <c r="F81" s="181"/>
      <c r="K81" s="102" t="str">
        <f t="shared" si="3"/>
        <v>| align=left | {{flag|}} ||  ||  ||  ||  ||   </v>
      </c>
      <c r="M81" s="102" t="s">
        <v>1049</v>
      </c>
    </row>
    <row r="82">
      <c r="A82" s="177"/>
      <c r="B82" s="178"/>
      <c r="C82" s="178"/>
      <c r="D82" s="179"/>
      <c r="E82" s="179"/>
      <c r="F82" s="181"/>
      <c r="K82" s="102" t="str">
        <f t="shared" si="3"/>
        <v>| align=left | {{flag|}} ||  ||  ||  ||  ||   </v>
      </c>
      <c r="M82" s="84" t="str">
        <f>K41 </f>
        <v>| align=left | {{flag|}} ||  ||  ||  ||  ||   </v>
      </c>
    </row>
    <row r="83">
      <c r="A83" s="189"/>
      <c r="B83" s="190"/>
      <c r="C83" s="190"/>
      <c r="D83" s="190"/>
      <c r="E83" s="190"/>
      <c r="F83" s="191"/>
      <c r="K83" s="102" t="str">
        <f t="shared" si="3"/>
        <v>| align=left | {{flag|}} ||  ||  ||  ||  ||   </v>
      </c>
      <c r="M83" s="102" t="s">
        <v>1049</v>
      </c>
    </row>
    <row r="84">
      <c r="A84" s="156"/>
      <c r="B84" s="192"/>
      <c r="C84" s="157"/>
      <c r="D84" s="193"/>
      <c r="E84" s="194"/>
      <c r="F84" s="195"/>
      <c r="K84" s="102" t="str">
        <f t="shared" si="3"/>
        <v>| align=left | {{flag|}} ||  ||  ||  ||  ||   </v>
      </c>
      <c r="M84" s="84" t="str">
        <f>K42 </f>
        <v>| align=left | {{flag|}} ||  ||  ||  ||  ||   </v>
      </c>
    </row>
    <row r="85">
      <c r="A85" s="156"/>
      <c r="B85" s="192"/>
      <c r="C85" s="157"/>
      <c r="D85" s="193"/>
      <c r="E85" s="194"/>
      <c r="F85" s="195"/>
      <c r="K85" s="102" t="str">
        <f t="shared" si="3"/>
        <v>| align=left | {{flag|}} ||  ||  ||  ||  ||   </v>
      </c>
      <c r="M85" s="102" t="s">
        <v>1049</v>
      </c>
    </row>
    <row r="86">
      <c r="A86" s="156"/>
      <c r="B86" s="192"/>
      <c r="C86" s="157"/>
      <c r="D86" s="196"/>
      <c r="E86" s="192"/>
      <c r="F86" s="195"/>
      <c r="K86" s="102" t="str">
        <f t="shared" si="3"/>
        <v>| align=left | {{flag|}} ||  ||  ||  ||  ||   </v>
      </c>
      <c r="M86" s="84" t="str">
        <f>K43 </f>
        <v>| align=left | {{flag|}} ||  ||  ||  ||  ||   </v>
      </c>
    </row>
    <row r="87">
      <c r="A87" s="156"/>
      <c r="B87" s="192"/>
      <c r="C87" s="157"/>
      <c r="D87" s="196"/>
      <c r="E87" s="192"/>
      <c r="F87" s="195"/>
      <c r="K87" s="102" t="str">
        <f t="shared" si="3"/>
        <v>| align=left | {{flag|}} ||  ||  ||  ||  ||   </v>
      </c>
      <c r="M87" s="102" t="s">
        <v>1049</v>
      </c>
    </row>
    <row r="88">
      <c r="A88" s="156"/>
      <c r="B88" s="192"/>
      <c r="C88" s="157"/>
      <c r="D88" s="193"/>
      <c r="E88" s="194"/>
      <c r="F88" s="195"/>
      <c r="K88" s="102" t="str">
        <f t="shared" si="3"/>
        <v>| align=left | {{flag|}} ||  ||  ||  ||  ||   </v>
      </c>
      <c r="M88" s="84" t="str">
        <f>K44 </f>
        <v>| align=left | {{flag|}} ||  ||  ||  ||  ||   </v>
      </c>
    </row>
    <row r="89">
      <c r="A89" s="156"/>
      <c r="B89" s="192"/>
      <c r="C89" s="157"/>
      <c r="D89" s="193"/>
      <c r="E89" s="194"/>
      <c r="F89" s="195"/>
      <c r="K89" s="102" t="str">
        <f t="shared" si="3"/>
        <v>| align=left | {{flag|}} ||  ||  ||  ||  ||   </v>
      </c>
      <c r="M89" s="102" t="s">
        <v>1049</v>
      </c>
    </row>
    <row r="90">
      <c r="A90" s="197"/>
      <c r="B90" s="192"/>
      <c r="C90" s="157"/>
      <c r="D90" s="196"/>
      <c r="E90" s="192"/>
      <c r="F90" s="195"/>
      <c r="K90" s="102" t="str">
        <f t="shared" si="3"/>
        <v>| align=left | {{flag|}} ||  ||  ||  ||  ||   </v>
      </c>
      <c r="M90" s="84" t="str">
        <f>K45 </f>
        <v>| align=left | {{flag|}} ||  ||  ||  ||  ||   </v>
      </c>
    </row>
    <row r="91">
      <c r="A91" s="156"/>
      <c r="B91" s="192"/>
      <c r="C91" s="157"/>
      <c r="D91" s="193"/>
      <c r="E91" s="194"/>
      <c r="F91" s="195"/>
      <c r="K91" s="102" t="str">
        <f t="shared" si="3"/>
        <v>| align=left | {{flag|}} ||  ||  ||  ||  ||   </v>
      </c>
      <c r="M91" s="102" t="s">
        <v>1049</v>
      </c>
    </row>
    <row r="92">
      <c r="A92" s="156"/>
      <c r="B92" s="192"/>
      <c r="C92" s="157"/>
      <c r="D92" s="193"/>
      <c r="E92" s="194"/>
      <c r="F92" s="195"/>
      <c r="K92" s="102" t="str">
        <f t="shared" si="3"/>
        <v>| align=left | {{flag|}} ||  ||  ||  ||  ||   </v>
      </c>
      <c r="M92" s="84" t="str">
        <f>K46 </f>
        <v>| align=left | {{flag|}} ||  ||  ||  ||  ||   </v>
      </c>
    </row>
    <row r="93">
      <c r="A93" s="156"/>
      <c r="B93" s="192"/>
      <c r="C93" s="157"/>
      <c r="D93" s="193"/>
      <c r="E93" s="194"/>
      <c r="F93" s="195"/>
      <c r="K93" s="102" t="str">
        <f t="shared" si="3"/>
        <v>| align=left | {{flag|}} ||  ||  ||  ||  ||   </v>
      </c>
      <c r="M93" s="102" t="s">
        <v>1049</v>
      </c>
    </row>
    <row r="94">
      <c r="A94" s="156"/>
      <c r="B94" s="192"/>
      <c r="C94" s="157"/>
      <c r="D94" s="196"/>
      <c r="E94" s="192"/>
      <c r="F94" s="195"/>
      <c r="K94" s="102" t="str">
        <f t="shared" si="3"/>
        <v>| align=left | {{flag|}} ||  ||  ||  ||  ||   </v>
      </c>
      <c r="M94" s="84" t="str">
        <f>K47 </f>
        <v>| align=left | {{flag|}} ||  ||  ||  ||  ||   </v>
      </c>
    </row>
    <row r="95">
      <c r="A95" s="156"/>
      <c r="B95" s="192"/>
      <c r="C95" s="157"/>
      <c r="D95" s="196"/>
      <c r="E95" s="192"/>
      <c r="F95" s="195"/>
      <c r="K95" s="102" t="str">
        <f t="shared" si="3"/>
        <v>| align=left | {{flag|}} ||  ||  ||  ||  ||   </v>
      </c>
      <c r="M95" s="102" t="s">
        <v>1049</v>
      </c>
    </row>
    <row r="96">
      <c r="A96" s="156"/>
      <c r="B96" s="192"/>
      <c r="C96" s="157"/>
      <c r="D96" s="196"/>
      <c r="E96" s="192"/>
      <c r="F96" s="195"/>
      <c r="K96" s="102" t="str">
        <f t="shared" si="3"/>
        <v>| align=left | {{flag|}} ||  ||  ||  ||  ||   </v>
      </c>
      <c r="M96" s="84" t="str">
        <f>K48 </f>
        <v>| align=left | {{flag|}} ||  ||  ||  ||  ||   </v>
      </c>
    </row>
    <row r="97">
      <c r="A97" s="156"/>
      <c r="B97" s="192"/>
      <c r="C97" s="157"/>
      <c r="D97" s="193"/>
      <c r="E97" s="194"/>
      <c r="F97" s="195"/>
      <c r="K97" s="102" t="str">
        <f t="shared" si="3"/>
        <v>| align=left | {{flag|}} ||  ||  ||  ||  ||   </v>
      </c>
      <c r="M97" s="102" t="s">
        <v>1049</v>
      </c>
    </row>
    <row r="98">
      <c r="A98" s="156"/>
      <c r="B98" s="192"/>
      <c r="C98" s="157"/>
      <c r="D98" s="196"/>
      <c r="E98" s="192"/>
      <c r="F98" s="195"/>
      <c r="K98" s="102" t="str">
        <f t="shared" si="3"/>
        <v>| align=left | {{flag|}} ||  ||  ||  ||  ||   </v>
      </c>
      <c r="M98" s="84" t="str">
        <f>K49 </f>
        <v>| align=left | {{flag|}} ||  ||  ||  ||  ||   </v>
      </c>
    </row>
    <row r="99">
      <c r="A99" s="156"/>
      <c r="B99" s="192"/>
      <c r="C99" s="157"/>
      <c r="D99" s="193"/>
      <c r="E99" s="194"/>
      <c r="F99" s="195"/>
      <c r="K99" s="102" t="str">
        <f t="shared" si="3"/>
        <v>| align=left | {{flag|}} ||  ||  ||  ||  ||   </v>
      </c>
      <c r="M99" s="102" t="s">
        <v>1049</v>
      </c>
    </row>
    <row r="100">
      <c r="A100" s="156"/>
      <c r="B100" s="192"/>
      <c r="C100" s="157"/>
      <c r="D100" s="196"/>
      <c r="E100" s="192"/>
      <c r="F100" s="195"/>
      <c r="K100" s="102" t="str">
        <f t="shared" si="3"/>
        <v>| align=left | {{flag|}} ||  ||  ||  ||  ||   </v>
      </c>
      <c r="M100" s="84" t="str">
        <f>K50 </f>
        <v>| align=left | {{flag|}} ||  ||  ||  ||  ||   </v>
      </c>
    </row>
    <row r="101">
      <c r="A101" s="156"/>
      <c r="B101" s="192"/>
      <c r="C101" s="157"/>
      <c r="D101" s="193"/>
      <c r="E101" s="194"/>
      <c r="F101" s="195"/>
      <c r="K101" s="102" t="str">
        <f t="shared" si="3"/>
        <v>| align=left | {{flag|}} ||  ||  ||  ||  ||   </v>
      </c>
      <c r="M101" s="102" t="s">
        <v>1049</v>
      </c>
    </row>
    <row r="102">
      <c r="A102" s="156"/>
      <c r="B102" s="192"/>
      <c r="C102" s="157"/>
      <c r="D102" s="193"/>
      <c r="E102" s="194"/>
      <c r="F102" s="195"/>
      <c r="K102" s="102" t="str">
        <f t="shared" si="3"/>
        <v>| align=left | {{flag|}} ||  ||  ||  ||  ||   </v>
      </c>
      <c r="M102" s="84" t="str">
        <f>K51 </f>
        <v>| align=left | {{flag|}} ||  ||  ||  ||  ||   </v>
      </c>
    </row>
    <row r="103">
      <c r="A103" s="156"/>
      <c r="B103" s="192"/>
      <c r="C103" s="157"/>
      <c r="D103" s="196"/>
      <c r="E103" s="192"/>
      <c r="F103" s="195"/>
      <c r="K103" s="102" t="str">
        <f t="shared" si="3"/>
        <v>| align=left | {{flag|}} ||  ||  ||  ||  ||   </v>
      </c>
      <c r="M103" s="102" t="s">
        <v>1049</v>
      </c>
    </row>
    <row r="104">
      <c r="A104" s="156"/>
      <c r="B104" s="192"/>
      <c r="C104" s="157"/>
      <c r="D104" s="193"/>
      <c r="E104" s="194"/>
      <c r="F104" s="195"/>
      <c r="K104" s="102" t="str">
        <f t="shared" si="3"/>
        <v>| align=left | {{flag|}} ||  ||  ||  ||  ||   </v>
      </c>
      <c r="M104" s="84" t="str">
        <f>K52 </f>
        <v>| align=left | {{flag|}} ||  ||  ||  ||  ||   </v>
      </c>
    </row>
    <row r="105">
      <c r="A105" s="86"/>
      <c r="B105" s="196"/>
      <c r="C105" s="198"/>
      <c r="D105" s="196"/>
      <c r="E105" s="192"/>
      <c r="F105" s="195"/>
      <c r="K105" s="102" t="str">
        <f t="shared" si="3"/>
        <v>| align=left | {{flag|}} ||  ||  ||  ||  ||   </v>
      </c>
      <c r="M105" s="102" t="s">
        <v>1049</v>
      </c>
    </row>
    <row r="106">
      <c r="B106" s="196"/>
      <c r="C106" s="198"/>
      <c r="D106" s="196"/>
      <c r="E106" s="192"/>
      <c r="F106" s="195"/>
      <c r="K106" s="102" t="str">
        <f t="shared" si="3"/>
        <v>| align=left | {{flag|}} ||  ||  ||  ||  ||   </v>
      </c>
      <c r="M106" s="84" t="str">
        <f>K53 </f>
        <v>| align=left | {{flag|}} ||  ||  ||  ||  ||   </v>
      </c>
    </row>
    <row r="107">
      <c r="B107" s="193"/>
      <c r="C107" s="198"/>
      <c r="D107" s="193"/>
      <c r="E107" s="194"/>
      <c r="F107" s="195"/>
      <c r="K107" s="102"/>
      <c r="M107" s="102" t="s">
        <v>1049</v>
      </c>
    </row>
    <row r="108">
      <c r="A108" s="86"/>
      <c r="B108" s="196"/>
      <c r="C108" s="198"/>
      <c r="D108" s="196"/>
      <c r="E108" s="192"/>
      <c r="F108" s="195"/>
      <c r="K108" s="102"/>
      <c r="M108" s="84" t="str">
        <f>K54 </f>
        <v>| align=left | {{flag|}} ||  ||  ||  ||  ||   </v>
      </c>
    </row>
    <row r="109">
      <c r="A109" s="86"/>
      <c r="B109" s="196"/>
      <c r="C109" s="198"/>
      <c r="D109" s="196"/>
      <c r="E109" s="192"/>
      <c r="F109" s="195"/>
      <c r="K109" s="102"/>
      <c r="M109" s="102" t="s">
        <v>1049</v>
      </c>
    </row>
    <row r="110">
      <c r="B110" s="196"/>
      <c r="C110" s="198"/>
      <c r="D110" s="196"/>
      <c r="E110" s="192"/>
      <c r="F110" s="195"/>
      <c r="K110" s="102"/>
      <c r="M110" s="84" t="str">
        <f>K55 </f>
        <v>| align=left | {{flag|}} ||  ||  ||  ||  ||   </v>
      </c>
    </row>
    <row r="111">
      <c r="B111" s="193"/>
      <c r="C111" s="198"/>
      <c r="D111" s="193"/>
      <c r="E111" s="194"/>
      <c r="F111" s="195"/>
      <c r="K111" s="102"/>
      <c r="M111" s="102" t="s">
        <v>1049</v>
      </c>
    </row>
    <row r="112">
      <c r="B112" s="193"/>
      <c r="C112" s="198"/>
      <c r="D112" s="193"/>
      <c r="E112" s="194"/>
      <c r="F112" s="195"/>
      <c r="K112" s="102"/>
      <c r="M112" s="84" t="str">
        <f>K56 </f>
        <v>| align=left | {{flag|}} ||  ||  ||  ||  ||   </v>
      </c>
    </row>
    <row r="113">
      <c r="A113" s="86"/>
      <c r="B113" s="193"/>
      <c r="C113" s="198"/>
      <c r="D113" s="193"/>
      <c r="E113" s="194"/>
      <c r="F113" s="195"/>
      <c r="K113" s="102"/>
      <c r="M113" s="102" t="s">
        <v>1049</v>
      </c>
    </row>
    <row r="114">
      <c r="A114" s="86"/>
      <c r="B114" s="193"/>
      <c r="C114" s="198"/>
      <c r="D114" s="193"/>
      <c r="E114" s="194"/>
      <c r="F114" s="195"/>
      <c r="K114" s="84"/>
      <c r="M114" s="84" t="str">
        <f>K57 </f>
        <v>| align=left | {{flag|}} ||  ||  ||  ||  ||   </v>
      </c>
    </row>
    <row r="115">
      <c r="B115" s="193"/>
      <c r="C115" s="198"/>
      <c r="D115" s="193"/>
      <c r="E115" s="194"/>
      <c r="F115" s="195"/>
      <c r="K115" s="84"/>
      <c r="M115" s="102" t="s">
        <v>1049</v>
      </c>
    </row>
    <row r="116">
      <c r="A116" s="86"/>
      <c r="B116" s="193"/>
      <c r="C116" s="198"/>
      <c r="D116" s="193"/>
      <c r="E116" s="194"/>
      <c r="F116" s="195"/>
      <c r="K116" s="84"/>
      <c r="M116" s="84" t="str">
        <f>K58 </f>
        <v>| align=left | {{flag|}} ||  ||  ||  ||  ||   </v>
      </c>
    </row>
    <row r="117">
      <c r="B117" s="193"/>
      <c r="C117" s="198"/>
      <c r="D117" s="193"/>
      <c r="E117" s="194"/>
      <c r="F117" s="195"/>
      <c r="K117" s="84"/>
      <c r="M117" s="102" t="s">
        <v>1049</v>
      </c>
    </row>
    <row r="118">
      <c r="A118" s="86"/>
      <c r="B118" s="193"/>
      <c r="C118" s="198"/>
      <c r="D118" s="193"/>
      <c r="E118" s="194"/>
      <c r="F118" s="195"/>
      <c r="K118" s="84"/>
      <c r="M118" s="84" t="str">
        <f>K59 </f>
        <v>| align=left | {{flag|}} ||  ||  ||  ||  ||   </v>
      </c>
    </row>
    <row r="119">
      <c r="B119" s="193"/>
      <c r="C119" s="198"/>
      <c r="D119" s="193"/>
      <c r="E119" s="194"/>
      <c r="F119" s="195"/>
      <c r="K119" s="84"/>
      <c r="M119" s="102" t="s">
        <v>1049</v>
      </c>
    </row>
    <row r="120">
      <c r="A120" s="86"/>
      <c r="B120" s="193"/>
      <c r="C120" s="198"/>
      <c r="D120" s="193"/>
      <c r="E120" s="194"/>
      <c r="F120" s="195"/>
      <c r="K120" s="84"/>
      <c r="M120" s="84" t="str">
        <f>K60 </f>
        <v>| align=left | {{flag|}} ||  ||  ||  ||  ||   </v>
      </c>
    </row>
    <row r="121">
      <c r="A121" s="86"/>
      <c r="B121" s="194"/>
      <c r="C121" s="199"/>
      <c r="D121" s="193"/>
      <c r="E121" s="194"/>
      <c r="F121" s="195"/>
      <c r="K121" s="84"/>
      <c r="M121" s="102" t="s">
        <v>1049</v>
      </c>
    </row>
    <row r="122">
      <c r="B122" s="193"/>
      <c r="C122" s="195"/>
      <c r="D122" s="193"/>
      <c r="E122" s="194"/>
      <c r="F122" s="195"/>
      <c r="K122" s="84"/>
      <c r="M122" s="84" t="str">
        <f>K61 </f>
        <v>| align=left | {{flag|}} ||  ||  ||  ||  ||   </v>
      </c>
    </row>
    <row r="123">
      <c r="B123" s="200"/>
      <c r="C123" s="198"/>
      <c r="D123" s="200"/>
      <c r="E123" s="192"/>
      <c r="F123" s="195"/>
      <c r="K123" s="84"/>
      <c r="M123" s="102" t="s">
        <v>1049</v>
      </c>
    </row>
    <row r="124">
      <c r="A124" s="86"/>
      <c r="B124" s="196"/>
      <c r="C124" s="198"/>
      <c r="D124" s="196"/>
      <c r="E124" s="192"/>
      <c r="F124" s="195"/>
      <c r="K124" s="84"/>
      <c r="M124" s="84" t="str">
        <f>K62 </f>
        <v>| align=left | {{flag|}} ||  ||  ||  ||  ||   </v>
      </c>
    </row>
    <row r="125">
      <c r="B125" s="196"/>
      <c r="C125" s="198"/>
      <c r="D125" s="196"/>
      <c r="E125" s="192"/>
      <c r="F125" s="195"/>
      <c r="K125" s="84"/>
      <c r="M125" s="102" t="s">
        <v>1049</v>
      </c>
    </row>
    <row r="126">
      <c r="B126" s="193"/>
      <c r="C126" s="198"/>
      <c r="D126" s="193"/>
      <c r="E126" s="194"/>
      <c r="F126" s="195"/>
      <c r="K126" s="84"/>
      <c r="M126" s="84" t="str">
        <f>K63 </f>
        <v>| align=left | {{flag|}} ||  ||  ||  ||  ||   </v>
      </c>
    </row>
    <row r="127">
      <c r="B127" s="196"/>
      <c r="C127" s="198"/>
      <c r="D127" s="196"/>
      <c r="E127" s="192"/>
      <c r="F127" s="195"/>
      <c r="K127" s="84"/>
      <c r="M127" s="102" t="s">
        <v>1049</v>
      </c>
    </row>
    <row r="128">
      <c r="A128" s="86"/>
      <c r="B128" s="193"/>
      <c r="C128" s="198"/>
      <c r="D128" s="193"/>
      <c r="E128" s="194"/>
      <c r="F128" s="195"/>
      <c r="K128" s="84"/>
      <c r="M128" s="84" t="str">
        <f>K64 </f>
        <v>| align=left | {{flag|}} ||  ||  ||  ||  ||   </v>
      </c>
    </row>
    <row r="129">
      <c r="A129" s="201"/>
      <c r="B129" s="202"/>
      <c r="C129" s="202"/>
      <c r="D129" s="202"/>
      <c r="E129" s="203"/>
      <c r="F129" s="203"/>
      <c r="G129" s="203"/>
      <c r="H129" s="203"/>
      <c r="I129" s="203"/>
      <c r="J129" s="203"/>
      <c r="K129" s="84"/>
      <c r="M129" s="102" t="s">
        <v>1049</v>
      </c>
    </row>
    <row r="130">
      <c r="B130" s="193"/>
      <c r="C130" s="198"/>
      <c r="D130" s="193"/>
      <c r="E130" s="194"/>
      <c r="F130" s="195"/>
      <c r="K130" s="84"/>
      <c r="M130" s="84" t="str">
        <f>K65 </f>
        <v>| align=left | {{flag|}} ||  ||  ||  ||  ||   </v>
      </c>
    </row>
    <row r="131">
      <c r="B131" s="193"/>
      <c r="C131" s="198"/>
      <c r="D131" s="193"/>
      <c r="E131" s="194"/>
      <c r="F131" s="195"/>
      <c r="K131" s="84"/>
      <c r="M131" s="102" t="s">
        <v>1049</v>
      </c>
    </row>
    <row r="132">
      <c r="B132" s="193"/>
      <c r="C132" s="198"/>
      <c r="D132" s="193"/>
      <c r="E132" s="194"/>
      <c r="F132" s="195"/>
      <c r="K132" s="84"/>
      <c r="M132" s="84" t="str">
        <f>K66 </f>
        <v>| align=left | {{flag|}} ||  ||  ||  ||  ||   </v>
      </c>
    </row>
    <row r="133">
      <c r="B133" s="193"/>
      <c r="C133" s="198"/>
      <c r="D133" s="193"/>
      <c r="E133" s="194"/>
      <c r="F133" s="195"/>
      <c r="K133" s="84"/>
      <c r="M133" s="102" t="s">
        <v>1049</v>
      </c>
    </row>
    <row r="134">
      <c r="B134" s="193"/>
      <c r="C134" s="198"/>
      <c r="D134" s="193"/>
      <c r="E134" s="194"/>
      <c r="F134" s="195"/>
      <c r="K134" s="84"/>
      <c r="M134" s="84" t="str">
        <f>K67 </f>
        <v>| align=left | {{flag|}} ||  ||  ||  ||  ||   </v>
      </c>
    </row>
    <row r="135">
      <c r="B135" s="193"/>
      <c r="C135" s="198"/>
      <c r="D135" s="193"/>
      <c r="E135" s="194"/>
      <c r="F135" s="195"/>
      <c r="K135" s="84"/>
      <c r="M135" s="102" t="s">
        <v>1049</v>
      </c>
    </row>
    <row r="136">
      <c r="B136" s="196"/>
      <c r="C136" s="198"/>
      <c r="D136" s="196"/>
      <c r="E136" s="192"/>
      <c r="F136" s="195"/>
      <c r="K136" s="84"/>
      <c r="M136" s="84" t="str">
        <f>K68 </f>
        <v>| align=left | {{flag|}} ||  ||  ||  ||  ||   </v>
      </c>
    </row>
    <row r="137">
      <c r="B137" s="193"/>
      <c r="C137" s="198"/>
      <c r="D137" s="193"/>
      <c r="E137" s="194"/>
      <c r="F137" s="195"/>
      <c r="K137" s="84"/>
      <c r="M137" s="102" t="s">
        <v>1049</v>
      </c>
    </row>
    <row r="138">
      <c r="B138" s="196"/>
      <c r="C138" s="198"/>
      <c r="D138" s="196"/>
      <c r="E138" s="194"/>
      <c r="F138" s="195"/>
      <c r="K138" s="84"/>
      <c r="M138" s="84" t="str">
        <f>K69 </f>
        <v>| align=left | {{flag|}} ||  ||  ||  ||  ||   </v>
      </c>
    </row>
    <row r="139">
      <c r="A139" s="86"/>
      <c r="B139" s="193"/>
      <c r="C139" s="195"/>
      <c r="D139" s="193"/>
      <c r="E139" s="194"/>
      <c r="F139" s="195"/>
      <c r="K139" s="84"/>
      <c r="M139" s="102" t="s">
        <v>1049</v>
      </c>
    </row>
    <row r="140">
      <c r="B140" s="195"/>
      <c r="C140" s="195"/>
      <c r="D140" s="195"/>
      <c r="E140" s="192"/>
      <c r="F140" s="195"/>
      <c r="K140" s="84"/>
      <c r="M140" s="84" t="str">
        <f>K70 </f>
        <v>| align=left | {{flag|}} ||  ||  ||  ||  ||   </v>
      </c>
    </row>
    <row r="141">
      <c r="B141" s="193"/>
      <c r="C141" s="195"/>
      <c r="D141" s="193"/>
      <c r="E141" s="194"/>
      <c r="F141" s="195"/>
      <c r="K141" s="84"/>
      <c r="M141" s="102" t="s">
        <v>1049</v>
      </c>
    </row>
    <row r="142">
      <c r="A142" s="86"/>
      <c r="B142" s="193"/>
      <c r="C142" s="195"/>
      <c r="D142" s="193"/>
      <c r="E142" s="194"/>
      <c r="F142" s="195"/>
      <c r="K142" s="84"/>
      <c r="M142" s="84" t="str">
        <f>K71 </f>
        <v>| align=left | {{flag|}} ||  ||  ||  ||  ||   </v>
      </c>
    </row>
    <row r="143">
      <c r="A143" s="86"/>
      <c r="B143" s="193"/>
      <c r="C143" s="198"/>
      <c r="D143" s="193"/>
      <c r="E143" s="194"/>
      <c r="F143" s="195"/>
      <c r="K143" s="84"/>
      <c r="M143" s="102" t="s">
        <v>1049</v>
      </c>
    </row>
    <row r="144">
      <c r="A144" s="86"/>
      <c r="B144" s="193"/>
      <c r="C144" s="195"/>
      <c r="D144" s="193"/>
      <c r="E144" s="194"/>
      <c r="F144" s="195"/>
      <c r="K144" s="84"/>
      <c r="M144" s="84" t="str">
        <f>K72 </f>
        <v>| align=left | {{flag|}} ||  ||  ||  ||  ||   </v>
      </c>
    </row>
    <row r="145">
      <c r="B145" s="193"/>
      <c r="C145" s="198"/>
      <c r="D145" s="193"/>
      <c r="E145" s="194"/>
      <c r="F145" s="195"/>
      <c r="K145" s="84"/>
      <c r="M145" s="102" t="s">
        <v>1049</v>
      </c>
    </row>
    <row r="146">
      <c r="B146" s="196"/>
      <c r="C146" s="198"/>
      <c r="D146" s="196"/>
      <c r="E146" s="192"/>
      <c r="F146" s="195"/>
      <c r="K146" s="84"/>
      <c r="M146" s="84" t="str">
        <f>K73 </f>
        <v>| align=left | {{flag|}} ||  ||  ||  ||  ||   </v>
      </c>
    </row>
    <row r="147">
      <c r="A147" s="86"/>
      <c r="B147" s="193"/>
      <c r="C147" s="198"/>
      <c r="D147" s="193"/>
      <c r="E147" s="194"/>
      <c r="F147" s="195"/>
      <c r="K147" s="84"/>
      <c r="M147" s="102" t="s">
        <v>1049</v>
      </c>
    </row>
    <row r="148">
      <c r="A148" s="86"/>
      <c r="B148" s="193"/>
      <c r="C148" s="198"/>
      <c r="D148" s="193"/>
      <c r="E148" s="194"/>
      <c r="F148" s="195"/>
      <c r="K148" s="84"/>
      <c r="M148" s="84" t="str">
        <f>K74 </f>
        <v>| align=left | {{flag|}} ||  ||  ||  ||  ||   </v>
      </c>
    </row>
    <row r="149">
      <c r="B149" s="193"/>
      <c r="C149" s="198"/>
      <c r="D149" s="193"/>
      <c r="E149" s="194"/>
      <c r="F149" s="195"/>
      <c r="K149" s="84"/>
      <c r="M149" s="102" t="s">
        <v>1049</v>
      </c>
    </row>
    <row r="150">
      <c r="B150" s="193"/>
      <c r="C150" s="198"/>
      <c r="D150" s="193"/>
      <c r="E150" s="194"/>
      <c r="F150" s="195"/>
      <c r="K150" s="84"/>
      <c r="M150" s="84" t="str">
        <f>K75 </f>
        <v>| align=left | {{flag|}} ||  ||  ||  ||  ||   </v>
      </c>
    </row>
    <row r="151">
      <c r="B151" s="193"/>
      <c r="C151" s="198"/>
      <c r="D151" s="193"/>
      <c r="E151" s="194"/>
      <c r="F151" s="195"/>
      <c r="K151" s="84"/>
      <c r="M151" s="102" t="s">
        <v>1049</v>
      </c>
    </row>
    <row r="152">
      <c r="B152" s="193"/>
      <c r="C152" s="198"/>
      <c r="D152" s="193"/>
      <c r="E152" s="194"/>
      <c r="F152" s="195"/>
      <c r="K152" s="84"/>
      <c r="M152" s="84" t="str">
        <f>K76 </f>
        <v>| align=left | {{flag|}} ||  ||  ||  ||  ||   </v>
      </c>
    </row>
    <row r="153">
      <c r="B153" s="193"/>
      <c r="C153" s="198"/>
      <c r="D153" s="193"/>
      <c r="E153" s="194"/>
      <c r="F153" s="195"/>
      <c r="K153" s="84"/>
      <c r="M153" s="102" t="s">
        <v>1049</v>
      </c>
    </row>
    <row r="154">
      <c r="A154" s="86"/>
      <c r="B154" s="196"/>
      <c r="C154" s="198"/>
      <c r="D154" s="196"/>
      <c r="E154" s="192"/>
      <c r="F154" s="195"/>
      <c r="K154" s="84"/>
      <c r="M154" s="84" t="str">
        <f>K77 </f>
        <v>| align=left | {{flag|}} ||  ||  ||  ||  ||   </v>
      </c>
    </row>
    <row r="155">
      <c r="B155" s="193"/>
      <c r="C155" s="198"/>
      <c r="D155" s="193"/>
      <c r="E155" s="194"/>
      <c r="F155" s="195"/>
      <c r="K155" s="84"/>
      <c r="M155" s="102" t="s">
        <v>1049</v>
      </c>
    </row>
    <row r="156">
      <c r="A156" s="86"/>
      <c r="B156" s="196"/>
      <c r="C156" s="198"/>
      <c r="D156" s="196"/>
      <c r="E156" s="192"/>
      <c r="F156" s="195"/>
      <c r="K156" s="84"/>
      <c r="M156" s="84" t="str">
        <f>K78 </f>
        <v>| align=left | {{flag|}} ||  ||  ||  ||  ||   </v>
      </c>
    </row>
    <row r="157">
      <c r="B157" s="193"/>
      <c r="C157" s="198"/>
      <c r="D157" s="193"/>
      <c r="E157" s="194"/>
      <c r="F157" s="195"/>
      <c r="K157" s="84"/>
      <c r="M157" s="102" t="s">
        <v>1049</v>
      </c>
    </row>
    <row r="158">
      <c r="A158" s="86"/>
      <c r="B158" s="193"/>
      <c r="C158" s="198"/>
      <c r="D158" s="193"/>
      <c r="E158" s="194"/>
      <c r="F158" s="195"/>
      <c r="K158" s="84"/>
      <c r="M158" s="84" t="str">
        <f>K79 </f>
        <v>| align=left | {{flag|}} ||  ||  ||  ||  ||   </v>
      </c>
    </row>
    <row r="159">
      <c r="A159" s="86"/>
      <c r="B159" s="196"/>
      <c r="C159" s="198"/>
      <c r="D159" s="196"/>
      <c r="E159" s="192"/>
      <c r="F159" s="195"/>
      <c r="K159" s="84"/>
      <c r="M159" s="102" t="s">
        <v>1049</v>
      </c>
    </row>
    <row r="160">
      <c r="A160" s="204"/>
      <c r="B160" s="193"/>
      <c r="C160" s="198"/>
      <c r="D160" s="193"/>
      <c r="E160" s="193"/>
      <c r="F160" s="195"/>
      <c r="K160" s="84"/>
      <c r="M160" s="84" t="str">
        <f>K80 </f>
        <v>| align=left | {{flag|}} ||  ||  ||  ||  ||   </v>
      </c>
    </row>
    <row r="161">
      <c r="A161" s="86"/>
      <c r="B161" s="196"/>
      <c r="C161" s="198"/>
      <c r="D161" s="196"/>
      <c r="E161" s="192"/>
      <c r="F161" s="195"/>
      <c r="K161" s="84"/>
      <c r="M161" s="102" t="s">
        <v>1049</v>
      </c>
    </row>
    <row r="162">
      <c r="B162" s="193"/>
      <c r="C162" s="198"/>
      <c r="D162" s="193"/>
      <c r="E162" s="194"/>
      <c r="F162" s="195"/>
      <c r="K162" s="84"/>
      <c r="M162" s="84" t="str">
        <f>K81 </f>
        <v>| align=left | {{flag|}} ||  ||  ||  ||  ||   </v>
      </c>
    </row>
    <row r="163">
      <c r="B163" s="193"/>
      <c r="C163" s="198"/>
      <c r="D163" s="193"/>
      <c r="E163" s="194"/>
      <c r="F163" s="195"/>
      <c r="K163" s="84"/>
      <c r="M163" s="102" t="s">
        <v>1049</v>
      </c>
    </row>
    <row r="164">
      <c r="B164" s="193"/>
      <c r="C164" s="198"/>
      <c r="D164" s="193"/>
      <c r="E164" s="194"/>
      <c r="F164" s="195"/>
      <c r="K164" s="84"/>
      <c r="M164" s="84" t="str">
        <f>K82 </f>
        <v>| align=left | {{flag|}} ||  ||  ||  ||  ||   </v>
      </c>
    </row>
    <row r="165">
      <c r="B165" s="196"/>
      <c r="C165" s="198"/>
      <c r="D165" s="196"/>
      <c r="E165" s="192"/>
      <c r="F165" s="195"/>
      <c r="K165" s="84"/>
      <c r="M165" s="102" t="s">
        <v>1049</v>
      </c>
    </row>
    <row r="166">
      <c r="B166" s="193"/>
      <c r="C166" s="198"/>
      <c r="D166" s="193"/>
      <c r="E166" s="194"/>
      <c r="F166" s="195"/>
      <c r="K166" s="84"/>
      <c r="M166" s="84" t="str">
        <f>K83 </f>
        <v>| align=left | {{flag|}} ||  ||  ||  ||  ||   </v>
      </c>
    </row>
    <row r="167">
      <c r="A167" s="86"/>
      <c r="B167" s="196"/>
      <c r="C167" s="198"/>
      <c r="D167" s="196"/>
      <c r="E167" s="192"/>
      <c r="F167" s="195"/>
      <c r="K167" s="84"/>
      <c r="M167" s="102" t="s">
        <v>1049</v>
      </c>
    </row>
    <row r="168">
      <c r="A168" s="86"/>
      <c r="B168" s="196"/>
      <c r="C168" s="198"/>
      <c r="D168" s="196"/>
      <c r="E168" s="192"/>
      <c r="F168" s="195"/>
      <c r="K168" s="84"/>
      <c r="M168" s="84" t="str">
        <f>K84 </f>
        <v>| align=left | {{flag|}} ||  ||  ||  ||  ||   </v>
      </c>
    </row>
    <row r="169">
      <c r="B169" s="196"/>
      <c r="C169" s="198"/>
      <c r="D169" s="196"/>
      <c r="E169" s="192"/>
      <c r="F169" s="195"/>
      <c r="K169" s="84"/>
      <c r="M169" s="102" t="s">
        <v>1049</v>
      </c>
    </row>
    <row r="170">
      <c r="B170" s="193"/>
      <c r="C170" s="198"/>
      <c r="D170" s="193"/>
      <c r="E170" s="194"/>
      <c r="F170" s="195"/>
      <c r="K170" s="84"/>
      <c r="M170" s="84" t="str">
        <f>K85 </f>
        <v>| align=left | {{flag|}} ||  ||  ||  ||  ||   </v>
      </c>
    </row>
    <row r="171">
      <c r="B171" s="196"/>
      <c r="C171" s="198"/>
      <c r="D171" s="196"/>
      <c r="E171" s="192"/>
      <c r="F171" s="195"/>
      <c r="K171" s="84"/>
      <c r="M171" s="102" t="s">
        <v>1049</v>
      </c>
    </row>
    <row r="172">
      <c r="A172" s="86"/>
      <c r="B172" s="196"/>
      <c r="C172" s="198"/>
      <c r="D172" s="196"/>
      <c r="E172" s="192"/>
      <c r="F172" s="195"/>
      <c r="K172" s="84"/>
      <c r="M172" s="84" t="str">
        <f>K86 </f>
        <v>| align=left | {{flag|}} ||  ||  ||  ||  ||   </v>
      </c>
    </row>
    <row r="173">
      <c r="B173" s="196"/>
      <c r="C173" s="198"/>
      <c r="D173" s="196"/>
      <c r="E173" s="192"/>
      <c r="F173" s="195"/>
      <c r="K173" s="84"/>
      <c r="M173" s="102" t="s">
        <v>1049</v>
      </c>
    </row>
    <row r="174">
      <c r="A174" s="72"/>
      <c r="B174" s="198"/>
      <c r="C174" s="194"/>
      <c r="D174" s="194"/>
      <c r="E174" s="205"/>
      <c r="F174" s="193"/>
      <c r="G174" s="193"/>
      <c r="H174" s="193"/>
      <c r="I174" s="193"/>
      <c r="J174" s="193"/>
      <c r="K174" s="84"/>
      <c r="M174" s="84" t="str">
        <f>K87 </f>
        <v>| align=left | {{flag|}} ||  ||  ||  ||  ||   </v>
      </c>
    </row>
    <row r="175">
      <c r="A175" s="72"/>
      <c r="B175" s="198"/>
      <c r="C175" s="194"/>
      <c r="D175" s="194"/>
      <c r="E175" s="205"/>
      <c r="F175" s="193"/>
      <c r="G175" s="193"/>
      <c r="H175" s="193"/>
      <c r="I175" s="193"/>
      <c r="J175" s="193"/>
      <c r="K175" s="84"/>
      <c r="M175" s="102" t="s">
        <v>1049</v>
      </c>
    </row>
    <row r="176">
      <c r="A176" s="72"/>
      <c r="B176" s="198"/>
      <c r="C176" s="194"/>
      <c r="D176" s="193"/>
      <c r="E176" s="205"/>
      <c r="F176" s="193"/>
      <c r="G176" s="193"/>
      <c r="H176" s="193"/>
      <c r="I176" s="193"/>
      <c r="J176" s="193"/>
      <c r="K176" s="84"/>
      <c r="M176" s="84" t="str">
        <f>K88 </f>
        <v>| align=left | {{flag|}} ||  ||  ||  ||  ||   </v>
      </c>
    </row>
    <row r="177">
      <c r="A177" s="72"/>
      <c r="B177" s="198"/>
      <c r="C177" s="194"/>
      <c r="D177" s="193"/>
      <c r="E177" s="205"/>
      <c r="F177" s="193"/>
      <c r="G177" s="193"/>
      <c r="H177" s="193"/>
      <c r="I177" s="193"/>
      <c r="J177" s="193"/>
      <c r="K177" s="84"/>
      <c r="M177" s="102" t="s">
        <v>1049</v>
      </c>
    </row>
    <row r="178">
      <c r="A178" s="86"/>
      <c r="B178" s="198"/>
      <c r="C178" s="194"/>
      <c r="D178" s="193"/>
      <c r="E178" s="205"/>
      <c r="F178" s="193"/>
      <c r="G178" s="193"/>
      <c r="H178" s="193"/>
      <c r="I178" s="193"/>
      <c r="J178" s="193"/>
      <c r="K178" s="84"/>
      <c r="M178" s="84" t="str">
        <f>K89 </f>
        <v>| align=left | {{flag|}} ||  ||  ||  ||  ||   </v>
      </c>
    </row>
    <row r="179">
      <c r="A179" s="86"/>
      <c r="B179" s="198"/>
      <c r="C179" s="194"/>
      <c r="D179" s="193"/>
      <c r="E179" s="205"/>
      <c r="F179" s="193"/>
      <c r="G179" s="193"/>
      <c r="H179" s="193"/>
      <c r="I179" s="193"/>
      <c r="J179" s="193"/>
      <c r="K179" s="84"/>
      <c r="M179" s="102" t="s">
        <v>1049</v>
      </c>
    </row>
    <row r="180">
      <c r="A180" s="86"/>
      <c r="B180" s="198"/>
      <c r="C180" s="194"/>
      <c r="D180" s="193"/>
      <c r="E180" s="205"/>
      <c r="F180" s="193"/>
      <c r="G180" s="193"/>
      <c r="H180" s="193"/>
      <c r="I180" s="193"/>
      <c r="J180" s="193"/>
      <c r="K180" s="84"/>
      <c r="M180" s="84" t="str">
        <f>K90 </f>
        <v>| align=left | {{flag|}} ||  ||  ||  ||  ||   </v>
      </c>
    </row>
    <row r="181">
      <c r="A181" s="86"/>
      <c r="B181" s="198"/>
      <c r="C181" s="194"/>
      <c r="D181" s="193"/>
      <c r="E181" s="205"/>
      <c r="F181" s="193"/>
      <c r="G181" s="193"/>
      <c r="H181" s="193"/>
      <c r="I181" s="193"/>
      <c r="J181" s="193"/>
      <c r="K181" s="84"/>
      <c r="M181" s="102" t="s">
        <v>1049</v>
      </c>
    </row>
    <row r="182">
      <c r="A182" s="86"/>
      <c r="B182" s="198"/>
      <c r="C182" s="194"/>
      <c r="D182" s="193"/>
      <c r="E182" s="205"/>
      <c r="F182" s="193"/>
      <c r="G182" s="193"/>
      <c r="H182" s="193"/>
      <c r="I182" s="193"/>
      <c r="J182" s="193"/>
      <c r="K182" s="84"/>
      <c r="M182" s="84" t="str">
        <f>K91 </f>
        <v>| align=left | {{flag|}} ||  ||  ||  ||  ||   </v>
      </c>
    </row>
    <row r="183">
      <c r="A183" s="86"/>
      <c r="B183" s="198"/>
      <c r="C183" s="194"/>
      <c r="D183" s="193"/>
      <c r="E183" s="205"/>
      <c r="F183" s="193"/>
      <c r="G183" s="193"/>
      <c r="H183" s="193"/>
      <c r="I183" s="193"/>
      <c r="J183" s="193"/>
      <c r="K183" s="84"/>
      <c r="M183" s="102" t="s">
        <v>1049</v>
      </c>
    </row>
    <row r="184">
      <c r="A184" s="86"/>
      <c r="B184" s="198"/>
      <c r="C184" s="194"/>
      <c r="D184" s="193"/>
      <c r="E184" s="205"/>
      <c r="F184" s="193"/>
      <c r="G184" s="193"/>
      <c r="H184" s="193"/>
      <c r="I184" s="193"/>
      <c r="J184" s="193"/>
      <c r="K184" s="84"/>
      <c r="M184" s="84" t="str">
        <f>K92 </f>
        <v>| align=left | {{flag|}} ||  ||  ||  ||  ||   </v>
      </c>
    </row>
    <row r="185">
      <c r="A185" s="86"/>
      <c r="B185" s="198"/>
      <c r="C185" s="194"/>
      <c r="D185" s="193"/>
      <c r="E185" s="205"/>
      <c r="F185" s="193"/>
      <c r="G185" s="193"/>
      <c r="H185" s="193"/>
      <c r="I185" s="193"/>
      <c r="J185" s="193"/>
      <c r="K185" s="84"/>
      <c r="M185" s="102" t="s">
        <v>1049</v>
      </c>
    </row>
    <row r="186">
      <c r="A186" s="84"/>
      <c r="B186" s="193"/>
      <c r="C186" s="193"/>
      <c r="D186" s="194"/>
      <c r="E186" s="205"/>
      <c r="F186" s="193"/>
      <c r="G186" s="193"/>
      <c r="H186" s="193"/>
      <c r="I186" s="193"/>
      <c r="J186" s="193"/>
      <c r="K186" s="84"/>
      <c r="M186" s="84" t="str">
        <f>K93 </f>
        <v>| align=left | {{flag|}} ||  ||  ||  ||  ||   </v>
      </c>
    </row>
    <row r="187">
      <c r="A187" s="84"/>
      <c r="B187" s="193"/>
      <c r="C187" s="193"/>
      <c r="D187" s="194"/>
      <c r="E187" s="206"/>
      <c r="F187" s="193"/>
      <c r="G187" s="193"/>
      <c r="H187" s="193"/>
      <c r="I187" s="193"/>
      <c r="J187" s="193"/>
      <c r="K187" s="84"/>
      <c r="M187" s="102" t="s">
        <v>1049</v>
      </c>
    </row>
    <row r="188">
      <c r="A188" s="84"/>
      <c r="B188" s="193"/>
      <c r="C188" s="193"/>
      <c r="D188" s="194"/>
      <c r="E188" s="206"/>
      <c r="F188" s="193"/>
      <c r="G188" s="193"/>
      <c r="H188" s="193"/>
      <c r="I188" s="193"/>
      <c r="J188" s="193"/>
      <c r="K188" s="84"/>
      <c r="M188" s="84" t="str">
        <f>K94 </f>
        <v>| align=left | {{flag|}} ||  ||  ||  ||  ||   </v>
      </c>
    </row>
    <row r="189">
      <c r="A189" s="84"/>
      <c r="B189" s="193"/>
      <c r="C189" s="193"/>
      <c r="D189" s="194"/>
      <c r="E189" s="205"/>
      <c r="F189" s="193"/>
      <c r="G189" s="193"/>
      <c r="H189" s="193"/>
      <c r="I189" s="193"/>
      <c r="J189" s="193"/>
      <c r="K189" s="84"/>
      <c r="M189" s="102" t="s">
        <v>1049</v>
      </c>
    </row>
    <row r="190">
      <c r="A190" s="84"/>
      <c r="B190" s="193"/>
      <c r="C190" s="193"/>
      <c r="D190" s="194"/>
      <c r="E190" s="206"/>
      <c r="F190" s="193"/>
      <c r="G190" s="193"/>
      <c r="H190" s="193"/>
      <c r="I190" s="193"/>
      <c r="J190" s="193"/>
      <c r="K190" s="84"/>
      <c r="M190" s="84" t="str">
        <f>K95 </f>
        <v>| align=left | {{flag|}} ||  ||  ||  ||  ||   </v>
      </c>
    </row>
    <row r="191">
      <c r="A191" s="84"/>
      <c r="B191" s="193"/>
      <c r="C191" s="193"/>
      <c r="D191" s="194"/>
      <c r="E191" s="205"/>
      <c r="F191" s="193"/>
      <c r="G191" s="193"/>
      <c r="H191" s="193"/>
      <c r="I191" s="193"/>
      <c r="J191" s="193"/>
      <c r="K191" s="84"/>
      <c r="M191" s="102" t="s">
        <v>1049</v>
      </c>
    </row>
    <row r="192">
      <c r="A192" s="84"/>
      <c r="B192" s="193"/>
      <c r="C192" s="193"/>
      <c r="D192" s="194"/>
      <c r="E192" s="206"/>
      <c r="F192" s="193"/>
      <c r="G192" s="193"/>
      <c r="H192" s="193"/>
      <c r="I192" s="193"/>
      <c r="J192" s="193"/>
      <c r="K192" s="84"/>
      <c r="M192" s="84" t="str">
        <f>K96 </f>
        <v>| align=left | {{flag|}} ||  ||  ||  ||  ||   </v>
      </c>
    </row>
    <row r="193">
      <c r="A193" s="84"/>
      <c r="B193" s="193"/>
      <c r="C193" s="193"/>
      <c r="D193" s="194"/>
      <c r="E193" s="205"/>
      <c r="F193" s="193"/>
      <c r="G193" s="193"/>
      <c r="H193" s="193"/>
      <c r="I193" s="193"/>
      <c r="J193" s="193"/>
      <c r="K193" s="84"/>
      <c r="M193" s="102" t="s">
        <v>1049</v>
      </c>
    </row>
    <row r="194">
      <c r="A194" s="72"/>
      <c r="B194" s="199"/>
      <c r="C194" s="199"/>
      <c r="D194" s="199"/>
      <c r="E194" s="205"/>
      <c r="F194" s="167"/>
      <c r="G194" s="167"/>
      <c r="H194" s="167"/>
      <c r="I194" s="167"/>
      <c r="J194" s="167"/>
      <c r="K194" s="84"/>
      <c r="M194" s="84" t="str">
        <f>K97 </f>
        <v>| align=left | {{flag|}} ||  ||  ||  ||  ||   </v>
      </c>
    </row>
    <row r="195">
      <c r="A195" s="84"/>
      <c r="B195" s="193"/>
      <c r="C195" s="193"/>
      <c r="D195" s="194"/>
      <c r="E195" s="205"/>
      <c r="F195" s="193"/>
      <c r="G195" s="193"/>
      <c r="H195" s="193"/>
      <c r="I195" s="193"/>
      <c r="J195" s="193"/>
      <c r="K195" s="84"/>
      <c r="M195" s="102" t="s">
        <v>1049</v>
      </c>
    </row>
    <row r="196">
      <c r="A196" s="84"/>
      <c r="B196" s="193"/>
      <c r="C196" s="193"/>
      <c r="D196" s="194"/>
      <c r="E196" s="206"/>
      <c r="F196" s="193"/>
      <c r="G196" s="193"/>
      <c r="H196" s="193"/>
      <c r="I196" s="193"/>
      <c r="J196" s="193"/>
      <c r="K196" s="84"/>
      <c r="M196" s="84" t="str">
        <f>K98 </f>
        <v>| align=left | {{flag|}} ||  ||  ||  ||  ||   </v>
      </c>
    </row>
    <row r="197">
      <c r="A197" s="84"/>
      <c r="B197" s="193"/>
      <c r="C197" s="193"/>
      <c r="D197" s="194"/>
      <c r="E197" s="205"/>
      <c r="F197" s="193"/>
      <c r="G197" s="193"/>
      <c r="H197" s="193"/>
      <c r="I197" s="193"/>
      <c r="J197" s="193"/>
      <c r="K197" s="84"/>
      <c r="M197" s="102" t="s">
        <v>1049</v>
      </c>
    </row>
    <row r="198">
      <c r="A198" s="84"/>
      <c r="B198" s="193"/>
      <c r="C198" s="193"/>
      <c r="D198" s="194"/>
      <c r="E198" s="206"/>
      <c r="F198" s="193"/>
      <c r="G198" s="193"/>
      <c r="H198" s="193"/>
      <c r="I198" s="193"/>
      <c r="J198" s="193"/>
      <c r="K198" s="84"/>
      <c r="M198" s="84" t="str">
        <f>K99 </f>
        <v>| align=left | {{flag|}} ||  ||  ||  ||  ||   </v>
      </c>
    </row>
    <row r="199">
      <c r="A199" s="84"/>
      <c r="B199" s="193"/>
      <c r="C199" s="193"/>
      <c r="D199" s="194"/>
      <c r="E199" s="206"/>
      <c r="F199" s="193"/>
      <c r="G199" s="193"/>
      <c r="H199" s="193"/>
      <c r="I199" s="193"/>
      <c r="J199" s="193"/>
      <c r="K199" s="84"/>
      <c r="M199" s="102" t="s">
        <v>1049</v>
      </c>
    </row>
    <row r="200">
      <c r="A200" s="84"/>
      <c r="B200" s="193"/>
      <c r="C200" s="193"/>
      <c r="D200" s="194"/>
      <c r="E200" s="206"/>
      <c r="F200" s="193"/>
      <c r="G200" s="193"/>
      <c r="H200" s="193"/>
      <c r="I200" s="193"/>
      <c r="J200" s="193"/>
      <c r="K200" s="84"/>
      <c r="M200" s="84" t="str">
        <f>K100 </f>
        <v>| align=left | {{flag|}} ||  ||  ||  ||  ||   </v>
      </c>
    </row>
    <row r="201">
      <c r="A201" s="84"/>
      <c r="B201" s="193"/>
      <c r="C201" s="193"/>
      <c r="D201" s="194"/>
      <c r="E201" s="205"/>
      <c r="F201" s="193"/>
      <c r="G201" s="193"/>
      <c r="H201" s="193"/>
      <c r="I201" s="193"/>
      <c r="J201" s="193"/>
      <c r="K201" s="84"/>
      <c r="M201" s="102" t="s">
        <v>1049</v>
      </c>
    </row>
    <row r="202">
      <c r="A202" s="84"/>
      <c r="B202" s="193"/>
      <c r="C202" s="193"/>
      <c r="D202" s="194"/>
      <c r="E202" s="206"/>
      <c r="F202" s="193"/>
      <c r="G202" s="193"/>
      <c r="H202" s="193"/>
      <c r="I202" s="193"/>
      <c r="J202" s="193"/>
      <c r="K202" s="84"/>
      <c r="M202" s="84" t="str">
        <f>K101 </f>
        <v>| align=left | {{flag|}} ||  ||  ||  ||  ||   </v>
      </c>
    </row>
    <row r="203">
      <c r="A203" s="84"/>
      <c r="B203" s="193"/>
      <c r="C203" s="193"/>
      <c r="D203" s="194"/>
      <c r="E203" s="205"/>
      <c r="F203" s="193"/>
      <c r="G203" s="193"/>
      <c r="H203" s="193"/>
      <c r="I203" s="193"/>
      <c r="J203" s="193"/>
      <c r="K203" s="84"/>
      <c r="M203" s="102" t="s">
        <v>1049</v>
      </c>
    </row>
    <row r="204">
      <c r="A204" s="84"/>
      <c r="B204" s="193"/>
      <c r="C204" s="193"/>
      <c r="D204" s="194"/>
      <c r="E204" s="205"/>
      <c r="F204" s="193"/>
      <c r="G204" s="193"/>
      <c r="H204" s="193"/>
      <c r="I204" s="193"/>
      <c r="J204" s="193"/>
      <c r="K204" s="84"/>
      <c r="M204" s="84" t="str">
        <f>K102 </f>
        <v>| align=left | {{flag|}} ||  ||  ||  ||  ||   </v>
      </c>
    </row>
    <row r="205">
      <c r="A205" s="84"/>
      <c r="B205" s="193"/>
      <c r="C205" s="193"/>
      <c r="D205" s="194"/>
      <c r="E205" s="206"/>
      <c r="F205" s="193"/>
      <c r="G205" s="193"/>
      <c r="H205" s="193"/>
      <c r="I205" s="193"/>
      <c r="J205" s="193"/>
      <c r="K205" s="84"/>
      <c r="M205" s="102" t="s">
        <v>1049</v>
      </c>
    </row>
    <row r="206">
      <c r="A206" s="84"/>
      <c r="B206" s="193"/>
      <c r="C206" s="193"/>
      <c r="D206" s="194"/>
      <c r="E206" s="206"/>
      <c r="F206" s="193"/>
      <c r="G206" s="193"/>
      <c r="H206" s="193"/>
      <c r="I206" s="193"/>
      <c r="J206" s="193"/>
      <c r="K206" s="84"/>
      <c r="M206" s="84" t="str">
        <f>K103 </f>
        <v>| align=left | {{flag|}} ||  ||  ||  ||  ||   </v>
      </c>
    </row>
    <row r="207">
      <c r="A207" s="84"/>
      <c r="B207" s="193"/>
      <c r="C207" s="193"/>
      <c r="D207" s="194"/>
      <c r="E207" s="206"/>
      <c r="F207" s="193"/>
      <c r="G207" s="193"/>
      <c r="H207" s="193"/>
      <c r="I207" s="193"/>
      <c r="J207" s="193"/>
      <c r="K207" s="84"/>
      <c r="M207" s="102" t="s">
        <v>1049</v>
      </c>
    </row>
    <row r="208">
      <c r="A208" s="84"/>
      <c r="B208" s="193"/>
      <c r="C208" s="193"/>
      <c r="D208" s="194"/>
      <c r="E208" s="205"/>
      <c r="F208" s="193"/>
      <c r="G208" s="193"/>
      <c r="H208" s="193"/>
      <c r="I208" s="193"/>
      <c r="J208" s="193"/>
      <c r="K208" s="84"/>
      <c r="M208" s="84" t="str">
        <f>K104 </f>
        <v>| align=left | {{flag|}} ||  ||  ||  ||  ||   </v>
      </c>
    </row>
    <row r="209">
      <c r="A209" s="84"/>
      <c r="B209" s="193"/>
      <c r="C209" s="193"/>
      <c r="D209" s="194"/>
      <c r="E209" s="205"/>
      <c r="F209" s="193"/>
      <c r="G209" s="193"/>
      <c r="H209" s="193"/>
      <c r="I209" s="193"/>
      <c r="J209" s="193"/>
      <c r="K209" s="84"/>
      <c r="M209" s="102" t="s">
        <v>1049</v>
      </c>
    </row>
    <row r="210">
      <c r="A210" s="84"/>
      <c r="B210" s="193"/>
      <c r="C210" s="193"/>
      <c r="D210" s="194"/>
      <c r="E210" s="206"/>
      <c r="F210" s="193"/>
      <c r="G210" s="193"/>
      <c r="H210" s="193"/>
      <c r="I210" s="193"/>
      <c r="J210" s="193"/>
      <c r="K210" s="84"/>
      <c r="M210" s="84" t="str">
        <f>K105 </f>
        <v>| align=left | {{flag|}} ||  ||  ||  ||  ||   </v>
      </c>
    </row>
    <row r="211">
      <c r="A211" s="84"/>
      <c r="B211" s="193"/>
      <c r="C211" s="193"/>
      <c r="D211" s="194"/>
      <c r="E211" s="205"/>
      <c r="F211" s="193"/>
      <c r="G211" s="193"/>
      <c r="H211" s="193"/>
      <c r="I211" s="193"/>
      <c r="J211" s="193"/>
      <c r="K211" s="84"/>
      <c r="M211" s="102" t="s">
        <v>1049</v>
      </c>
      <c r="O211" s="207" t="s">
        <v>1052</v>
      </c>
    </row>
    <row r="212">
      <c r="A212" s="84"/>
      <c r="B212" s="193"/>
      <c r="C212" s="193"/>
      <c r="D212" s="194"/>
      <c r="E212" s="206"/>
      <c r="F212" s="193"/>
      <c r="G212" s="193"/>
      <c r="H212" s="193"/>
      <c r="I212" s="193"/>
      <c r="J212" s="193"/>
      <c r="K212" s="84"/>
      <c r="M212" s="84" t="str">
        <f>K106 </f>
        <v>| align=left | {{flag|}} ||  ||  ||  ||  ||   </v>
      </c>
    </row>
    <row r="213">
      <c r="A213" s="84"/>
      <c r="B213" s="193"/>
      <c r="C213" s="193"/>
      <c r="D213" s="194"/>
      <c r="E213" s="205"/>
      <c r="F213" s="193"/>
      <c r="G213" s="193"/>
      <c r="H213" s="193"/>
      <c r="I213" s="193"/>
      <c r="J213" s="193"/>
      <c r="K213" s="84"/>
      <c r="M213" s="102" t="s">
        <v>1049</v>
      </c>
    </row>
    <row r="214">
      <c r="A214" s="84"/>
      <c r="B214" s="193"/>
      <c r="C214" s="193"/>
      <c r="D214" s="194"/>
      <c r="E214" s="205"/>
      <c r="F214" s="193"/>
      <c r="G214" s="193"/>
      <c r="H214" s="193"/>
      <c r="I214" s="193"/>
      <c r="J214" s="193"/>
      <c r="K214" s="84"/>
      <c r="M214" s="84" t="str">
        <f>K107 </f>
        <v/>
      </c>
    </row>
    <row r="215">
      <c r="A215" s="84"/>
      <c r="B215" s="193"/>
      <c r="C215" s="193"/>
      <c r="D215" s="194"/>
      <c r="E215" s="205"/>
      <c r="F215" s="193"/>
      <c r="G215" s="193"/>
      <c r="H215" s="193"/>
      <c r="I215" s="193"/>
      <c r="J215" s="193"/>
      <c r="K215" s="84"/>
      <c r="M215" s="102" t="s">
        <v>1049</v>
      </c>
    </row>
    <row r="216">
      <c r="A216" s="84"/>
      <c r="B216" s="193"/>
      <c r="C216" s="193"/>
      <c r="D216" s="194"/>
      <c r="E216" s="205"/>
      <c r="F216" s="193"/>
      <c r="G216" s="193"/>
      <c r="H216" s="193"/>
      <c r="I216" s="193"/>
      <c r="J216" s="193"/>
      <c r="K216" s="84"/>
      <c r="M216" s="84" t="str">
        <f>K108 </f>
        <v/>
      </c>
    </row>
    <row r="217">
      <c r="A217" s="84"/>
      <c r="B217" s="193"/>
      <c r="C217" s="193"/>
      <c r="D217" s="194"/>
      <c r="E217" s="206"/>
      <c r="F217" s="193"/>
      <c r="G217" s="193"/>
      <c r="H217" s="193"/>
      <c r="I217" s="193"/>
      <c r="J217" s="193"/>
      <c r="K217" s="84"/>
      <c r="M217" s="102" t="s">
        <v>1049</v>
      </c>
    </row>
    <row r="218">
      <c r="A218" s="84"/>
      <c r="B218" s="193"/>
      <c r="C218" s="193"/>
      <c r="D218" s="194"/>
      <c r="E218" s="205"/>
      <c r="F218" s="193"/>
      <c r="G218" s="193"/>
      <c r="H218" s="193"/>
      <c r="I218" s="193"/>
      <c r="J218" s="193"/>
      <c r="K218" s="84"/>
      <c r="M218" s="84" t="str">
        <f>K109 </f>
        <v/>
      </c>
    </row>
    <row r="219">
      <c r="A219" s="84"/>
      <c r="B219" s="193"/>
      <c r="C219" s="193"/>
      <c r="D219" s="194"/>
      <c r="E219" s="206"/>
      <c r="F219" s="193"/>
      <c r="G219" s="193"/>
      <c r="H219" s="193"/>
      <c r="I219" s="193"/>
      <c r="J219" s="193"/>
      <c r="K219" s="84"/>
      <c r="M219" s="102" t="s">
        <v>1049</v>
      </c>
    </row>
    <row r="220">
      <c r="A220" s="84"/>
      <c r="B220" s="193"/>
      <c r="C220" s="193"/>
      <c r="D220" s="194"/>
      <c r="E220" s="205"/>
      <c r="F220" s="193"/>
      <c r="G220" s="193"/>
      <c r="H220" s="193"/>
      <c r="I220" s="193"/>
      <c r="J220" s="193"/>
      <c r="K220" s="84"/>
      <c r="M220" s="84" t="str">
        <f>K110 </f>
        <v/>
      </c>
    </row>
    <row r="221">
      <c r="A221" s="84"/>
      <c r="B221" s="193"/>
      <c r="C221" s="193"/>
      <c r="D221" s="194"/>
      <c r="E221" s="205"/>
      <c r="F221" s="193"/>
      <c r="G221" s="193"/>
      <c r="H221" s="193"/>
      <c r="I221" s="193"/>
      <c r="J221" s="193"/>
      <c r="K221" s="84"/>
      <c r="M221" s="102" t="s">
        <v>1049</v>
      </c>
    </row>
    <row r="222">
      <c r="A222" s="84"/>
      <c r="B222" s="193"/>
      <c r="C222" s="193"/>
      <c r="D222" s="194"/>
      <c r="E222" s="205"/>
      <c r="F222" s="193"/>
      <c r="G222" s="193"/>
      <c r="H222" s="193"/>
      <c r="I222" s="193"/>
      <c r="J222" s="193"/>
      <c r="K222" s="84"/>
      <c r="M222" s="84" t="str">
        <f>K111 </f>
        <v/>
      </c>
    </row>
    <row r="223">
      <c r="A223" s="84"/>
      <c r="B223" s="193"/>
      <c r="C223" s="193"/>
      <c r="D223" s="194"/>
      <c r="E223" s="206"/>
      <c r="F223" s="193"/>
      <c r="G223" s="193"/>
      <c r="H223" s="193"/>
      <c r="I223" s="193"/>
      <c r="J223" s="193"/>
      <c r="K223" s="84"/>
      <c r="M223" s="102" t="s">
        <v>1049</v>
      </c>
    </row>
    <row r="224">
      <c r="A224" s="84"/>
      <c r="B224" s="193"/>
      <c r="C224" s="193"/>
      <c r="D224" s="194"/>
      <c r="E224" s="205"/>
      <c r="F224" s="193"/>
      <c r="G224" s="193"/>
      <c r="H224" s="193"/>
      <c r="I224" s="193"/>
      <c r="J224" s="193"/>
      <c r="K224" s="84"/>
      <c r="M224" s="84" t="str">
        <f>K112 </f>
        <v/>
      </c>
    </row>
    <row r="225">
      <c r="A225" s="84"/>
      <c r="B225" s="193"/>
      <c r="C225" s="193"/>
      <c r="D225" s="194"/>
      <c r="E225" s="205"/>
      <c r="F225" s="193"/>
      <c r="G225" s="193"/>
      <c r="H225" s="193"/>
      <c r="I225" s="193"/>
      <c r="J225" s="193"/>
      <c r="K225" s="84"/>
      <c r="M225" s="102" t="s">
        <v>1049</v>
      </c>
    </row>
    <row r="226">
      <c r="A226" s="84"/>
      <c r="B226" s="193"/>
      <c r="C226" s="193"/>
      <c r="D226" s="194"/>
      <c r="E226" s="205"/>
      <c r="F226" s="193"/>
      <c r="G226" s="193"/>
      <c r="H226" s="193"/>
      <c r="I226" s="193"/>
      <c r="J226" s="193"/>
      <c r="K226" s="84"/>
      <c r="M226" s="84" t="str">
        <f>K113 </f>
        <v/>
      </c>
    </row>
    <row r="227">
      <c r="A227" s="84"/>
      <c r="B227" s="193"/>
      <c r="C227" s="193"/>
      <c r="D227" s="194"/>
      <c r="E227" s="206"/>
      <c r="F227" s="193"/>
      <c r="G227" s="193"/>
      <c r="H227" s="193"/>
      <c r="I227" s="193"/>
      <c r="J227" s="193"/>
      <c r="K227" s="84"/>
      <c r="M227" s="102" t="s">
        <v>1049</v>
      </c>
    </row>
    <row r="228">
      <c r="A228" s="84"/>
      <c r="B228" s="193"/>
      <c r="C228" s="193"/>
      <c r="D228" s="194"/>
      <c r="E228" s="205"/>
      <c r="F228" s="193"/>
      <c r="G228" s="193"/>
      <c r="H228" s="193"/>
      <c r="I228" s="193"/>
      <c r="J228" s="193"/>
      <c r="K228" s="84"/>
      <c r="M228" s="84" t="str">
        <f>K114 </f>
        <v/>
      </c>
    </row>
    <row r="229">
      <c r="A229" s="84"/>
      <c r="B229" s="193"/>
      <c r="C229" s="193"/>
      <c r="D229" s="194"/>
      <c r="E229" s="205"/>
      <c r="F229" s="193"/>
      <c r="G229" s="193"/>
      <c r="H229" s="193"/>
      <c r="I229" s="193"/>
      <c r="J229" s="193"/>
      <c r="K229" s="84"/>
      <c r="M229" s="102" t="s">
        <v>1049</v>
      </c>
    </row>
    <row r="230">
      <c r="A230" s="84"/>
      <c r="B230" s="193"/>
      <c r="C230" s="193"/>
      <c r="D230" s="194"/>
      <c r="E230" s="206"/>
      <c r="F230" s="193"/>
      <c r="G230" s="193"/>
      <c r="H230" s="193"/>
      <c r="I230" s="193"/>
      <c r="J230" s="193"/>
      <c r="K230" s="84"/>
      <c r="M230" s="84" t="str">
        <f>K115 </f>
        <v/>
      </c>
    </row>
    <row r="231">
      <c r="A231" s="84"/>
      <c r="B231" s="193"/>
      <c r="C231" s="193"/>
      <c r="D231" s="194"/>
      <c r="E231" s="206"/>
      <c r="F231" s="193"/>
      <c r="G231" s="193"/>
      <c r="H231" s="193"/>
      <c r="I231" s="193"/>
      <c r="J231" s="193"/>
      <c r="K231" s="84"/>
      <c r="M231" s="102" t="s">
        <v>1049</v>
      </c>
    </row>
    <row r="232">
      <c r="A232" s="84"/>
      <c r="B232" s="193"/>
      <c r="C232" s="193"/>
      <c r="D232" s="194"/>
      <c r="E232" s="205"/>
      <c r="F232" s="193"/>
      <c r="G232" s="193"/>
      <c r="H232" s="193"/>
      <c r="I232" s="193"/>
      <c r="J232" s="193"/>
      <c r="K232" s="84"/>
      <c r="M232" s="84" t="str">
        <f>K116 </f>
        <v/>
      </c>
    </row>
    <row r="233">
      <c r="A233" s="84"/>
      <c r="B233" s="193"/>
      <c r="C233" s="193"/>
      <c r="D233" s="194"/>
      <c r="E233" s="206"/>
      <c r="F233" s="193"/>
      <c r="G233" s="193"/>
      <c r="H233" s="193"/>
      <c r="I233" s="193"/>
      <c r="J233" s="193"/>
      <c r="K233" s="84"/>
      <c r="M233" s="102" t="s">
        <v>1049</v>
      </c>
    </row>
    <row r="234">
      <c r="A234" s="84"/>
      <c r="B234" s="193"/>
      <c r="C234" s="193"/>
      <c r="D234" s="194"/>
      <c r="E234" s="206"/>
      <c r="F234" s="193"/>
      <c r="G234" s="193"/>
      <c r="H234" s="193"/>
      <c r="I234" s="193"/>
      <c r="J234" s="193"/>
      <c r="K234" s="84"/>
      <c r="M234" s="84" t="str">
        <f>K117 </f>
        <v/>
      </c>
    </row>
    <row r="235">
      <c r="A235" s="84"/>
      <c r="B235" s="193"/>
      <c r="C235" s="193"/>
      <c r="D235" s="194"/>
      <c r="E235" s="206"/>
      <c r="F235" s="193"/>
      <c r="G235" s="193"/>
      <c r="H235" s="193"/>
      <c r="I235" s="193"/>
      <c r="J235" s="193"/>
      <c r="K235" s="84"/>
      <c r="M235" s="102" t="s">
        <v>1049</v>
      </c>
    </row>
    <row r="236">
      <c r="A236" s="84"/>
      <c r="B236" s="193"/>
      <c r="C236" s="193"/>
      <c r="D236" s="194"/>
      <c r="E236" s="206"/>
      <c r="F236" s="193"/>
      <c r="G236" s="193"/>
      <c r="H236" s="193"/>
      <c r="I236" s="193"/>
      <c r="J236" s="193"/>
      <c r="K236" s="84"/>
      <c r="M236" s="84" t="str">
        <f>K118 </f>
        <v/>
      </c>
    </row>
    <row r="237">
      <c r="A237" s="84"/>
      <c r="B237" s="193"/>
      <c r="C237" s="193"/>
      <c r="D237" s="194"/>
      <c r="E237" s="205"/>
      <c r="F237" s="193"/>
      <c r="G237" s="193"/>
      <c r="H237" s="193"/>
      <c r="I237" s="193"/>
      <c r="J237" s="193"/>
      <c r="K237" s="84"/>
      <c r="M237" s="102" t="s">
        <v>1049</v>
      </c>
    </row>
    <row r="238">
      <c r="A238" s="84"/>
      <c r="B238" s="193"/>
      <c r="C238" s="193"/>
      <c r="D238" s="194"/>
      <c r="E238" s="205"/>
      <c r="F238" s="193"/>
      <c r="G238" s="193"/>
      <c r="H238" s="193"/>
      <c r="I238" s="193"/>
      <c r="J238" s="193"/>
      <c r="K238" s="84"/>
      <c r="M238" s="84" t="str">
        <f>K119 </f>
        <v/>
      </c>
    </row>
    <row r="239">
      <c r="A239" s="84"/>
      <c r="B239" s="193"/>
      <c r="C239" s="193"/>
      <c r="D239" s="194"/>
      <c r="E239" s="205"/>
      <c r="F239" s="193"/>
      <c r="G239" s="193"/>
      <c r="H239" s="193"/>
      <c r="I239" s="193"/>
      <c r="J239" s="193"/>
      <c r="K239" s="84"/>
      <c r="M239" s="102" t="s">
        <v>1049</v>
      </c>
    </row>
    <row r="240">
      <c r="A240" s="84"/>
      <c r="B240" s="193"/>
      <c r="C240" s="193"/>
      <c r="D240" s="194"/>
      <c r="E240" s="205"/>
      <c r="F240" s="193"/>
      <c r="G240" s="193"/>
      <c r="H240" s="193"/>
      <c r="I240" s="193"/>
      <c r="J240" s="193"/>
      <c r="K240" s="84"/>
      <c r="M240" s="84" t="str">
        <f>K120 </f>
        <v/>
      </c>
    </row>
    <row r="241">
      <c r="A241" s="84"/>
      <c r="B241" s="193"/>
      <c r="C241" s="193"/>
      <c r="D241" s="194"/>
      <c r="E241" s="206"/>
      <c r="F241" s="193"/>
      <c r="G241" s="193"/>
      <c r="H241" s="193"/>
      <c r="I241" s="193"/>
      <c r="J241" s="193"/>
      <c r="K241" s="84"/>
      <c r="M241" s="102" t="s">
        <v>1049</v>
      </c>
    </row>
    <row r="242">
      <c r="A242" s="84"/>
      <c r="B242" s="193"/>
      <c r="C242" s="193"/>
      <c r="D242" s="194"/>
      <c r="E242" s="205"/>
      <c r="F242" s="193"/>
      <c r="G242" s="193"/>
      <c r="H242" s="193"/>
      <c r="I242" s="193"/>
      <c r="J242" s="193"/>
      <c r="K242" s="84"/>
      <c r="M242" s="84" t="str">
        <f>K121 </f>
        <v/>
      </c>
    </row>
    <row r="243">
      <c r="A243" s="84"/>
      <c r="B243" s="193"/>
      <c r="C243" s="193"/>
      <c r="D243" s="194"/>
      <c r="E243" s="205"/>
      <c r="F243" s="193"/>
      <c r="G243" s="193"/>
      <c r="H243" s="193"/>
      <c r="I243" s="193"/>
      <c r="J243" s="193"/>
      <c r="K243" s="84"/>
      <c r="M243" s="102" t="s">
        <v>1049</v>
      </c>
    </row>
    <row r="244">
      <c r="A244" s="84"/>
      <c r="B244" s="193"/>
      <c r="C244" s="193"/>
      <c r="D244" s="194"/>
      <c r="E244" s="206"/>
      <c r="F244" s="193"/>
      <c r="G244" s="193"/>
      <c r="H244" s="193"/>
      <c r="I244" s="193"/>
      <c r="J244" s="193"/>
      <c r="K244" s="84"/>
      <c r="M244" s="84" t="str">
        <f>K122 </f>
        <v/>
      </c>
    </row>
    <row r="245">
      <c r="A245" s="84"/>
      <c r="B245" s="193"/>
      <c r="C245" s="193"/>
      <c r="D245" s="194"/>
      <c r="E245" s="206"/>
      <c r="F245" s="193"/>
      <c r="G245" s="193"/>
      <c r="H245" s="193"/>
      <c r="I245" s="193"/>
      <c r="J245" s="193"/>
      <c r="K245" s="84"/>
      <c r="M245" s="102" t="s">
        <v>1049</v>
      </c>
    </row>
    <row r="246">
      <c r="A246" s="84"/>
      <c r="B246" s="193"/>
      <c r="C246" s="193"/>
      <c r="D246" s="194"/>
      <c r="E246" s="206"/>
      <c r="F246" s="193"/>
      <c r="G246" s="193"/>
      <c r="H246" s="193"/>
      <c r="I246" s="193"/>
      <c r="J246" s="193"/>
      <c r="K246" s="84"/>
      <c r="M246" s="84" t="str">
        <f>K123 </f>
        <v/>
      </c>
    </row>
    <row r="247">
      <c r="A247" s="84"/>
      <c r="B247" s="193"/>
      <c r="C247" s="193"/>
      <c r="D247" s="194"/>
      <c r="E247" s="205"/>
      <c r="F247" s="193"/>
      <c r="G247" s="193"/>
      <c r="H247" s="193"/>
      <c r="I247" s="193"/>
      <c r="J247" s="193"/>
      <c r="K247" s="84"/>
      <c r="M247" s="102" t="s">
        <v>1049</v>
      </c>
    </row>
    <row r="248">
      <c r="A248" s="84"/>
      <c r="B248" s="193"/>
      <c r="C248" s="193"/>
      <c r="D248" s="194"/>
      <c r="E248" s="206"/>
      <c r="F248" s="193"/>
      <c r="G248" s="193"/>
      <c r="H248" s="193"/>
      <c r="I248" s="193"/>
      <c r="J248" s="193"/>
      <c r="K248" s="84"/>
      <c r="M248" s="84" t="str">
        <f>K124 </f>
        <v/>
      </c>
    </row>
    <row r="249">
      <c r="A249" s="84"/>
      <c r="B249" s="193"/>
      <c r="C249" s="193"/>
      <c r="D249" s="194"/>
      <c r="E249" s="206"/>
      <c r="F249" s="193"/>
      <c r="G249" s="193"/>
      <c r="H249" s="193"/>
      <c r="I249" s="193"/>
      <c r="J249" s="193"/>
      <c r="K249" s="84"/>
      <c r="M249" s="102" t="s">
        <v>1049</v>
      </c>
    </row>
    <row r="250">
      <c r="A250" s="84"/>
      <c r="B250" s="193"/>
      <c r="C250" s="193"/>
      <c r="D250" s="194"/>
      <c r="E250" s="205"/>
      <c r="F250" s="193"/>
      <c r="G250" s="193"/>
      <c r="H250" s="193"/>
      <c r="I250" s="193"/>
      <c r="J250" s="193"/>
      <c r="K250" s="84"/>
      <c r="M250" s="84" t="str">
        <f>K125 </f>
        <v/>
      </c>
    </row>
    <row r="251">
      <c r="A251" s="84"/>
      <c r="B251" s="193"/>
      <c r="C251" s="193"/>
      <c r="D251" s="194"/>
      <c r="E251" s="205"/>
      <c r="F251" s="193"/>
      <c r="G251" s="193"/>
      <c r="H251" s="193"/>
      <c r="I251" s="193"/>
      <c r="J251" s="193"/>
      <c r="K251" s="84"/>
      <c r="M251" s="102" t="s">
        <v>1049</v>
      </c>
    </row>
    <row r="252">
      <c r="A252" s="84"/>
      <c r="B252" s="193"/>
      <c r="C252" s="193"/>
      <c r="D252" s="194"/>
      <c r="E252" s="206"/>
      <c r="F252" s="193"/>
      <c r="G252" s="193"/>
      <c r="H252" s="193"/>
      <c r="I252" s="193"/>
      <c r="J252" s="193"/>
      <c r="K252" s="84"/>
      <c r="M252" s="84" t="str">
        <f>K126 </f>
        <v/>
      </c>
    </row>
    <row r="253">
      <c r="A253" s="84"/>
      <c r="B253" s="193"/>
      <c r="C253" s="193"/>
      <c r="D253" s="194"/>
      <c r="E253" s="205"/>
      <c r="F253" s="193"/>
      <c r="G253" s="193"/>
      <c r="H253" s="193"/>
      <c r="I253" s="193"/>
      <c r="J253" s="193"/>
      <c r="K253" s="84"/>
      <c r="M253" s="102" t="s">
        <v>1049</v>
      </c>
    </row>
    <row r="254">
      <c r="A254" s="84"/>
      <c r="B254" s="193"/>
      <c r="C254" s="193"/>
      <c r="D254" s="194"/>
      <c r="E254" s="206"/>
      <c r="F254" s="193"/>
      <c r="G254" s="193"/>
      <c r="H254" s="193"/>
      <c r="I254" s="193"/>
      <c r="J254" s="193"/>
      <c r="K254" s="84"/>
      <c r="M254" s="84" t="str">
        <f>K127 </f>
        <v/>
      </c>
    </row>
    <row r="255">
      <c r="A255" s="84"/>
      <c r="B255" s="193"/>
      <c r="C255" s="193"/>
      <c r="D255" s="194"/>
      <c r="E255" s="205"/>
      <c r="F255" s="193"/>
      <c r="G255" s="193"/>
      <c r="H255" s="193"/>
      <c r="I255" s="193"/>
      <c r="J255" s="193"/>
      <c r="K255" s="84"/>
      <c r="M255" s="102" t="s">
        <v>1049</v>
      </c>
    </row>
    <row r="256">
      <c r="A256" s="84"/>
      <c r="B256" s="193"/>
      <c r="C256" s="193"/>
      <c r="D256" s="194"/>
      <c r="E256" s="205"/>
      <c r="F256" s="193"/>
      <c r="G256" s="193"/>
      <c r="H256" s="193"/>
      <c r="I256" s="193"/>
      <c r="J256" s="193"/>
      <c r="K256" s="84"/>
      <c r="M256" s="84" t="str">
        <f>K128 </f>
        <v/>
      </c>
    </row>
    <row r="257">
      <c r="A257" s="84"/>
      <c r="B257" s="193"/>
      <c r="C257" s="193"/>
      <c r="D257" s="194"/>
      <c r="E257" s="205"/>
      <c r="F257" s="193"/>
      <c r="G257" s="193"/>
      <c r="H257" s="193"/>
      <c r="I257" s="193"/>
      <c r="J257" s="193"/>
      <c r="K257" s="84"/>
      <c r="M257" s="102" t="s">
        <v>1049</v>
      </c>
    </row>
    <row r="258">
      <c r="A258" s="84"/>
      <c r="B258" s="193"/>
      <c r="C258" s="193"/>
      <c r="D258" s="194"/>
      <c r="E258" s="206"/>
      <c r="F258" s="193"/>
      <c r="G258" s="193"/>
      <c r="H258" s="193"/>
      <c r="I258" s="193"/>
      <c r="J258" s="193"/>
      <c r="K258" s="84"/>
      <c r="M258" s="84" t="str">
        <f>K129 </f>
        <v/>
      </c>
    </row>
    <row r="259">
      <c r="A259" s="84"/>
      <c r="B259" s="193"/>
      <c r="C259" s="193"/>
      <c r="D259" s="194"/>
      <c r="E259" s="206"/>
      <c r="F259" s="193"/>
      <c r="G259" s="193"/>
      <c r="H259" s="193"/>
      <c r="I259" s="193"/>
      <c r="J259" s="193"/>
      <c r="K259" s="84"/>
      <c r="M259" s="102" t="s">
        <v>1049</v>
      </c>
    </row>
    <row r="260">
      <c r="A260" s="84"/>
      <c r="B260" s="193"/>
      <c r="C260" s="193"/>
      <c r="D260" s="194"/>
      <c r="E260" s="205"/>
      <c r="F260" s="193"/>
      <c r="G260" s="193"/>
      <c r="H260" s="193"/>
      <c r="I260" s="193"/>
      <c r="J260" s="193"/>
      <c r="K260" s="84"/>
      <c r="M260" s="84" t="str">
        <f>K130 </f>
        <v/>
      </c>
    </row>
    <row r="261">
      <c r="A261" s="84"/>
      <c r="B261" s="193"/>
      <c r="C261" s="193"/>
      <c r="D261" s="194"/>
      <c r="E261" s="206"/>
      <c r="F261" s="193"/>
      <c r="G261" s="193"/>
      <c r="H261" s="193"/>
      <c r="I261" s="193"/>
      <c r="J261" s="193"/>
      <c r="K261" s="84"/>
      <c r="M261" s="102" t="s">
        <v>1049</v>
      </c>
    </row>
    <row r="262">
      <c r="A262" s="84"/>
      <c r="B262" s="193"/>
      <c r="C262" s="193"/>
      <c r="D262" s="194"/>
      <c r="E262" s="205"/>
      <c r="F262" s="193"/>
      <c r="G262" s="193"/>
      <c r="H262" s="193"/>
      <c r="I262" s="193"/>
      <c r="J262" s="193"/>
      <c r="K262" s="84"/>
      <c r="M262" s="84" t="str">
        <f>K131 </f>
        <v/>
      </c>
    </row>
    <row r="263">
      <c r="A263" s="84"/>
      <c r="B263" s="193"/>
      <c r="C263" s="193"/>
      <c r="D263" s="194"/>
      <c r="E263" s="205"/>
      <c r="F263" s="193"/>
      <c r="G263" s="193"/>
      <c r="H263" s="193"/>
      <c r="I263" s="193"/>
      <c r="J263" s="193"/>
      <c r="K263" s="84"/>
      <c r="M263" s="102" t="s">
        <v>1049</v>
      </c>
    </row>
    <row r="264">
      <c r="A264" s="84"/>
      <c r="B264" s="193"/>
      <c r="C264" s="193"/>
      <c r="D264" s="194"/>
      <c r="E264" s="206"/>
      <c r="F264" s="193"/>
      <c r="G264" s="193"/>
      <c r="H264" s="193"/>
      <c r="I264" s="193"/>
      <c r="J264" s="193"/>
      <c r="K264" s="84"/>
      <c r="M264" s="84" t="str">
        <f>K132 </f>
        <v/>
      </c>
    </row>
    <row r="265">
      <c r="A265" s="84"/>
      <c r="B265" s="193"/>
      <c r="C265" s="193"/>
      <c r="D265" s="194"/>
      <c r="E265" s="205"/>
      <c r="F265" s="193"/>
      <c r="G265" s="193"/>
      <c r="H265" s="193"/>
      <c r="I265" s="193"/>
      <c r="J265" s="193"/>
      <c r="K265" s="84"/>
      <c r="M265" s="102" t="s">
        <v>1049</v>
      </c>
    </row>
    <row r="266">
      <c r="A266" s="84"/>
      <c r="B266" s="193"/>
      <c r="C266" s="193"/>
      <c r="D266" s="194"/>
      <c r="E266" s="205"/>
      <c r="F266" s="193"/>
      <c r="G266" s="193"/>
      <c r="H266" s="193"/>
      <c r="I266" s="193"/>
      <c r="J266" s="193"/>
      <c r="K266" s="84"/>
      <c r="M266" s="84" t="str">
        <f>K133 </f>
        <v/>
      </c>
    </row>
    <row r="267">
      <c r="A267" s="84"/>
      <c r="B267" s="193"/>
      <c r="C267" s="193"/>
      <c r="D267" s="194"/>
      <c r="E267" s="205"/>
      <c r="F267" s="193"/>
      <c r="G267" s="193"/>
      <c r="H267" s="193"/>
      <c r="I267" s="193"/>
      <c r="J267" s="193"/>
      <c r="K267" s="84"/>
      <c r="M267" s="102" t="s">
        <v>1049</v>
      </c>
    </row>
    <row r="268">
      <c r="A268" s="84"/>
      <c r="B268" s="193"/>
      <c r="C268" s="193"/>
      <c r="D268" s="194"/>
      <c r="E268" s="206"/>
      <c r="F268" s="193"/>
      <c r="G268" s="193"/>
      <c r="H268" s="193"/>
      <c r="I268" s="193"/>
      <c r="J268" s="193"/>
      <c r="K268" s="84"/>
      <c r="M268" s="84" t="str">
        <f>K134 </f>
        <v/>
      </c>
    </row>
    <row r="269">
      <c r="A269" s="84"/>
      <c r="B269" s="193"/>
      <c r="C269" s="193"/>
      <c r="D269" s="194"/>
      <c r="E269" s="205"/>
      <c r="F269" s="193"/>
      <c r="G269" s="193"/>
      <c r="H269" s="193"/>
      <c r="I269" s="193"/>
      <c r="J269" s="193"/>
      <c r="K269" s="84"/>
      <c r="M269" s="102" t="s">
        <v>1049</v>
      </c>
    </row>
    <row r="270">
      <c r="A270" s="84"/>
      <c r="B270" s="193"/>
      <c r="C270" s="193"/>
      <c r="D270" s="194"/>
      <c r="E270" s="205"/>
      <c r="F270" s="193"/>
      <c r="G270" s="193"/>
      <c r="H270" s="193"/>
      <c r="I270" s="193"/>
      <c r="J270" s="193"/>
      <c r="K270" s="84"/>
      <c r="M270" s="84" t="str">
        <f>K135 </f>
        <v/>
      </c>
    </row>
    <row r="271">
      <c r="A271" s="84"/>
      <c r="B271" s="193"/>
      <c r="C271" s="193"/>
      <c r="D271" s="194"/>
      <c r="E271" s="206"/>
      <c r="F271" s="193"/>
      <c r="G271" s="193"/>
      <c r="H271" s="193"/>
      <c r="I271" s="193"/>
      <c r="J271" s="193"/>
      <c r="K271" s="84"/>
      <c r="M271" s="102" t="s">
        <v>1049</v>
      </c>
    </row>
    <row r="272">
      <c r="A272" s="84"/>
      <c r="B272" s="193"/>
      <c r="C272" s="193"/>
      <c r="D272" s="194"/>
      <c r="E272" s="205"/>
      <c r="F272" s="193"/>
      <c r="G272" s="193"/>
      <c r="H272" s="193"/>
      <c r="I272" s="193"/>
      <c r="J272" s="193"/>
      <c r="K272" s="84"/>
      <c r="M272" s="84" t="str">
        <f>K136 </f>
        <v/>
      </c>
    </row>
    <row r="273">
      <c r="A273" s="84"/>
      <c r="B273" s="193"/>
      <c r="C273" s="193"/>
      <c r="D273" s="194"/>
      <c r="E273" s="205"/>
      <c r="F273" s="193"/>
      <c r="G273" s="193"/>
      <c r="H273" s="193"/>
      <c r="I273" s="193"/>
      <c r="J273" s="193"/>
      <c r="K273" s="84"/>
      <c r="M273" s="102" t="s">
        <v>1049</v>
      </c>
    </row>
    <row r="274">
      <c r="A274" s="84"/>
      <c r="B274" s="193"/>
      <c r="C274" s="193"/>
      <c r="D274" s="194"/>
      <c r="E274" s="205"/>
      <c r="F274" s="193"/>
      <c r="G274" s="193"/>
      <c r="H274" s="193"/>
      <c r="I274" s="193"/>
      <c r="J274" s="193"/>
      <c r="K274" s="84"/>
      <c r="M274" s="84" t="str">
        <f>K137 </f>
        <v/>
      </c>
    </row>
    <row r="275">
      <c r="A275" s="84"/>
      <c r="B275" s="193"/>
      <c r="C275" s="193"/>
      <c r="D275" s="194"/>
      <c r="E275" s="205"/>
      <c r="F275" s="193"/>
      <c r="G275" s="193"/>
      <c r="H275" s="193"/>
      <c r="I275" s="193"/>
      <c r="J275" s="193"/>
      <c r="K275" s="84"/>
      <c r="M275" s="102" t="s">
        <v>1049</v>
      </c>
    </row>
    <row r="276">
      <c r="A276" s="84"/>
      <c r="B276" s="193"/>
      <c r="C276" s="193"/>
      <c r="D276" s="194"/>
      <c r="E276" s="206"/>
      <c r="F276" s="193"/>
      <c r="G276" s="193"/>
      <c r="H276" s="193"/>
      <c r="I276" s="193"/>
      <c r="J276" s="193"/>
      <c r="K276" s="84"/>
      <c r="M276" s="84" t="str">
        <f>K138 </f>
        <v/>
      </c>
    </row>
    <row r="277">
      <c r="A277" s="84"/>
      <c r="B277" s="193"/>
      <c r="C277" s="193"/>
      <c r="D277" s="194"/>
      <c r="E277" s="205"/>
      <c r="F277" s="193"/>
      <c r="G277" s="193"/>
      <c r="H277" s="193"/>
      <c r="I277" s="193"/>
      <c r="J277" s="193"/>
      <c r="K277" s="84"/>
      <c r="M277" s="102" t="s">
        <v>1049</v>
      </c>
    </row>
    <row r="278">
      <c r="A278" s="84"/>
      <c r="B278" s="193"/>
      <c r="C278" s="193"/>
      <c r="D278" s="194"/>
      <c r="E278" s="206"/>
      <c r="F278" s="193"/>
      <c r="G278" s="193"/>
      <c r="H278" s="193"/>
      <c r="I278" s="193"/>
      <c r="J278" s="193"/>
      <c r="K278" s="84"/>
      <c r="M278" s="84" t="str">
        <f>K139 </f>
        <v/>
      </c>
    </row>
    <row r="279">
      <c r="A279" s="84"/>
      <c r="B279" s="193"/>
      <c r="C279" s="193"/>
      <c r="D279" s="194"/>
      <c r="E279" s="205"/>
      <c r="F279" s="193"/>
      <c r="G279" s="193"/>
      <c r="H279" s="193"/>
      <c r="I279" s="193"/>
      <c r="J279" s="193"/>
      <c r="K279" s="84"/>
      <c r="M279" s="102" t="s">
        <v>1049</v>
      </c>
    </row>
    <row r="280">
      <c r="A280" s="84"/>
      <c r="B280" s="193"/>
      <c r="C280" s="193"/>
      <c r="D280" s="194"/>
      <c r="E280" s="205"/>
      <c r="F280" s="193"/>
      <c r="G280" s="193"/>
      <c r="H280" s="193"/>
      <c r="I280" s="193"/>
      <c r="J280" s="193"/>
      <c r="K280" s="84"/>
      <c r="M280" s="84" t="str">
        <f>K140 </f>
        <v/>
      </c>
    </row>
    <row r="281">
      <c r="A281" s="84"/>
      <c r="B281" s="193"/>
      <c r="C281" s="193"/>
      <c r="D281" s="194"/>
      <c r="E281" s="205"/>
      <c r="F281" s="193"/>
      <c r="G281" s="193"/>
      <c r="H281" s="193"/>
      <c r="I281" s="193"/>
      <c r="J281" s="193"/>
      <c r="K281" s="84"/>
      <c r="M281" s="102" t="s">
        <v>1049</v>
      </c>
    </row>
    <row r="282">
      <c r="A282" s="84"/>
      <c r="B282" s="193"/>
      <c r="C282" s="193"/>
      <c r="D282" s="194"/>
      <c r="E282" s="205"/>
      <c r="F282" s="193"/>
      <c r="G282" s="193"/>
      <c r="H282" s="193"/>
      <c r="I282" s="193"/>
      <c r="J282" s="193"/>
      <c r="K282" s="84"/>
      <c r="M282" s="84" t="str">
        <f>K141 </f>
        <v/>
      </c>
    </row>
    <row r="283">
      <c r="A283" s="84"/>
      <c r="B283" s="193"/>
      <c r="C283" s="193"/>
      <c r="D283" s="194"/>
      <c r="E283" s="205"/>
      <c r="F283" s="193"/>
      <c r="G283" s="193"/>
      <c r="H283" s="193"/>
      <c r="I283" s="193"/>
      <c r="J283" s="193"/>
      <c r="K283" s="84"/>
      <c r="M283" s="102" t="s">
        <v>1049</v>
      </c>
    </row>
    <row r="284">
      <c r="A284" s="84"/>
      <c r="B284" s="193"/>
      <c r="C284" s="193"/>
      <c r="D284" s="194"/>
      <c r="E284" s="205"/>
      <c r="F284" s="193"/>
      <c r="G284" s="193"/>
      <c r="H284" s="193"/>
      <c r="I284" s="193"/>
      <c r="J284" s="193"/>
      <c r="K284" s="84"/>
      <c r="M284" s="84" t="str">
        <f>K142 </f>
        <v/>
      </c>
    </row>
    <row r="285">
      <c r="A285" s="84"/>
      <c r="B285" s="193"/>
      <c r="C285" s="193"/>
      <c r="D285" s="194"/>
      <c r="E285" s="205"/>
      <c r="F285" s="193"/>
      <c r="G285" s="193"/>
      <c r="H285" s="193"/>
      <c r="I285" s="193"/>
      <c r="J285" s="193"/>
      <c r="K285" s="84"/>
      <c r="M285" s="102" t="s">
        <v>1049</v>
      </c>
    </row>
    <row r="286">
      <c r="A286" s="84"/>
      <c r="B286" s="193"/>
      <c r="C286" s="193"/>
      <c r="D286" s="194"/>
      <c r="E286" s="205"/>
      <c r="F286" s="193"/>
      <c r="G286" s="193"/>
      <c r="H286" s="193"/>
      <c r="I286" s="193"/>
      <c r="J286" s="193"/>
      <c r="K286" s="84"/>
      <c r="M286" s="84" t="str">
        <f>K143 </f>
        <v/>
      </c>
    </row>
    <row r="287">
      <c r="A287" s="84"/>
      <c r="B287" s="193"/>
      <c r="C287" s="193"/>
      <c r="D287" s="194"/>
      <c r="E287" s="206"/>
      <c r="F287" s="193"/>
      <c r="G287" s="193"/>
      <c r="H287" s="193"/>
      <c r="I287" s="193"/>
      <c r="J287" s="193"/>
      <c r="K287" s="84"/>
      <c r="M287" s="102" t="s">
        <v>1049</v>
      </c>
    </row>
    <row r="288">
      <c r="A288" s="84"/>
      <c r="B288" s="193"/>
      <c r="C288" s="193"/>
      <c r="D288" s="194"/>
      <c r="E288" s="205"/>
      <c r="F288" s="193"/>
      <c r="G288" s="193"/>
      <c r="H288" s="193"/>
      <c r="I288" s="193"/>
      <c r="J288" s="193"/>
      <c r="K288" s="84"/>
      <c r="M288" s="84" t="str">
        <f>K144 </f>
        <v/>
      </c>
    </row>
    <row r="289">
      <c r="A289" s="84"/>
      <c r="B289" s="193"/>
      <c r="C289" s="193"/>
      <c r="D289" s="194"/>
      <c r="E289" s="205"/>
      <c r="F289" s="193"/>
      <c r="G289" s="193"/>
      <c r="H289" s="193"/>
      <c r="I289" s="193"/>
      <c r="J289" s="193"/>
      <c r="K289" s="84"/>
      <c r="M289" s="102" t="s">
        <v>1049</v>
      </c>
    </row>
    <row r="290">
      <c r="A290" s="84"/>
      <c r="B290" s="193"/>
      <c r="C290" s="193"/>
      <c r="D290" s="194"/>
      <c r="E290" s="206"/>
      <c r="F290" s="193"/>
      <c r="G290" s="193"/>
      <c r="H290" s="193"/>
      <c r="I290" s="193"/>
      <c r="J290" s="193"/>
      <c r="K290" s="84"/>
      <c r="M290" s="84" t="str">
        <f>K145 </f>
        <v/>
      </c>
    </row>
    <row r="291">
      <c r="A291" s="84"/>
      <c r="B291" s="193"/>
      <c r="C291" s="193"/>
      <c r="D291" s="194"/>
      <c r="E291" s="206"/>
      <c r="F291" s="193"/>
      <c r="G291" s="193"/>
      <c r="H291" s="193"/>
      <c r="I291" s="193"/>
      <c r="J291" s="193"/>
      <c r="K291" s="84"/>
      <c r="M291" s="102" t="s">
        <v>1049</v>
      </c>
    </row>
    <row r="292">
      <c r="A292" s="84"/>
      <c r="B292" s="193"/>
      <c r="C292" s="193"/>
      <c r="D292" s="194"/>
      <c r="E292" s="205"/>
      <c r="F292" s="193"/>
      <c r="G292" s="193"/>
      <c r="H292" s="193"/>
      <c r="I292" s="193"/>
      <c r="J292" s="193"/>
      <c r="K292" s="84"/>
      <c r="M292" s="84" t="str">
        <f>K146 </f>
        <v/>
      </c>
    </row>
    <row r="293">
      <c r="A293" s="84"/>
      <c r="B293" s="193"/>
      <c r="C293" s="193"/>
      <c r="D293" s="194"/>
      <c r="E293" s="205"/>
      <c r="F293" s="193"/>
      <c r="G293" s="193"/>
      <c r="H293" s="193"/>
      <c r="I293" s="193"/>
      <c r="J293" s="193"/>
      <c r="K293" s="84"/>
      <c r="M293" s="102" t="s">
        <v>1049</v>
      </c>
    </row>
    <row r="294">
      <c r="A294" s="84"/>
      <c r="B294" s="193"/>
      <c r="C294" s="193"/>
      <c r="D294" s="194"/>
      <c r="E294" s="206"/>
      <c r="F294" s="193"/>
      <c r="G294" s="193"/>
      <c r="H294" s="193"/>
      <c r="I294" s="193"/>
      <c r="J294" s="193"/>
      <c r="K294" s="84"/>
      <c r="M294" s="84" t="str">
        <f>K147 </f>
        <v/>
      </c>
    </row>
    <row r="295">
      <c r="A295" s="84"/>
      <c r="B295" s="193"/>
      <c r="C295" s="193"/>
      <c r="D295" s="194"/>
      <c r="E295" s="206"/>
      <c r="F295" s="193"/>
      <c r="G295" s="193"/>
      <c r="H295" s="193"/>
      <c r="I295" s="193"/>
      <c r="J295" s="193"/>
      <c r="K295" s="84"/>
      <c r="M295" s="102" t="s">
        <v>1049</v>
      </c>
    </row>
    <row r="296">
      <c r="A296" s="84"/>
      <c r="B296" s="193"/>
      <c r="C296" s="193"/>
      <c r="D296" s="194"/>
      <c r="E296" s="205"/>
      <c r="F296" s="193"/>
      <c r="G296" s="193"/>
      <c r="H296" s="193"/>
      <c r="I296" s="193"/>
      <c r="J296" s="193"/>
      <c r="K296" s="84"/>
      <c r="M296" s="84" t="str">
        <f>K148 </f>
        <v/>
      </c>
    </row>
    <row r="297">
      <c r="A297" s="84"/>
      <c r="B297" s="193"/>
      <c r="C297" s="193"/>
      <c r="D297" s="194"/>
      <c r="E297" s="205"/>
      <c r="F297" s="193"/>
      <c r="G297" s="193"/>
      <c r="H297" s="193"/>
      <c r="I297" s="193"/>
      <c r="J297" s="193"/>
      <c r="K297" s="84"/>
      <c r="M297" s="102" t="s">
        <v>1049</v>
      </c>
    </row>
    <row r="298">
      <c r="A298" s="84"/>
      <c r="B298" s="193"/>
      <c r="C298" s="193"/>
      <c r="D298" s="194"/>
      <c r="E298" s="205"/>
      <c r="F298" s="193"/>
      <c r="G298" s="193"/>
      <c r="H298" s="193"/>
      <c r="I298" s="193"/>
      <c r="J298" s="193"/>
      <c r="K298" s="84"/>
      <c r="M298" s="84" t="str">
        <f>K149 </f>
        <v/>
      </c>
    </row>
    <row r="299">
      <c r="A299" s="84"/>
      <c r="B299" s="193"/>
      <c r="C299" s="193"/>
      <c r="D299" s="194"/>
      <c r="E299" s="205"/>
      <c r="F299" s="193"/>
      <c r="G299" s="193"/>
      <c r="H299" s="193"/>
      <c r="I299" s="193"/>
      <c r="J299" s="193"/>
      <c r="K299" s="84"/>
      <c r="M299" s="102" t="s">
        <v>1049</v>
      </c>
    </row>
    <row r="300">
      <c r="A300" s="84"/>
      <c r="B300" s="193"/>
      <c r="C300" s="193"/>
      <c r="D300" s="194"/>
      <c r="E300" s="205"/>
      <c r="F300" s="193"/>
      <c r="G300" s="193"/>
      <c r="H300" s="193"/>
      <c r="I300" s="193"/>
      <c r="J300" s="193"/>
      <c r="K300" s="84"/>
      <c r="M300" s="84" t="str">
        <f>K150 </f>
        <v/>
      </c>
    </row>
    <row r="301">
      <c r="A301" s="84"/>
      <c r="B301" s="193"/>
      <c r="C301" s="193"/>
      <c r="D301" s="194"/>
      <c r="E301" s="205"/>
      <c r="F301" s="193"/>
      <c r="G301" s="193"/>
      <c r="H301" s="193"/>
      <c r="I301" s="193"/>
      <c r="J301" s="193"/>
      <c r="K301" s="84"/>
      <c r="M301" s="102" t="s">
        <v>1049</v>
      </c>
    </row>
    <row r="302">
      <c r="A302" s="84"/>
      <c r="B302" s="193"/>
      <c r="C302" s="193"/>
      <c r="D302" s="194"/>
      <c r="E302" s="205"/>
      <c r="F302" s="193"/>
      <c r="G302" s="193"/>
      <c r="H302" s="193"/>
      <c r="I302" s="193"/>
      <c r="J302" s="193"/>
      <c r="K302" s="84"/>
      <c r="M302" s="84" t="str">
        <f>K151 </f>
        <v/>
      </c>
    </row>
    <row r="303">
      <c r="A303" s="84"/>
      <c r="B303" s="193"/>
      <c r="C303" s="193"/>
      <c r="D303" s="194"/>
      <c r="E303" s="206"/>
      <c r="F303" s="193"/>
      <c r="G303" s="193"/>
      <c r="H303" s="193"/>
      <c r="I303" s="193"/>
      <c r="J303" s="193"/>
      <c r="K303" s="84"/>
      <c r="M303" s="102" t="s">
        <v>1049</v>
      </c>
    </row>
    <row r="304">
      <c r="A304" s="84"/>
      <c r="B304" s="193"/>
      <c r="C304" s="193"/>
      <c r="D304" s="194"/>
      <c r="E304" s="206"/>
      <c r="F304" s="193"/>
      <c r="G304" s="193"/>
      <c r="H304" s="193"/>
      <c r="I304" s="193"/>
      <c r="J304" s="193"/>
      <c r="K304" s="84"/>
      <c r="M304" s="84" t="str">
        <f>K152 </f>
        <v/>
      </c>
    </row>
    <row r="305">
      <c r="A305" s="84"/>
      <c r="B305" s="193"/>
      <c r="C305" s="193"/>
      <c r="D305" s="194"/>
      <c r="E305" s="205"/>
      <c r="F305" s="193"/>
      <c r="G305" s="193"/>
      <c r="H305" s="193"/>
      <c r="I305" s="193"/>
      <c r="J305" s="193"/>
      <c r="K305" s="84"/>
      <c r="M305" s="102" t="s">
        <v>1049</v>
      </c>
    </row>
    <row r="306">
      <c r="A306" s="84"/>
      <c r="B306" s="193"/>
      <c r="C306" s="193"/>
      <c r="D306" s="194"/>
      <c r="E306" s="205"/>
      <c r="F306" s="193"/>
      <c r="G306" s="193"/>
      <c r="H306" s="193"/>
      <c r="I306" s="193"/>
      <c r="J306" s="193"/>
      <c r="K306" s="84"/>
      <c r="M306" s="84" t="str">
        <f>K153 </f>
        <v/>
      </c>
    </row>
    <row r="307">
      <c r="A307" s="84"/>
      <c r="B307" s="193"/>
      <c r="C307" s="193"/>
      <c r="D307" s="194"/>
      <c r="E307" s="205"/>
      <c r="F307" s="193"/>
      <c r="G307" s="193"/>
      <c r="H307" s="193"/>
      <c r="I307" s="193"/>
      <c r="J307" s="193"/>
      <c r="K307" s="84"/>
      <c r="M307" s="102" t="s">
        <v>1049</v>
      </c>
    </row>
    <row r="308">
      <c r="A308" s="84"/>
      <c r="B308" s="193"/>
      <c r="C308" s="193"/>
      <c r="D308" s="194"/>
      <c r="E308" s="205"/>
      <c r="F308" s="193"/>
      <c r="G308" s="193"/>
      <c r="H308" s="193"/>
      <c r="I308" s="193"/>
      <c r="J308" s="193"/>
      <c r="K308" s="84"/>
      <c r="M308" s="84" t="str">
        <f>K154 </f>
        <v/>
      </c>
    </row>
    <row r="309">
      <c r="A309" s="84"/>
      <c r="B309" s="193"/>
      <c r="C309" s="193"/>
      <c r="D309" s="194"/>
      <c r="E309" s="206"/>
      <c r="F309" s="193"/>
      <c r="G309" s="193"/>
      <c r="H309" s="193"/>
      <c r="I309" s="193"/>
      <c r="J309" s="193"/>
      <c r="K309" s="84"/>
      <c r="M309" s="102" t="s">
        <v>1049</v>
      </c>
    </row>
    <row r="310">
      <c r="A310" s="84"/>
      <c r="B310" s="193"/>
      <c r="C310" s="193"/>
      <c r="D310" s="194"/>
      <c r="E310" s="206"/>
      <c r="F310" s="193"/>
      <c r="G310" s="193"/>
      <c r="H310" s="193"/>
      <c r="I310" s="193"/>
      <c r="J310" s="193"/>
      <c r="K310" s="84"/>
      <c r="M310" s="84" t="str">
        <f>K155 </f>
        <v/>
      </c>
    </row>
    <row r="311">
      <c r="A311" s="84"/>
      <c r="B311" s="193"/>
      <c r="C311" s="193"/>
      <c r="D311" s="194"/>
      <c r="E311" s="206"/>
      <c r="F311" s="193"/>
      <c r="G311" s="193"/>
      <c r="H311" s="193"/>
      <c r="I311" s="193"/>
      <c r="J311" s="193"/>
      <c r="K311" s="84"/>
      <c r="M311" s="102" t="s">
        <v>1049</v>
      </c>
    </row>
    <row r="312">
      <c r="A312" s="84"/>
      <c r="B312" s="193"/>
      <c r="C312" s="193"/>
      <c r="D312" s="194"/>
      <c r="E312" s="205"/>
      <c r="F312" s="193"/>
      <c r="G312" s="193"/>
      <c r="H312" s="193"/>
      <c r="I312" s="193"/>
      <c r="J312" s="193"/>
      <c r="K312" s="84"/>
      <c r="M312" s="84" t="str">
        <f>K156 </f>
        <v/>
      </c>
    </row>
    <row r="313">
      <c r="A313" s="84"/>
      <c r="B313" s="193"/>
      <c r="C313" s="193"/>
      <c r="D313" s="194"/>
      <c r="E313" s="206"/>
      <c r="F313" s="193"/>
      <c r="G313" s="193"/>
      <c r="H313" s="193"/>
      <c r="I313" s="193"/>
      <c r="J313" s="193"/>
      <c r="K313" s="84"/>
      <c r="M313" s="102" t="s">
        <v>1049</v>
      </c>
    </row>
    <row r="314">
      <c r="A314" s="84"/>
      <c r="B314" s="193"/>
      <c r="C314" s="193"/>
      <c r="D314" s="194"/>
      <c r="E314" s="205"/>
      <c r="F314" s="193"/>
      <c r="G314" s="193"/>
      <c r="H314" s="193"/>
      <c r="I314" s="193"/>
      <c r="J314" s="193"/>
      <c r="K314" s="84"/>
      <c r="M314" s="84" t="str">
        <f>K157 </f>
        <v/>
      </c>
    </row>
    <row r="315">
      <c r="A315" s="84"/>
      <c r="B315" s="193"/>
      <c r="C315" s="193"/>
      <c r="D315" s="194"/>
      <c r="E315" s="206"/>
      <c r="F315" s="193"/>
      <c r="G315" s="193"/>
      <c r="H315" s="193"/>
      <c r="I315" s="193"/>
      <c r="J315" s="193"/>
      <c r="K315" s="84"/>
      <c r="M315" s="102" t="s">
        <v>1049</v>
      </c>
    </row>
    <row r="316">
      <c r="A316" s="84"/>
      <c r="B316" s="193"/>
      <c r="C316" s="193"/>
      <c r="D316" s="194"/>
      <c r="E316" s="205"/>
      <c r="F316" s="193"/>
      <c r="G316" s="193"/>
      <c r="H316" s="193"/>
      <c r="I316" s="193"/>
      <c r="J316" s="193"/>
      <c r="K316" s="84"/>
      <c r="M316" s="84" t="str">
        <f>K158 </f>
        <v/>
      </c>
    </row>
    <row r="317">
      <c r="A317" s="84"/>
      <c r="B317" s="193"/>
      <c r="C317" s="193"/>
      <c r="D317" s="194"/>
      <c r="E317" s="206"/>
      <c r="F317" s="193"/>
      <c r="G317" s="193"/>
      <c r="H317" s="193"/>
      <c r="I317" s="193"/>
      <c r="J317" s="193"/>
      <c r="K317" s="84"/>
      <c r="M317" s="102" t="s">
        <v>1049</v>
      </c>
    </row>
    <row r="318">
      <c r="A318" s="84"/>
      <c r="B318" s="193"/>
      <c r="C318" s="193"/>
      <c r="D318" s="194"/>
      <c r="E318" s="206"/>
      <c r="F318" s="193"/>
      <c r="G318" s="193"/>
      <c r="H318" s="193"/>
      <c r="I318" s="193"/>
      <c r="J318" s="193"/>
      <c r="K318" s="84"/>
      <c r="M318" s="84" t="str">
        <f>K159 </f>
        <v/>
      </c>
    </row>
    <row r="319">
      <c r="A319" s="84"/>
      <c r="B319" s="193"/>
      <c r="C319" s="193"/>
      <c r="D319" s="194"/>
      <c r="E319" s="206"/>
      <c r="F319" s="193"/>
      <c r="G319" s="193"/>
      <c r="H319" s="193"/>
      <c r="I319" s="193"/>
      <c r="J319" s="193"/>
      <c r="K319" s="84"/>
      <c r="M319" s="102" t="s">
        <v>1049</v>
      </c>
    </row>
    <row r="320">
      <c r="A320" s="84"/>
      <c r="B320" s="193"/>
      <c r="C320" s="193"/>
      <c r="D320" s="194"/>
      <c r="E320" s="206"/>
      <c r="F320" s="193"/>
      <c r="G320" s="193"/>
      <c r="H320" s="193"/>
      <c r="I320" s="193"/>
      <c r="J320" s="193"/>
      <c r="K320" s="84"/>
      <c r="M320" s="84" t="str">
        <f>K160 </f>
        <v/>
      </c>
    </row>
    <row r="321">
      <c r="A321" s="84"/>
      <c r="B321" s="193"/>
      <c r="C321" s="193"/>
      <c r="D321" s="194"/>
      <c r="E321" s="205"/>
      <c r="F321" s="193"/>
      <c r="G321" s="193"/>
      <c r="H321" s="193"/>
      <c r="I321" s="193"/>
      <c r="J321" s="193"/>
      <c r="K321" s="84"/>
      <c r="M321" s="102" t="s">
        <v>1049</v>
      </c>
    </row>
    <row r="322">
      <c r="A322" s="84"/>
      <c r="B322" s="193"/>
      <c r="C322" s="193"/>
      <c r="D322" s="194"/>
      <c r="E322" s="205"/>
      <c r="F322" s="193"/>
      <c r="G322" s="193"/>
      <c r="H322" s="193"/>
      <c r="I322" s="193"/>
      <c r="J322" s="193"/>
      <c r="K322" s="84"/>
      <c r="M322" s="84" t="str">
        <f>K161 </f>
        <v/>
      </c>
    </row>
    <row r="323">
      <c r="A323" s="84"/>
      <c r="B323" s="193"/>
      <c r="C323" s="193"/>
      <c r="D323" s="194"/>
      <c r="E323" s="205"/>
      <c r="F323" s="193"/>
      <c r="G323" s="193"/>
      <c r="H323" s="193"/>
      <c r="I323" s="193"/>
      <c r="J323" s="193"/>
      <c r="K323" s="84"/>
      <c r="M323" s="102" t="s">
        <v>1049</v>
      </c>
    </row>
    <row r="324">
      <c r="A324" s="84"/>
      <c r="B324" s="193"/>
      <c r="C324" s="193"/>
      <c r="D324" s="194"/>
      <c r="E324" s="205"/>
      <c r="F324" s="193"/>
      <c r="G324" s="193"/>
      <c r="H324" s="193"/>
      <c r="I324" s="193"/>
      <c r="J324" s="193"/>
      <c r="K324" s="84"/>
      <c r="M324" s="84" t="str">
        <f>K162 </f>
        <v/>
      </c>
    </row>
    <row r="325">
      <c r="A325" s="84"/>
      <c r="B325" s="193"/>
      <c r="C325" s="193"/>
      <c r="D325" s="194"/>
      <c r="E325" s="205"/>
      <c r="F325" s="193"/>
      <c r="G325" s="193"/>
      <c r="H325" s="193"/>
      <c r="I325" s="193"/>
      <c r="J325" s="193"/>
      <c r="K325" s="84"/>
      <c r="M325" s="102" t="s">
        <v>1049</v>
      </c>
    </row>
    <row r="326">
      <c r="A326" s="84"/>
      <c r="B326" s="193"/>
      <c r="C326" s="193"/>
      <c r="D326" s="194"/>
      <c r="E326" s="205"/>
      <c r="F326" s="193"/>
      <c r="G326" s="193"/>
      <c r="H326" s="193"/>
      <c r="I326" s="193"/>
      <c r="J326" s="193"/>
      <c r="K326" s="84"/>
      <c r="M326" s="84" t="str">
        <f>K163 </f>
        <v/>
      </c>
    </row>
    <row r="327">
      <c r="A327" s="84"/>
      <c r="B327" s="193"/>
      <c r="C327" s="193"/>
      <c r="D327" s="194"/>
      <c r="E327" s="206"/>
      <c r="F327" s="193"/>
      <c r="G327" s="193"/>
      <c r="H327" s="193"/>
      <c r="I327" s="193"/>
      <c r="J327" s="193"/>
      <c r="K327" s="84"/>
      <c r="M327" s="102" t="s">
        <v>1049</v>
      </c>
    </row>
    <row r="328">
      <c r="A328" s="84"/>
      <c r="B328" s="193"/>
      <c r="C328" s="193"/>
      <c r="D328" s="194"/>
      <c r="E328" s="205"/>
      <c r="F328" s="193"/>
      <c r="G328" s="193"/>
      <c r="H328" s="193"/>
      <c r="I328" s="193"/>
      <c r="J328" s="193"/>
      <c r="K328" s="84"/>
      <c r="M328" s="84" t="str">
        <f>K164 </f>
        <v/>
      </c>
    </row>
    <row r="329">
      <c r="A329" s="84"/>
      <c r="B329" s="193"/>
      <c r="C329" s="193"/>
      <c r="D329" s="194"/>
      <c r="E329" s="205"/>
      <c r="F329" s="193"/>
      <c r="G329" s="193"/>
      <c r="H329" s="193"/>
      <c r="I329" s="193"/>
      <c r="J329" s="193"/>
      <c r="K329" s="84"/>
      <c r="M329" s="102" t="s">
        <v>1049</v>
      </c>
    </row>
    <row r="330">
      <c r="A330" s="84"/>
      <c r="B330" s="193"/>
      <c r="C330" s="193"/>
      <c r="D330" s="194"/>
      <c r="E330" s="205"/>
      <c r="F330" s="193"/>
      <c r="G330" s="193"/>
      <c r="H330" s="193"/>
      <c r="I330" s="193"/>
      <c r="J330" s="193"/>
      <c r="K330" s="84"/>
      <c r="M330" s="84" t="str">
        <f>K165 </f>
        <v/>
      </c>
    </row>
    <row r="331">
      <c r="A331" s="84"/>
      <c r="B331" s="193"/>
      <c r="C331" s="193"/>
      <c r="D331" s="194"/>
      <c r="E331" s="206"/>
      <c r="F331" s="193"/>
      <c r="G331" s="193"/>
      <c r="H331" s="193"/>
      <c r="I331" s="193"/>
      <c r="J331" s="193"/>
      <c r="K331" s="84"/>
      <c r="M331" s="102" t="s">
        <v>1049</v>
      </c>
    </row>
    <row r="332">
      <c r="A332" s="84"/>
      <c r="B332" s="193"/>
      <c r="C332" s="193"/>
      <c r="D332" s="194"/>
      <c r="E332" s="205"/>
      <c r="F332" s="193"/>
      <c r="G332" s="193"/>
      <c r="H332" s="193"/>
      <c r="I332" s="193"/>
      <c r="J332" s="193"/>
      <c r="K332" s="84"/>
      <c r="M332" s="84" t="str">
        <f>K166 </f>
        <v/>
      </c>
    </row>
    <row r="333">
      <c r="A333" s="84"/>
      <c r="B333" s="193"/>
      <c r="C333" s="193"/>
      <c r="D333" s="194"/>
      <c r="E333" s="205"/>
      <c r="F333" s="193"/>
      <c r="G333" s="193"/>
      <c r="H333" s="193"/>
      <c r="I333" s="193"/>
      <c r="J333" s="193"/>
      <c r="K333" s="84"/>
      <c r="M333" s="102" t="s">
        <v>1049</v>
      </c>
    </row>
    <row r="334">
      <c r="A334" s="84"/>
      <c r="B334" s="193"/>
      <c r="C334" s="193"/>
      <c r="D334" s="194"/>
      <c r="E334" s="205"/>
      <c r="F334" s="193"/>
      <c r="G334" s="193"/>
      <c r="H334" s="193"/>
      <c r="I334" s="193"/>
      <c r="J334" s="193"/>
      <c r="K334" s="84"/>
      <c r="M334" s="84" t="str">
        <f>K167 </f>
        <v/>
      </c>
    </row>
    <row r="335">
      <c r="A335" s="84"/>
      <c r="B335" s="193"/>
      <c r="C335" s="193"/>
      <c r="D335" s="194"/>
      <c r="E335" s="205"/>
      <c r="F335" s="193"/>
      <c r="G335" s="193"/>
      <c r="H335" s="193"/>
      <c r="I335" s="193"/>
      <c r="J335" s="193"/>
      <c r="K335" s="84"/>
      <c r="M335" s="102" t="s">
        <v>1049</v>
      </c>
    </row>
    <row r="336">
      <c r="A336" s="84"/>
      <c r="B336" s="193"/>
      <c r="C336" s="193"/>
      <c r="D336" s="194"/>
      <c r="E336" s="206"/>
      <c r="F336" s="193"/>
      <c r="G336" s="193"/>
      <c r="H336" s="193"/>
      <c r="I336" s="193"/>
      <c r="J336" s="193"/>
      <c r="K336" s="84"/>
      <c r="M336" s="84" t="str">
        <f>K168 </f>
        <v/>
      </c>
    </row>
    <row r="337">
      <c r="A337" s="84"/>
      <c r="B337" s="193"/>
      <c r="C337" s="193"/>
      <c r="D337" s="194"/>
      <c r="E337" s="206"/>
      <c r="F337" s="193"/>
      <c r="G337" s="193"/>
      <c r="H337" s="193"/>
      <c r="I337" s="193"/>
      <c r="J337" s="193"/>
      <c r="K337" s="84"/>
      <c r="M337" s="102" t="s">
        <v>1049</v>
      </c>
    </row>
    <row r="338">
      <c r="A338" s="84"/>
      <c r="B338" s="193"/>
      <c r="C338" s="193"/>
      <c r="D338" s="194"/>
      <c r="E338" s="205"/>
      <c r="F338" s="193"/>
      <c r="G338" s="193"/>
      <c r="H338" s="193"/>
      <c r="I338" s="193"/>
      <c r="J338" s="193"/>
      <c r="K338" s="84"/>
      <c r="M338" s="84" t="str">
        <f>K169 </f>
        <v/>
      </c>
    </row>
    <row r="339">
      <c r="A339" s="84"/>
      <c r="B339" s="193"/>
      <c r="C339" s="193"/>
      <c r="D339" s="194"/>
      <c r="E339" s="206"/>
      <c r="F339" s="193"/>
      <c r="G339" s="193"/>
      <c r="H339" s="193"/>
      <c r="I339" s="193"/>
      <c r="J339" s="193"/>
      <c r="K339" s="84"/>
      <c r="M339" s="102" t="s">
        <v>1049</v>
      </c>
    </row>
    <row r="340">
      <c r="A340" s="84"/>
      <c r="B340" s="193"/>
      <c r="C340" s="193"/>
      <c r="D340" s="194"/>
      <c r="E340" s="205"/>
      <c r="F340" s="193"/>
      <c r="G340" s="193"/>
      <c r="H340" s="193"/>
      <c r="I340" s="193"/>
      <c r="J340" s="193"/>
      <c r="K340" s="84"/>
      <c r="M340" s="84" t="str">
        <f>K170 </f>
        <v/>
      </c>
    </row>
    <row r="341">
      <c r="A341" s="84"/>
      <c r="B341" s="193"/>
      <c r="C341" s="193"/>
      <c r="D341" s="194"/>
      <c r="E341" s="206"/>
      <c r="F341" s="193"/>
      <c r="G341" s="193"/>
      <c r="H341" s="193"/>
      <c r="I341" s="193"/>
      <c r="J341" s="193"/>
      <c r="K341" s="84"/>
      <c r="M341" s="102" t="s">
        <v>1049</v>
      </c>
    </row>
    <row r="342">
      <c r="A342" s="84"/>
      <c r="B342" s="193"/>
      <c r="C342" s="193"/>
      <c r="D342" s="194"/>
      <c r="E342" s="205"/>
      <c r="F342" s="193"/>
      <c r="G342" s="193"/>
      <c r="H342" s="193"/>
      <c r="I342" s="193"/>
      <c r="J342" s="193"/>
      <c r="K342" s="84"/>
      <c r="M342" s="84" t="str">
        <f>K171 </f>
        <v/>
      </c>
    </row>
    <row r="343">
      <c r="A343" s="84"/>
      <c r="B343" s="193"/>
      <c r="C343" s="193"/>
      <c r="D343" s="194"/>
      <c r="E343" s="205"/>
      <c r="F343" s="193"/>
      <c r="G343" s="193"/>
      <c r="H343" s="193"/>
      <c r="I343" s="193"/>
      <c r="J343" s="193"/>
      <c r="K343" s="84"/>
      <c r="M343" s="102" t="s">
        <v>1049</v>
      </c>
    </row>
    <row r="344">
      <c r="A344" s="84"/>
      <c r="B344" s="193"/>
      <c r="C344" s="193"/>
      <c r="D344" s="194"/>
      <c r="E344" s="205"/>
      <c r="F344" s="193"/>
      <c r="G344" s="193"/>
      <c r="H344" s="193"/>
      <c r="I344" s="193"/>
      <c r="J344" s="193"/>
      <c r="K344" s="84"/>
      <c r="M344" s="84" t="str">
        <f>K172 </f>
        <v/>
      </c>
    </row>
    <row r="345">
      <c r="A345" s="84"/>
      <c r="B345" s="193"/>
      <c r="C345" s="193"/>
      <c r="D345" s="194"/>
      <c r="E345" s="205"/>
      <c r="F345" s="193"/>
      <c r="G345" s="193"/>
      <c r="H345" s="193"/>
      <c r="I345" s="193"/>
      <c r="J345" s="193"/>
      <c r="K345" s="84"/>
      <c r="M345" s="102" t="s">
        <v>1049</v>
      </c>
    </row>
    <row r="346">
      <c r="A346" s="84"/>
      <c r="B346" s="193"/>
      <c r="C346" s="193"/>
      <c r="D346" s="194"/>
      <c r="E346" s="205"/>
      <c r="F346" s="193"/>
      <c r="G346" s="193"/>
      <c r="H346" s="193"/>
      <c r="I346" s="193"/>
      <c r="J346" s="193"/>
      <c r="K346" s="84"/>
      <c r="M346" s="84" t="str">
        <f>K173 </f>
        <v/>
      </c>
    </row>
    <row r="347">
      <c r="A347" s="84"/>
      <c r="B347" s="193"/>
      <c r="C347" s="193"/>
      <c r="D347" s="194"/>
      <c r="E347" s="206"/>
      <c r="F347" s="193"/>
      <c r="G347" s="193"/>
      <c r="H347" s="193"/>
      <c r="I347" s="193"/>
      <c r="J347" s="193"/>
      <c r="K347" s="84"/>
      <c r="M347" s="102" t="s">
        <v>1049</v>
      </c>
    </row>
    <row r="348">
      <c r="A348" s="84"/>
      <c r="B348" s="193"/>
      <c r="C348" s="193"/>
      <c r="D348" s="194"/>
      <c r="E348" s="205"/>
      <c r="F348" s="193"/>
      <c r="G348" s="193"/>
      <c r="H348" s="193"/>
      <c r="I348" s="193"/>
      <c r="J348" s="193"/>
      <c r="K348" s="84"/>
      <c r="M348" s="102" t="s">
        <v>1053</v>
      </c>
    </row>
    <row r="349">
      <c r="A349" s="84"/>
      <c r="B349" s="193"/>
      <c r="C349" s="193"/>
      <c r="D349" s="193"/>
      <c r="E349" s="208"/>
      <c r="F349" s="193"/>
      <c r="G349" s="193"/>
      <c r="H349" s="193"/>
      <c r="I349" s="193"/>
      <c r="J349" s="193"/>
      <c r="K349" s="84"/>
      <c r="M349" s="84"/>
    </row>
    <row r="350">
      <c r="A350" s="84"/>
      <c r="B350" s="193"/>
      <c r="C350" s="193"/>
      <c r="D350" s="194"/>
      <c r="E350" s="205"/>
      <c r="F350" s="193"/>
      <c r="G350" s="193"/>
      <c r="H350" s="193"/>
      <c r="I350" s="193"/>
      <c r="J350" s="193"/>
      <c r="K350" s="84"/>
      <c r="M350" s="84"/>
    </row>
    <row r="351">
      <c r="A351" s="84"/>
      <c r="B351" s="193"/>
      <c r="C351" s="193"/>
      <c r="D351" s="194"/>
      <c r="E351" s="205"/>
      <c r="F351" s="193"/>
      <c r="G351" s="193"/>
      <c r="H351" s="193"/>
      <c r="I351" s="193"/>
      <c r="J351" s="193"/>
      <c r="K351" s="84"/>
      <c r="M351" s="84"/>
    </row>
    <row r="352">
      <c r="A352" s="84"/>
      <c r="B352" s="193"/>
      <c r="C352" s="193"/>
      <c r="D352" s="194"/>
      <c r="E352" s="206"/>
      <c r="F352" s="193"/>
      <c r="G352" s="193"/>
      <c r="H352" s="193"/>
      <c r="I352" s="193"/>
      <c r="J352" s="193"/>
      <c r="K352" s="84"/>
      <c r="M352" s="84"/>
    </row>
    <row r="353">
      <c r="A353" s="84"/>
      <c r="B353" s="193"/>
      <c r="C353" s="193"/>
      <c r="D353" s="194"/>
      <c r="E353" s="205"/>
      <c r="F353" s="193"/>
      <c r="G353" s="193"/>
      <c r="H353" s="193"/>
      <c r="I353" s="193"/>
      <c r="J353" s="193"/>
      <c r="K353" s="84"/>
      <c r="M353" s="84"/>
    </row>
    <row r="354">
      <c r="A354" s="84"/>
      <c r="B354" s="193"/>
      <c r="C354" s="193"/>
      <c r="D354" s="194"/>
      <c r="E354" s="205"/>
      <c r="F354" s="193"/>
      <c r="G354" s="193"/>
      <c r="H354" s="193"/>
      <c r="I354" s="193"/>
      <c r="J354" s="193"/>
      <c r="K354" s="84"/>
      <c r="M354" s="84"/>
    </row>
    <row r="355">
      <c r="A355" s="84"/>
      <c r="B355" s="193"/>
      <c r="C355" s="193"/>
      <c r="D355" s="194"/>
      <c r="E355" s="206"/>
      <c r="F355" s="193"/>
      <c r="G355" s="193"/>
      <c r="H355" s="193"/>
      <c r="I355" s="193"/>
      <c r="J355" s="193"/>
      <c r="K355" s="84"/>
      <c r="M355" s="84"/>
    </row>
    <row r="356">
      <c r="A356" s="84"/>
      <c r="B356" s="193"/>
      <c r="C356" s="193"/>
      <c r="D356" s="194"/>
      <c r="E356" s="205"/>
      <c r="F356" s="193"/>
      <c r="G356" s="193"/>
      <c r="H356" s="193"/>
      <c r="I356" s="193"/>
      <c r="J356" s="193"/>
      <c r="K356" s="84"/>
      <c r="M356" s="84"/>
    </row>
    <row r="357">
      <c r="A357" s="84"/>
      <c r="B357" s="193"/>
      <c r="C357" s="193"/>
      <c r="D357" s="194"/>
      <c r="E357" s="206"/>
      <c r="F357" s="193"/>
      <c r="G357" s="193"/>
      <c r="H357" s="193"/>
      <c r="I357" s="193"/>
      <c r="J357" s="193"/>
      <c r="K357" s="84"/>
      <c r="M357" s="84"/>
    </row>
    <row r="358">
      <c r="A358" s="84"/>
      <c r="B358" s="193"/>
      <c r="C358" s="193"/>
      <c r="D358" s="194"/>
      <c r="E358" s="205"/>
      <c r="F358" s="193"/>
      <c r="G358" s="193"/>
      <c r="H358" s="193"/>
      <c r="I358" s="193"/>
      <c r="J358" s="193"/>
      <c r="K358" s="84"/>
      <c r="M358" s="84"/>
    </row>
    <row r="359">
      <c r="A359" s="84"/>
      <c r="B359" s="193"/>
      <c r="C359" s="193"/>
      <c r="D359" s="194"/>
      <c r="E359" s="205"/>
      <c r="F359" s="193"/>
      <c r="G359" s="193"/>
      <c r="H359" s="193"/>
      <c r="I359" s="193"/>
      <c r="J359" s="193"/>
      <c r="K359" s="84"/>
      <c r="M359" s="84"/>
    </row>
    <row r="360">
      <c r="A360" s="84"/>
      <c r="B360" s="193"/>
      <c r="C360" s="193"/>
      <c r="D360" s="194"/>
      <c r="E360" s="205"/>
      <c r="F360" s="193"/>
      <c r="G360" s="193"/>
      <c r="H360" s="193"/>
      <c r="I360" s="193"/>
      <c r="J360" s="193"/>
      <c r="K360" s="84"/>
      <c r="M360" s="84"/>
    </row>
    <row r="361">
      <c r="A361" s="84"/>
      <c r="B361" s="193"/>
      <c r="C361" s="193"/>
      <c r="D361" s="193"/>
      <c r="E361" s="205"/>
      <c r="F361" s="193"/>
      <c r="G361" s="193"/>
      <c r="H361" s="193"/>
      <c r="I361" s="193"/>
      <c r="J361" s="193"/>
      <c r="K361" s="84"/>
      <c r="M361" s="84"/>
    </row>
    <row r="362">
      <c r="A362" s="84"/>
      <c r="B362" s="193"/>
      <c r="C362" s="193"/>
      <c r="D362" s="193"/>
      <c r="E362" s="205"/>
      <c r="F362" s="193"/>
      <c r="G362" s="193"/>
      <c r="H362" s="193"/>
      <c r="I362" s="193"/>
      <c r="J362" s="193"/>
      <c r="K362" s="84"/>
      <c r="M362" s="84"/>
    </row>
    <row r="363">
      <c r="A363" s="84"/>
      <c r="B363" s="193"/>
      <c r="C363" s="193"/>
      <c r="D363" s="193"/>
      <c r="E363" s="205"/>
      <c r="F363" s="193"/>
      <c r="G363" s="193"/>
      <c r="H363" s="193"/>
      <c r="I363" s="193"/>
      <c r="J363" s="193"/>
      <c r="K363" s="84"/>
      <c r="M363" s="84"/>
    </row>
    <row r="364">
      <c r="A364" s="84"/>
      <c r="B364" s="193"/>
      <c r="C364" s="193"/>
      <c r="D364" s="193"/>
      <c r="E364" s="205"/>
      <c r="F364" s="193"/>
      <c r="G364" s="193"/>
      <c r="H364" s="193"/>
      <c r="I364" s="193"/>
      <c r="J364" s="193"/>
      <c r="K364" s="84"/>
      <c r="M364" s="84"/>
    </row>
    <row r="365">
      <c r="A365" s="84"/>
      <c r="B365" s="193"/>
      <c r="C365" s="193"/>
      <c r="D365" s="193"/>
      <c r="E365" s="205"/>
      <c r="F365" s="193"/>
      <c r="G365" s="193"/>
      <c r="H365" s="193"/>
      <c r="I365" s="193"/>
      <c r="J365" s="193"/>
      <c r="K365" s="84"/>
      <c r="M365" s="84"/>
    </row>
    <row r="366">
      <c r="A366" s="84"/>
      <c r="B366" s="193"/>
      <c r="C366" s="193"/>
      <c r="D366" s="193"/>
      <c r="E366" s="205"/>
      <c r="F366" s="193"/>
      <c r="G366" s="193"/>
      <c r="H366" s="193"/>
      <c r="I366" s="193"/>
      <c r="J366" s="193"/>
      <c r="K366" s="84"/>
      <c r="M366" s="84"/>
    </row>
    <row r="367">
      <c r="A367" s="84"/>
      <c r="B367" s="193"/>
      <c r="C367" s="193"/>
      <c r="D367" s="193"/>
      <c r="E367" s="205"/>
      <c r="F367" s="193"/>
      <c r="G367" s="193"/>
      <c r="H367" s="193"/>
      <c r="I367" s="193"/>
      <c r="J367" s="193"/>
      <c r="K367" s="84"/>
      <c r="M367" s="84"/>
    </row>
    <row r="368">
      <c r="A368" s="84"/>
      <c r="B368" s="193"/>
      <c r="C368" s="193"/>
      <c r="D368" s="193"/>
      <c r="E368" s="205"/>
      <c r="F368" s="193"/>
      <c r="G368" s="193"/>
      <c r="H368" s="193"/>
      <c r="I368" s="193"/>
      <c r="J368" s="193"/>
      <c r="K368" s="84"/>
      <c r="M368" s="84"/>
    </row>
    <row r="369">
      <c r="A369" s="84"/>
      <c r="B369" s="193"/>
      <c r="C369" s="193"/>
      <c r="D369" s="193"/>
      <c r="E369" s="205"/>
      <c r="F369" s="193"/>
      <c r="G369" s="193"/>
      <c r="H369" s="193"/>
      <c r="I369" s="193"/>
      <c r="J369" s="193"/>
      <c r="K369" s="84"/>
      <c r="M369" s="84"/>
    </row>
    <row r="370">
      <c r="A370" s="84"/>
      <c r="B370" s="193"/>
      <c r="C370" s="193"/>
      <c r="D370" s="193"/>
      <c r="E370" s="205"/>
      <c r="F370" s="193"/>
      <c r="G370" s="193"/>
      <c r="H370" s="193"/>
      <c r="I370" s="193"/>
      <c r="J370" s="193"/>
      <c r="K370" s="84"/>
      <c r="M370" s="84"/>
    </row>
    <row r="371">
      <c r="A371" s="84"/>
      <c r="B371" s="193"/>
      <c r="C371" s="193"/>
      <c r="D371" s="194"/>
      <c r="E371" s="205"/>
      <c r="F371" s="193"/>
      <c r="G371" s="193"/>
      <c r="H371" s="193"/>
      <c r="I371" s="193"/>
      <c r="J371" s="193"/>
      <c r="K371" s="84"/>
      <c r="M371" s="84"/>
    </row>
    <row r="372">
      <c r="A372" s="84"/>
      <c r="B372" s="193"/>
      <c r="C372" s="193"/>
      <c r="D372" s="194"/>
      <c r="E372" s="206"/>
      <c r="F372" s="193"/>
      <c r="G372" s="193"/>
      <c r="H372" s="193"/>
      <c r="I372" s="193"/>
      <c r="J372" s="193"/>
      <c r="K372" s="84"/>
      <c r="M372" s="84"/>
    </row>
    <row r="373">
      <c r="A373" s="84"/>
      <c r="B373" s="193"/>
      <c r="C373" s="193"/>
      <c r="D373" s="194"/>
      <c r="E373" s="206"/>
      <c r="F373" s="193"/>
      <c r="G373" s="193"/>
      <c r="H373" s="193"/>
      <c r="I373" s="193"/>
      <c r="J373" s="193"/>
      <c r="K373" s="84"/>
      <c r="M373" s="84"/>
    </row>
    <row r="374">
      <c r="A374" s="84"/>
      <c r="B374" s="193"/>
      <c r="C374" s="193"/>
      <c r="D374" s="194"/>
      <c r="E374" s="205"/>
      <c r="F374" s="193"/>
      <c r="G374" s="193"/>
      <c r="H374" s="193"/>
      <c r="I374" s="193"/>
      <c r="J374" s="193"/>
      <c r="K374" s="84"/>
      <c r="M374" s="84"/>
    </row>
    <row r="375">
      <c r="A375" s="84"/>
      <c r="B375" s="193"/>
      <c r="C375" s="193"/>
      <c r="D375" s="194"/>
      <c r="E375" s="206"/>
      <c r="F375" s="193"/>
      <c r="G375" s="193"/>
      <c r="H375" s="193"/>
      <c r="I375" s="193"/>
      <c r="J375" s="193"/>
      <c r="K375" s="84"/>
      <c r="M375" s="84"/>
    </row>
    <row r="376">
      <c r="A376" s="84"/>
      <c r="B376" s="193"/>
      <c r="C376" s="193"/>
      <c r="D376" s="194"/>
      <c r="E376" s="205"/>
      <c r="F376" s="193"/>
      <c r="G376" s="193"/>
      <c r="H376" s="193"/>
      <c r="I376" s="193"/>
      <c r="J376" s="193"/>
      <c r="K376" s="84"/>
      <c r="M376" s="84"/>
    </row>
    <row r="377">
      <c r="A377" s="84"/>
      <c r="B377" s="193"/>
      <c r="C377" s="193"/>
      <c r="D377" s="194"/>
      <c r="E377" s="206"/>
      <c r="F377" s="193"/>
      <c r="G377" s="193"/>
      <c r="H377" s="193"/>
      <c r="I377" s="193"/>
      <c r="J377" s="193"/>
      <c r="K377" s="84"/>
      <c r="M377" s="84"/>
    </row>
    <row r="378">
      <c r="A378" s="84"/>
      <c r="B378" s="193"/>
      <c r="C378" s="193"/>
      <c r="D378" s="194"/>
      <c r="E378" s="205"/>
      <c r="F378" s="193"/>
      <c r="G378" s="193"/>
      <c r="H378" s="193"/>
      <c r="I378" s="193"/>
      <c r="J378" s="193"/>
      <c r="K378" s="84"/>
      <c r="M378" s="84"/>
    </row>
    <row r="379">
      <c r="A379" s="84"/>
      <c r="B379" s="193"/>
      <c r="C379" s="193"/>
      <c r="D379" s="194"/>
      <c r="E379" s="205"/>
      <c r="F379" s="193"/>
      <c r="G379" s="193"/>
      <c r="H379" s="193"/>
      <c r="I379" s="193"/>
      <c r="J379" s="193"/>
      <c r="K379" s="84"/>
      <c r="M379" s="84"/>
    </row>
    <row r="380">
      <c r="A380" s="84"/>
      <c r="B380" s="193"/>
      <c r="C380" s="193"/>
      <c r="D380" s="194"/>
      <c r="E380" s="205"/>
      <c r="F380" s="193"/>
      <c r="G380" s="193"/>
      <c r="H380" s="193"/>
      <c r="I380" s="193"/>
      <c r="J380" s="193"/>
      <c r="K380" s="84"/>
      <c r="M380" s="84"/>
    </row>
    <row r="381">
      <c r="A381" s="84"/>
      <c r="B381" s="193"/>
      <c r="C381" s="193"/>
      <c r="D381" s="194"/>
      <c r="E381" s="206"/>
      <c r="F381" s="193"/>
      <c r="G381" s="193"/>
      <c r="H381" s="193"/>
      <c r="I381" s="193"/>
      <c r="J381" s="193"/>
      <c r="K381" s="84"/>
      <c r="M381" s="84"/>
    </row>
    <row r="382">
      <c r="A382" s="84"/>
      <c r="B382" s="193"/>
      <c r="C382" s="193"/>
      <c r="D382" s="194"/>
      <c r="E382" s="205"/>
      <c r="F382" s="193"/>
      <c r="G382" s="193"/>
      <c r="H382" s="193"/>
      <c r="I382" s="193"/>
      <c r="J382" s="193"/>
      <c r="K382" s="84"/>
      <c r="M382" s="84"/>
    </row>
    <row r="383">
      <c r="A383" s="84"/>
      <c r="B383" s="193"/>
      <c r="C383" s="193"/>
      <c r="D383" s="194"/>
      <c r="E383" s="206"/>
      <c r="F383" s="193"/>
      <c r="G383" s="193"/>
      <c r="H383" s="193"/>
      <c r="I383" s="193"/>
      <c r="J383" s="193"/>
      <c r="K383" s="84"/>
      <c r="M383" s="84"/>
    </row>
    <row r="384">
      <c r="A384" s="84"/>
      <c r="B384" s="193"/>
      <c r="C384" s="193"/>
      <c r="D384" s="194"/>
      <c r="E384" s="206"/>
      <c r="F384" s="193"/>
      <c r="G384" s="193"/>
      <c r="H384" s="193"/>
      <c r="I384" s="193"/>
      <c r="J384" s="193"/>
      <c r="K384" s="84"/>
      <c r="M384" s="84"/>
    </row>
    <row r="385">
      <c r="A385" s="84"/>
      <c r="B385" s="193"/>
      <c r="C385" s="193"/>
      <c r="D385" s="194"/>
      <c r="E385" s="206"/>
      <c r="F385" s="193"/>
      <c r="G385" s="193"/>
      <c r="H385" s="193"/>
      <c r="I385" s="193"/>
      <c r="J385" s="193"/>
      <c r="K385" s="84"/>
      <c r="M385" s="84"/>
    </row>
    <row r="386">
      <c r="A386" s="84"/>
      <c r="B386" s="193"/>
      <c r="C386" s="193"/>
      <c r="D386" s="194"/>
      <c r="E386" s="205"/>
      <c r="F386" s="193"/>
      <c r="G386" s="193"/>
      <c r="H386" s="193"/>
      <c r="I386" s="193"/>
      <c r="J386" s="193"/>
      <c r="K386" s="84"/>
      <c r="M386" s="84"/>
    </row>
    <row r="387">
      <c r="A387" s="84"/>
      <c r="B387" s="193"/>
      <c r="C387" s="193"/>
      <c r="D387" s="194"/>
      <c r="E387" s="206"/>
      <c r="F387" s="193"/>
      <c r="G387" s="193"/>
      <c r="H387" s="193"/>
      <c r="I387" s="193"/>
      <c r="J387" s="193"/>
      <c r="K387" s="84"/>
      <c r="M387" s="84"/>
    </row>
    <row r="388">
      <c r="A388" s="84"/>
      <c r="B388" s="193"/>
      <c r="C388" s="193"/>
      <c r="D388" s="194"/>
      <c r="E388" s="205"/>
      <c r="F388" s="193"/>
      <c r="G388" s="193"/>
      <c r="H388" s="193"/>
      <c r="I388" s="193"/>
      <c r="J388" s="193"/>
      <c r="K388" s="84"/>
      <c r="M388" s="84"/>
    </row>
    <row r="389">
      <c r="A389" s="84"/>
      <c r="B389" s="193"/>
      <c r="C389" s="193"/>
      <c r="D389" s="194"/>
      <c r="E389" s="205"/>
      <c r="F389" s="193"/>
      <c r="G389" s="193"/>
      <c r="H389" s="193"/>
      <c r="I389" s="193"/>
      <c r="J389" s="193"/>
      <c r="K389" s="84"/>
      <c r="M389" s="84"/>
    </row>
    <row r="390">
      <c r="A390" s="84"/>
      <c r="B390" s="193"/>
      <c r="C390" s="193"/>
      <c r="D390" s="194"/>
      <c r="E390" s="206"/>
      <c r="F390" s="193"/>
      <c r="G390" s="193"/>
      <c r="H390" s="193"/>
      <c r="I390" s="193"/>
      <c r="J390" s="193"/>
      <c r="K390" s="84"/>
      <c r="M390" s="84"/>
    </row>
    <row r="391">
      <c r="A391" s="84"/>
      <c r="B391" s="193"/>
      <c r="C391" s="193"/>
      <c r="D391" s="194"/>
      <c r="E391" s="206"/>
      <c r="F391" s="193"/>
      <c r="G391" s="193"/>
      <c r="H391" s="193"/>
      <c r="I391" s="193"/>
      <c r="J391" s="193"/>
      <c r="K391" s="84"/>
      <c r="M391" s="84"/>
    </row>
    <row r="392">
      <c r="A392" s="84"/>
      <c r="B392" s="193"/>
      <c r="C392" s="193"/>
      <c r="D392" s="194"/>
      <c r="E392" s="206"/>
      <c r="F392" s="193"/>
      <c r="G392" s="193"/>
      <c r="H392" s="193"/>
      <c r="I392" s="193"/>
      <c r="J392" s="193"/>
      <c r="K392" s="84"/>
      <c r="M392" s="84"/>
    </row>
    <row r="393">
      <c r="A393" s="84"/>
      <c r="B393" s="193"/>
      <c r="C393" s="193"/>
      <c r="D393" s="194"/>
      <c r="E393" s="205"/>
      <c r="F393" s="193"/>
      <c r="G393" s="193"/>
      <c r="H393" s="193"/>
      <c r="I393" s="193"/>
      <c r="J393" s="193"/>
      <c r="K393" s="84"/>
      <c r="M393" s="84"/>
    </row>
    <row r="394">
      <c r="A394" s="84"/>
      <c r="B394" s="193"/>
      <c r="C394" s="193"/>
      <c r="D394" s="194"/>
      <c r="E394" s="205"/>
      <c r="F394" s="193"/>
      <c r="G394" s="193"/>
      <c r="H394" s="193"/>
      <c r="I394" s="193"/>
      <c r="J394" s="193"/>
      <c r="K394" s="84"/>
      <c r="M394" s="84"/>
    </row>
    <row r="395">
      <c r="A395" s="84"/>
      <c r="B395" s="193"/>
      <c r="C395" s="193"/>
      <c r="D395" s="194"/>
      <c r="E395" s="206"/>
      <c r="F395" s="193"/>
      <c r="G395" s="193"/>
      <c r="H395" s="193"/>
      <c r="I395" s="193"/>
      <c r="J395" s="193"/>
      <c r="K395" s="84"/>
      <c r="M395" s="84"/>
    </row>
    <row r="396">
      <c r="A396" s="84"/>
      <c r="B396" s="193"/>
      <c r="C396" s="193"/>
      <c r="D396" s="194"/>
      <c r="E396" s="205"/>
      <c r="F396" s="193"/>
      <c r="G396" s="193"/>
      <c r="H396" s="193"/>
      <c r="I396" s="193"/>
      <c r="J396" s="193"/>
      <c r="K396" s="84"/>
      <c r="M396" s="84"/>
    </row>
    <row r="397">
      <c r="A397" s="84"/>
      <c r="B397" s="193"/>
      <c r="C397" s="193"/>
      <c r="D397" s="194"/>
      <c r="E397" s="206"/>
      <c r="F397" s="193"/>
      <c r="G397" s="193"/>
      <c r="H397" s="193"/>
      <c r="I397" s="193"/>
      <c r="J397" s="193"/>
      <c r="K397" s="84"/>
      <c r="M397" s="84"/>
    </row>
    <row r="398">
      <c r="A398" s="84"/>
      <c r="B398" s="193"/>
      <c r="C398" s="193"/>
      <c r="D398" s="194"/>
      <c r="E398" s="205"/>
      <c r="F398" s="193"/>
      <c r="G398" s="193"/>
      <c r="H398" s="193"/>
      <c r="I398" s="193"/>
      <c r="J398" s="193"/>
      <c r="K398" s="84"/>
      <c r="M398" s="84"/>
    </row>
    <row r="399">
      <c r="A399" s="84"/>
      <c r="B399" s="193"/>
      <c r="C399" s="193"/>
      <c r="D399" s="194"/>
      <c r="E399" s="205"/>
      <c r="F399" s="193"/>
      <c r="G399" s="193"/>
      <c r="H399" s="193"/>
      <c r="I399" s="193"/>
      <c r="J399" s="193"/>
      <c r="K399" s="84"/>
      <c r="M399" s="84"/>
    </row>
    <row r="400">
      <c r="A400" s="84"/>
      <c r="B400" s="193"/>
      <c r="C400" s="193"/>
      <c r="D400" s="194"/>
      <c r="E400" s="205"/>
      <c r="F400" s="193"/>
      <c r="G400" s="193"/>
      <c r="H400" s="193"/>
      <c r="I400" s="193"/>
      <c r="J400" s="193"/>
      <c r="K400" s="84"/>
      <c r="M400" s="84"/>
    </row>
    <row r="401">
      <c r="A401" s="84"/>
      <c r="B401" s="193"/>
      <c r="C401" s="193"/>
      <c r="D401" s="194"/>
      <c r="E401" s="205"/>
      <c r="F401" s="193"/>
      <c r="G401" s="193"/>
      <c r="H401" s="193"/>
      <c r="I401" s="193"/>
      <c r="J401" s="193"/>
      <c r="K401" s="84"/>
      <c r="M401" s="84"/>
    </row>
    <row r="402">
      <c r="A402" s="84"/>
      <c r="B402" s="193"/>
      <c r="C402" s="193"/>
      <c r="D402" s="194"/>
      <c r="E402" s="206"/>
      <c r="F402" s="193"/>
      <c r="G402" s="193"/>
      <c r="H402" s="193"/>
      <c r="I402" s="193"/>
      <c r="J402" s="193"/>
      <c r="K402" s="84"/>
      <c r="M402" s="84"/>
    </row>
    <row r="403">
      <c r="A403" s="84"/>
      <c r="B403" s="193"/>
      <c r="C403" s="193"/>
      <c r="D403" s="194"/>
      <c r="E403" s="205"/>
      <c r="F403" s="193"/>
      <c r="G403" s="193"/>
      <c r="H403" s="193"/>
      <c r="I403" s="193"/>
      <c r="J403" s="193"/>
      <c r="K403" s="84"/>
      <c r="M403" s="84"/>
    </row>
    <row r="404">
      <c r="A404" s="84"/>
      <c r="B404" s="193"/>
      <c r="C404" s="193"/>
      <c r="D404" s="194"/>
      <c r="E404" s="206"/>
      <c r="F404" s="193"/>
      <c r="G404" s="193"/>
      <c r="H404" s="193"/>
      <c r="I404" s="193"/>
      <c r="J404" s="193"/>
      <c r="K404" s="84"/>
      <c r="M404" s="84"/>
    </row>
    <row r="405">
      <c r="A405" s="84"/>
      <c r="B405" s="193"/>
      <c r="C405" s="193"/>
      <c r="D405" s="194"/>
      <c r="E405" s="205"/>
      <c r="F405" s="193"/>
      <c r="G405" s="193"/>
      <c r="H405" s="193"/>
      <c r="I405" s="193"/>
      <c r="J405" s="193"/>
      <c r="K405" s="84"/>
      <c r="M405" s="84"/>
    </row>
    <row r="406">
      <c r="A406" s="84"/>
      <c r="B406" s="193"/>
      <c r="C406" s="193"/>
      <c r="D406" s="194"/>
      <c r="E406" s="205"/>
      <c r="F406" s="193"/>
      <c r="G406" s="193"/>
      <c r="H406" s="193"/>
      <c r="I406" s="193"/>
      <c r="J406" s="193"/>
      <c r="K406" s="84"/>
      <c r="M406" s="84"/>
    </row>
    <row r="407">
      <c r="A407" s="84"/>
      <c r="B407" s="193"/>
      <c r="C407" s="193"/>
      <c r="D407" s="194"/>
      <c r="E407" s="205"/>
      <c r="F407" s="193"/>
      <c r="G407" s="193"/>
      <c r="H407" s="193"/>
      <c r="I407" s="193"/>
      <c r="J407" s="193"/>
      <c r="K407" s="84"/>
      <c r="M407" s="84"/>
    </row>
    <row r="408">
      <c r="A408" s="84"/>
      <c r="B408" s="193"/>
      <c r="C408" s="193"/>
      <c r="D408" s="194"/>
      <c r="E408" s="206"/>
      <c r="F408" s="193"/>
      <c r="G408" s="193"/>
      <c r="H408" s="193"/>
      <c r="I408" s="193"/>
      <c r="J408" s="193"/>
      <c r="K408" s="84"/>
      <c r="M408" s="84"/>
    </row>
    <row r="409">
      <c r="A409" s="84"/>
      <c r="B409" s="193"/>
      <c r="C409" s="193"/>
      <c r="D409" s="194"/>
      <c r="E409" s="205"/>
      <c r="F409" s="193"/>
      <c r="G409" s="193"/>
      <c r="H409" s="193"/>
      <c r="I409" s="193"/>
      <c r="J409" s="193"/>
      <c r="K409" s="84"/>
      <c r="M409" s="84"/>
    </row>
    <row r="410">
      <c r="A410" s="84"/>
      <c r="B410" s="193"/>
      <c r="C410" s="193"/>
      <c r="D410" s="194"/>
      <c r="E410" s="205"/>
      <c r="F410" s="193"/>
      <c r="G410" s="193"/>
      <c r="H410" s="193"/>
      <c r="I410" s="193"/>
      <c r="J410" s="193"/>
      <c r="K410" s="84"/>
      <c r="M410" s="84"/>
    </row>
    <row r="411">
      <c r="A411" s="84"/>
      <c r="B411" s="193"/>
      <c r="C411" s="193"/>
      <c r="D411" s="194"/>
      <c r="E411" s="205"/>
      <c r="F411" s="193"/>
      <c r="G411" s="193"/>
      <c r="H411" s="193"/>
      <c r="I411" s="193"/>
      <c r="J411" s="193"/>
      <c r="K411" s="84"/>
      <c r="M411" s="84"/>
    </row>
    <row r="412">
      <c r="A412" s="84"/>
      <c r="B412" s="193"/>
      <c r="C412" s="193"/>
      <c r="D412" s="194"/>
      <c r="E412" s="206"/>
      <c r="F412" s="193"/>
      <c r="G412" s="193"/>
      <c r="H412" s="193"/>
      <c r="I412" s="193"/>
      <c r="J412" s="193"/>
      <c r="K412" s="84"/>
      <c r="M412" s="84"/>
    </row>
    <row r="413">
      <c r="A413" s="84"/>
      <c r="B413" s="193"/>
      <c r="C413" s="193"/>
      <c r="D413" s="194"/>
      <c r="E413" s="205"/>
      <c r="F413" s="193"/>
      <c r="G413" s="193"/>
      <c r="H413" s="193"/>
      <c r="I413" s="193"/>
      <c r="J413" s="193"/>
      <c r="K413" s="84"/>
      <c r="M413" s="84"/>
    </row>
    <row r="414">
      <c r="A414" s="84"/>
      <c r="B414" s="193"/>
      <c r="C414" s="193"/>
      <c r="D414" s="194"/>
      <c r="E414" s="205"/>
      <c r="F414" s="193"/>
      <c r="G414" s="193"/>
      <c r="H414" s="193"/>
      <c r="I414" s="193"/>
      <c r="J414" s="193"/>
      <c r="K414" s="84"/>
      <c r="M414" s="84"/>
    </row>
    <row r="415">
      <c r="A415" s="84"/>
      <c r="B415" s="193"/>
      <c r="C415" s="193"/>
      <c r="D415" s="194"/>
      <c r="E415" s="206"/>
      <c r="F415" s="193"/>
      <c r="G415" s="193"/>
      <c r="H415" s="193"/>
      <c r="I415" s="193"/>
      <c r="J415" s="193"/>
      <c r="K415" s="84"/>
      <c r="M415" s="84"/>
    </row>
    <row r="416">
      <c r="A416" s="84"/>
      <c r="B416" s="193"/>
      <c r="C416" s="193"/>
      <c r="D416" s="194"/>
      <c r="E416" s="206"/>
      <c r="F416" s="193"/>
      <c r="G416" s="193"/>
      <c r="H416" s="193"/>
      <c r="I416" s="193"/>
      <c r="J416" s="193"/>
      <c r="K416" s="84"/>
      <c r="M416" s="84"/>
    </row>
    <row r="417">
      <c r="A417" s="84"/>
      <c r="B417" s="193"/>
      <c r="C417" s="193"/>
      <c r="D417" s="194"/>
      <c r="E417" s="205"/>
      <c r="F417" s="193"/>
      <c r="G417" s="193"/>
      <c r="H417" s="193"/>
      <c r="I417" s="193"/>
      <c r="J417" s="193"/>
      <c r="K417" s="84"/>
      <c r="M417" s="84"/>
    </row>
    <row r="418">
      <c r="A418" s="84"/>
      <c r="B418" s="193"/>
      <c r="C418" s="193"/>
      <c r="D418" s="194"/>
      <c r="E418" s="206"/>
      <c r="F418" s="193"/>
      <c r="G418" s="193"/>
      <c r="H418" s="193"/>
      <c r="I418" s="193"/>
      <c r="J418" s="193"/>
      <c r="K418" s="84"/>
      <c r="M418" s="84"/>
    </row>
    <row r="419">
      <c r="A419" s="84"/>
      <c r="B419" s="193"/>
      <c r="C419" s="193"/>
      <c r="D419" s="194"/>
      <c r="E419" s="206"/>
      <c r="F419" s="193"/>
      <c r="G419" s="193"/>
      <c r="H419" s="193"/>
      <c r="I419" s="193"/>
      <c r="J419" s="193"/>
      <c r="K419" s="84"/>
      <c r="M419" s="84"/>
    </row>
    <row r="420">
      <c r="A420" s="84"/>
      <c r="B420" s="193"/>
      <c r="C420" s="193"/>
      <c r="D420" s="194"/>
      <c r="E420" s="206"/>
      <c r="F420" s="193"/>
      <c r="G420" s="193"/>
      <c r="H420" s="193"/>
      <c r="I420" s="193"/>
      <c r="J420" s="193"/>
      <c r="K420" s="84"/>
      <c r="M420" s="84"/>
    </row>
    <row r="421">
      <c r="A421" s="84"/>
      <c r="B421" s="193"/>
      <c r="C421" s="193"/>
      <c r="D421" s="194"/>
      <c r="E421" s="206"/>
      <c r="F421" s="193"/>
      <c r="G421" s="193"/>
      <c r="H421" s="193"/>
      <c r="I421" s="193"/>
      <c r="J421" s="193"/>
      <c r="K421" s="84"/>
      <c r="M421" s="84"/>
    </row>
    <row r="422">
      <c r="A422" s="84"/>
      <c r="B422" s="193"/>
      <c r="C422" s="193"/>
      <c r="D422" s="194"/>
      <c r="E422" s="205"/>
      <c r="F422" s="193"/>
      <c r="G422" s="193"/>
      <c r="H422" s="193"/>
      <c r="I422" s="193"/>
      <c r="J422" s="193"/>
      <c r="K422" s="84"/>
      <c r="M422" s="84"/>
    </row>
    <row r="423">
      <c r="A423" s="84"/>
      <c r="B423" s="193"/>
      <c r="C423" s="193"/>
      <c r="D423" s="194"/>
      <c r="E423" s="205"/>
      <c r="F423" s="193"/>
      <c r="G423" s="193"/>
      <c r="H423" s="193"/>
      <c r="I423" s="193"/>
      <c r="J423" s="193"/>
      <c r="K423" s="84"/>
      <c r="M423" s="84"/>
    </row>
    <row r="424">
      <c r="A424" s="84"/>
      <c r="B424" s="193"/>
      <c r="C424" s="193"/>
      <c r="D424" s="194"/>
      <c r="E424" s="205"/>
      <c r="F424" s="193"/>
      <c r="G424" s="193"/>
      <c r="H424" s="193"/>
      <c r="I424" s="193"/>
      <c r="J424" s="193"/>
      <c r="K424" s="84"/>
      <c r="M424" s="84"/>
    </row>
    <row r="425">
      <c r="A425" s="84"/>
      <c r="B425" s="193"/>
      <c r="C425" s="193"/>
      <c r="D425" s="194"/>
      <c r="E425" s="205"/>
      <c r="F425" s="193"/>
      <c r="G425" s="193"/>
      <c r="H425" s="193"/>
      <c r="I425" s="193"/>
      <c r="J425" s="193"/>
      <c r="K425" s="84"/>
      <c r="M425" s="84"/>
    </row>
    <row r="426">
      <c r="A426" s="84"/>
      <c r="B426" s="193"/>
      <c r="C426" s="193"/>
      <c r="D426" s="194"/>
      <c r="E426" s="206"/>
      <c r="F426" s="193"/>
      <c r="G426" s="193"/>
      <c r="H426" s="193"/>
      <c r="I426" s="193"/>
      <c r="J426" s="193"/>
      <c r="K426" s="84"/>
      <c r="M426" s="84"/>
    </row>
    <row r="427">
      <c r="A427" s="84"/>
      <c r="B427" s="193"/>
      <c r="C427" s="193"/>
      <c r="D427" s="194"/>
      <c r="E427" s="205"/>
      <c r="F427" s="193"/>
      <c r="G427" s="193"/>
      <c r="H427" s="193"/>
      <c r="I427" s="193"/>
      <c r="J427" s="193"/>
      <c r="K427" s="84"/>
      <c r="M427" s="84"/>
    </row>
    <row r="428">
      <c r="A428" s="84"/>
      <c r="B428" s="193"/>
      <c r="C428" s="193"/>
      <c r="D428" s="194"/>
      <c r="E428" s="205"/>
      <c r="F428" s="193"/>
      <c r="G428" s="193"/>
      <c r="H428" s="193"/>
      <c r="I428" s="193"/>
      <c r="J428" s="193"/>
      <c r="K428" s="84"/>
      <c r="M428" s="84"/>
    </row>
    <row r="429">
      <c r="A429" s="84"/>
      <c r="B429" s="193"/>
      <c r="C429" s="193"/>
      <c r="D429" s="194"/>
      <c r="E429" s="206"/>
      <c r="F429" s="193"/>
      <c r="G429" s="193"/>
      <c r="H429" s="193"/>
      <c r="I429" s="193"/>
      <c r="J429" s="193"/>
      <c r="K429" s="84"/>
      <c r="M429" s="84"/>
    </row>
    <row r="430">
      <c r="A430" s="84"/>
      <c r="B430" s="193"/>
      <c r="C430" s="193"/>
      <c r="D430" s="194"/>
      <c r="E430" s="206"/>
      <c r="F430" s="193"/>
      <c r="G430" s="193"/>
      <c r="H430" s="193"/>
      <c r="I430" s="193"/>
      <c r="J430" s="193"/>
      <c r="K430" s="84"/>
      <c r="M430" s="84"/>
    </row>
    <row r="431">
      <c r="A431" s="84"/>
      <c r="B431" s="193"/>
      <c r="C431" s="193"/>
      <c r="D431" s="194"/>
      <c r="E431" s="206"/>
      <c r="F431" s="193"/>
      <c r="G431" s="193"/>
      <c r="H431" s="193"/>
      <c r="I431" s="193"/>
      <c r="J431" s="193"/>
      <c r="K431" s="84"/>
      <c r="M431" s="84"/>
    </row>
    <row r="432">
      <c r="A432" s="84"/>
      <c r="B432" s="193"/>
      <c r="C432" s="193"/>
      <c r="D432" s="194"/>
      <c r="E432" s="205"/>
      <c r="F432" s="193"/>
      <c r="G432" s="193"/>
      <c r="H432" s="193"/>
      <c r="I432" s="193"/>
      <c r="J432" s="193"/>
      <c r="K432" s="84"/>
      <c r="M432" s="84"/>
    </row>
    <row r="433">
      <c r="A433" s="84"/>
      <c r="B433" s="193"/>
      <c r="C433" s="193"/>
      <c r="D433" s="194"/>
      <c r="E433" s="206"/>
      <c r="F433" s="193"/>
      <c r="G433" s="193"/>
      <c r="H433" s="193"/>
      <c r="I433" s="193"/>
      <c r="J433" s="193"/>
      <c r="K433" s="84"/>
      <c r="M433" s="84"/>
    </row>
    <row r="434">
      <c r="A434" s="84"/>
      <c r="B434" s="193"/>
      <c r="C434" s="193"/>
      <c r="D434" s="194"/>
      <c r="E434" s="206"/>
      <c r="F434" s="193"/>
      <c r="G434" s="193"/>
      <c r="H434" s="193"/>
      <c r="I434" s="193"/>
      <c r="J434" s="193"/>
      <c r="K434" s="84"/>
      <c r="M434" s="84"/>
    </row>
    <row r="435">
      <c r="A435" s="84"/>
      <c r="B435" s="193"/>
      <c r="C435" s="193"/>
      <c r="D435" s="194"/>
      <c r="E435" s="205"/>
      <c r="F435" s="193"/>
      <c r="G435" s="193"/>
      <c r="H435" s="193"/>
      <c r="I435" s="193"/>
      <c r="J435" s="193"/>
      <c r="K435" s="84"/>
      <c r="M435" s="84"/>
    </row>
    <row r="436">
      <c r="A436" s="84"/>
      <c r="B436" s="193"/>
      <c r="C436" s="193"/>
      <c r="D436" s="194"/>
      <c r="E436" s="205"/>
      <c r="F436" s="193"/>
      <c r="G436" s="193"/>
      <c r="H436" s="193"/>
      <c r="I436" s="193"/>
      <c r="J436" s="193"/>
      <c r="K436" s="84"/>
      <c r="M436" s="84"/>
    </row>
    <row r="437">
      <c r="A437" s="84"/>
      <c r="B437" s="193"/>
      <c r="C437" s="193"/>
      <c r="D437" s="194"/>
      <c r="E437" s="206"/>
      <c r="F437" s="193"/>
      <c r="G437" s="193"/>
      <c r="H437" s="193"/>
      <c r="I437" s="193"/>
      <c r="J437" s="193"/>
      <c r="K437" s="84"/>
      <c r="M437" s="84"/>
    </row>
    <row r="438">
      <c r="A438" s="84"/>
      <c r="B438" s="193"/>
      <c r="C438" s="193"/>
      <c r="D438" s="194"/>
      <c r="E438" s="205"/>
      <c r="F438" s="193"/>
      <c r="G438" s="193"/>
      <c r="H438" s="193"/>
      <c r="I438" s="193"/>
      <c r="J438" s="193"/>
      <c r="K438" s="84"/>
      <c r="M438" s="84"/>
    </row>
    <row r="439">
      <c r="A439" s="84"/>
      <c r="B439" s="193"/>
      <c r="C439" s="193"/>
      <c r="D439" s="194"/>
      <c r="E439" s="206"/>
      <c r="F439" s="193"/>
      <c r="G439" s="193"/>
      <c r="H439" s="193"/>
      <c r="I439" s="193"/>
      <c r="J439" s="193"/>
      <c r="K439" s="84"/>
      <c r="M439" s="84"/>
    </row>
    <row r="440">
      <c r="A440" s="84"/>
      <c r="B440" s="193"/>
      <c r="C440" s="193"/>
      <c r="D440" s="194"/>
      <c r="E440" s="205"/>
      <c r="F440" s="193"/>
      <c r="G440" s="193"/>
      <c r="H440" s="193"/>
      <c r="I440" s="193"/>
      <c r="J440" s="193"/>
      <c r="K440" s="84"/>
      <c r="M440" s="84"/>
    </row>
    <row r="441">
      <c r="A441" s="84"/>
      <c r="B441" s="193"/>
      <c r="C441" s="193"/>
      <c r="D441" s="194"/>
      <c r="E441" s="205"/>
      <c r="F441" s="193"/>
      <c r="G441" s="193"/>
      <c r="H441" s="193"/>
      <c r="I441" s="193"/>
      <c r="J441" s="193"/>
      <c r="K441" s="84"/>
      <c r="M441" s="84"/>
    </row>
    <row r="442">
      <c r="A442" s="84"/>
      <c r="B442" s="193"/>
      <c r="C442" s="193"/>
      <c r="D442" s="194"/>
      <c r="E442" s="205"/>
      <c r="F442" s="193"/>
      <c r="G442" s="193"/>
      <c r="H442" s="193"/>
      <c r="I442" s="193"/>
      <c r="J442" s="193"/>
      <c r="K442" s="84"/>
      <c r="M442" s="84"/>
    </row>
    <row r="443">
      <c r="A443" s="84"/>
      <c r="B443" s="193"/>
      <c r="C443" s="193"/>
      <c r="D443" s="194"/>
      <c r="E443" s="206"/>
      <c r="F443" s="193"/>
      <c r="G443" s="193"/>
      <c r="H443" s="193"/>
      <c r="I443" s="193"/>
      <c r="J443" s="193"/>
      <c r="K443" s="84"/>
      <c r="M443" s="84"/>
    </row>
    <row r="444">
      <c r="A444" s="84"/>
      <c r="B444" s="193"/>
      <c r="C444" s="193"/>
      <c r="D444" s="194"/>
      <c r="E444" s="206"/>
      <c r="F444" s="193"/>
      <c r="G444" s="193"/>
      <c r="H444" s="193"/>
      <c r="I444" s="193"/>
      <c r="J444" s="193"/>
      <c r="K444" s="84"/>
      <c r="M444" s="84"/>
    </row>
    <row r="445">
      <c r="A445" s="84"/>
      <c r="B445" s="193"/>
      <c r="C445" s="193"/>
      <c r="D445" s="194"/>
      <c r="E445" s="205"/>
      <c r="F445" s="193"/>
      <c r="G445" s="193"/>
      <c r="H445" s="193"/>
      <c r="I445" s="193"/>
      <c r="J445" s="193"/>
      <c r="K445" s="84"/>
      <c r="M445" s="84"/>
    </row>
    <row r="446">
      <c r="A446" s="84"/>
      <c r="B446" s="193"/>
      <c r="C446" s="193"/>
      <c r="D446" s="194"/>
      <c r="E446" s="206"/>
      <c r="F446" s="193"/>
      <c r="G446" s="193"/>
      <c r="H446" s="193"/>
      <c r="I446" s="193"/>
      <c r="J446" s="193"/>
      <c r="K446" s="84"/>
      <c r="M446" s="84"/>
    </row>
    <row r="447">
      <c r="A447" s="84"/>
      <c r="B447" s="193"/>
      <c r="C447" s="193"/>
      <c r="D447" s="194"/>
      <c r="E447" s="205"/>
      <c r="F447" s="193"/>
      <c r="G447" s="193"/>
      <c r="H447" s="193"/>
      <c r="I447" s="193"/>
      <c r="J447" s="193"/>
      <c r="K447" s="84"/>
      <c r="M447" s="84"/>
    </row>
    <row r="448">
      <c r="A448" s="84"/>
      <c r="B448" s="193"/>
      <c r="C448" s="193"/>
      <c r="D448" s="194"/>
      <c r="E448" s="205"/>
      <c r="F448" s="193"/>
      <c r="G448" s="193"/>
      <c r="H448" s="193"/>
      <c r="I448" s="193"/>
      <c r="J448" s="193"/>
      <c r="K448" s="84"/>
      <c r="M448" s="84"/>
    </row>
    <row r="449">
      <c r="A449" s="84"/>
      <c r="B449" s="193"/>
      <c r="C449" s="193"/>
      <c r="D449" s="194"/>
      <c r="E449" s="206"/>
      <c r="F449" s="193"/>
      <c r="G449" s="193"/>
      <c r="H449" s="193"/>
      <c r="I449" s="193"/>
      <c r="J449" s="193"/>
      <c r="K449" s="84"/>
      <c r="M449" s="84"/>
    </row>
    <row r="450">
      <c r="A450" s="84"/>
      <c r="B450" s="193"/>
      <c r="C450" s="193"/>
      <c r="D450" s="194"/>
      <c r="E450" s="205"/>
      <c r="F450" s="193"/>
      <c r="G450" s="193"/>
      <c r="H450" s="193"/>
      <c r="I450" s="193"/>
      <c r="J450" s="193"/>
      <c r="K450" s="84"/>
      <c r="M450" s="84"/>
    </row>
    <row r="451">
      <c r="A451" s="84"/>
      <c r="B451" s="193"/>
      <c r="C451" s="193"/>
      <c r="D451" s="194"/>
      <c r="E451" s="205"/>
      <c r="F451" s="193"/>
      <c r="G451" s="193"/>
      <c r="H451" s="193"/>
      <c r="I451" s="193"/>
      <c r="J451" s="193"/>
      <c r="K451" s="84"/>
      <c r="M451" s="84"/>
    </row>
    <row r="452">
      <c r="A452" s="84"/>
      <c r="B452" s="193"/>
      <c r="C452" s="193"/>
      <c r="D452" s="194"/>
      <c r="E452" s="205"/>
      <c r="F452" s="193"/>
      <c r="G452" s="193"/>
      <c r="H452" s="193"/>
      <c r="I452" s="193"/>
      <c r="J452" s="193"/>
      <c r="K452" s="84"/>
      <c r="M452" s="84"/>
    </row>
    <row r="453">
      <c r="A453" s="84"/>
      <c r="B453" s="193"/>
      <c r="C453" s="193"/>
      <c r="D453" s="194"/>
      <c r="E453" s="206"/>
      <c r="F453" s="193"/>
      <c r="G453" s="193"/>
      <c r="H453" s="193"/>
      <c r="I453" s="193"/>
      <c r="J453" s="193"/>
      <c r="K453" s="84"/>
      <c r="M453" s="84"/>
    </row>
    <row r="454">
      <c r="A454" s="84"/>
      <c r="B454" s="193"/>
      <c r="C454" s="193"/>
      <c r="D454" s="194"/>
      <c r="E454" s="205"/>
      <c r="F454" s="193"/>
      <c r="G454" s="193"/>
      <c r="H454" s="193"/>
      <c r="I454" s="193"/>
      <c r="J454" s="193"/>
      <c r="K454" s="84"/>
      <c r="M454" s="84"/>
    </row>
    <row r="455">
      <c r="A455" s="84"/>
      <c r="B455" s="193"/>
      <c r="C455" s="193"/>
      <c r="D455" s="194"/>
      <c r="E455" s="205"/>
      <c r="F455" s="193"/>
      <c r="G455" s="193"/>
      <c r="H455" s="193"/>
      <c r="I455" s="193"/>
      <c r="J455" s="193"/>
      <c r="K455" s="84"/>
      <c r="M455" s="84"/>
    </row>
    <row r="456">
      <c r="A456" s="84"/>
      <c r="B456" s="193"/>
      <c r="C456" s="193"/>
      <c r="D456" s="194"/>
      <c r="E456" s="206"/>
      <c r="F456" s="193"/>
      <c r="G456" s="193"/>
      <c r="H456" s="193"/>
      <c r="I456" s="193"/>
      <c r="J456" s="193"/>
      <c r="K456" s="84"/>
      <c r="M456" s="84"/>
    </row>
    <row r="457">
      <c r="A457" s="84"/>
      <c r="B457" s="193"/>
      <c r="C457" s="193"/>
      <c r="D457" s="194"/>
      <c r="E457" s="205"/>
      <c r="F457" s="193"/>
      <c r="G457" s="193"/>
      <c r="H457" s="193"/>
      <c r="I457" s="193"/>
      <c r="J457" s="193"/>
      <c r="K457" s="84"/>
      <c r="M457" s="84"/>
    </row>
    <row r="458">
      <c r="A458" s="84"/>
      <c r="B458" s="193"/>
      <c r="C458" s="193"/>
      <c r="D458" s="194"/>
      <c r="E458" s="205"/>
      <c r="F458" s="193"/>
      <c r="G458" s="193"/>
      <c r="H458" s="193"/>
      <c r="I458" s="193"/>
      <c r="J458" s="193"/>
      <c r="K458" s="84"/>
      <c r="M458" s="84"/>
    </row>
    <row r="459">
      <c r="A459" s="84"/>
      <c r="B459" s="193"/>
      <c r="C459" s="193"/>
      <c r="D459" s="194"/>
      <c r="E459" s="205"/>
      <c r="F459" s="193"/>
      <c r="G459" s="193"/>
      <c r="H459" s="193"/>
      <c r="I459" s="193"/>
      <c r="J459" s="193"/>
      <c r="K459" s="84"/>
      <c r="M459" s="84"/>
    </row>
    <row r="460">
      <c r="A460" s="84"/>
      <c r="B460" s="193"/>
      <c r="C460" s="193"/>
      <c r="D460" s="194"/>
      <c r="E460" s="205"/>
      <c r="F460" s="193"/>
      <c r="G460" s="193"/>
      <c r="H460" s="193"/>
      <c r="I460" s="193"/>
      <c r="J460" s="193"/>
      <c r="K460" s="84"/>
      <c r="M460" s="84"/>
    </row>
    <row r="461">
      <c r="A461" s="84"/>
      <c r="B461" s="193"/>
      <c r="C461" s="193"/>
      <c r="D461" s="194"/>
      <c r="E461" s="206"/>
      <c r="F461" s="193"/>
      <c r="G461" s="193"/>
      <c r="H461" s="193"/>
      <c r="I461" s="193"/>
      <c r="J461" s="193"/>
      <c r="K461" s="84"/>
      <c r="M461" s="84"/>
    </row>
    <row r="462">
      <c r="A462" s="84"/>
      <c r="B462" s="193"/>
      <c r="C462" s="193"/>
      <c r="D462" s="194"/>
      <c r="E462" s="205"/>
      <c r="F462" s="193"/>
      <c r="G462" s="193"/>
      <c r="H462" s="193"/>
      <c r="I462" s="193"/>
      <c r="J462" s="193"/>
      <c r="K462" s="84"/>
      <c r="M462" s="84"/>
    </row>
    <row r="463">
      <c r="A463" s="84"/>
      <c r="B463" s="193"/>
      <c r="C463" s="193"/>
      <c r="D463" s="194"/>
      <c r="E463" s="206"/>
      <c r="F463" s="193"/>
      <c r="G463" s="193"/>
      <c r="H463" s="193"/>
      <c r="I463" s="193"/>
      <c r="J463" s="193"/>
      <c r="K463" s="84"/>
      <c r="M463" s="84"/>
    </row>
    <row r="464">
      <c r="A464" s="84"/>
      <c r="B464" s="193"/>
      <c r="C464" s="193"/>
      <c r="D464" s="194"/>
      <c r="E464" s="205"/>
      <c r="F464" s="193"/>
      <c r="G464" s="193"/>
      <c r="H464" s="193"/>
      <c r="I464" s="193"/>
      <c r="J464" s="193"/>
      <c r="K464" s="84"/>
      <c r="M464" s="84"/>
    </row>
    <row r="465">
      <c r="A465" s="84"/>
      <c r="B465" s="193"/>
      <c r="C465" s="193"/>
      <c r="D465" s="194"/>
      <c r="E465" s="205"/>
      <c r="F465" s="193"/>
      <c r="G465" s="193"/>
      <c r="H465" s="193"/>
      <c r="I465" s="193"/>
      <c r="J465" s="193"/>
      <c r="K465" s="84"/>
      <c r="M465" s="84"/>
    </row>
    <row r="466">
      <c r="A466" s="84"/>
      <c r="B466" s="193"/>
      <c r="C466" s="193"/>
      <c r="D466" s="194"/>
      <c r="E466" s="205"/>
      <c r="F466" s="193"/>
      <c r="G466" s="193"/>
      <c r="H466" s="193"/>
      <c r="I466" s="193"/>
      <c r="J466" s="193"/>
      <c r="K466" s="84"/>
      <c r="M466" s="84"/>
    </row>
    <row r="467">
      <c r="A467" s="84"/>
      <c r="B467" s="193"/>
      <c r="C467" s="193"/>
      <c r="D467" s="194"/>
      <c r="E467" s="205"/>
      <c r="F467" s="193"/>
      <c r="G467" s="193"/>
      <c r="H467" s="193"/>
      <c r="I467" s="193"/>
      <c r="J467" s="193"/>
      <c r="K467" s="84"/>
      <c r="M467" s="84"/>
    </row>
    <row r="468">
      <c r="A468" s="84"/>
      <c r="B468" s="193"/>
      <c r="C468" s="193"/>
      <c r="D468" s="194"/>
      <c r="E468" s="205"/>
      <c r="F468" s="193"/>
      <c r="G468" s="193"/>
      <c r="H468" s="193"/>
      <c r="I468" s="193"/>
      <c r="J468" s="193"/>
      <c r="K468" s="84"/>
      <c r="M468" s="84"/>
    </row>
    <row r="469">
      <c r="A469" s="84"/>
      <c r="B469" s="193"/>
      <c r="C469" s="193"/>
      <c r="D469" s="194"/>
      <c r="E469" s="205"/>
      <c r="F469" s="193"/>
      <c r="G469" s="193"/>
      <c r="H469" s="193"/>
      <c r="I469" s="193"/>
      <c r="J469" s="193"/>
      <c r="K469" s="84"/>
      <c r="M469" s="84"/>
    </row>
    <row r="470">
      <c r="A470" s="84"/>
      <c r="B470" s="193"/>
      <c r="C470" s="193"/>
      <c r="D470" s="194"/>
      <c r="E470" s="205"/>
      <c r="F470" s="193"/>
      <c r="G470" s="193"/>
      <c r="H470" s="193"/>
      <c r="I470" s="193"/>
      <c r="J470" s="193"/>
      <c r="K470" s="84"/>
      <c r="M470" s="84"/>
    </row>
    <row r="471">
      <c r="A471" s="84"/>
      <c r="B471" s="193"/>
      <c r="C471" s="193"/>
      <c r="D471" s="194"/>
      <c r="E471" s="205"/>
      <c r="F471" s="193"/>
      <c r="G471" s="193"/>
      <c r="H471" s="193"/>
      <c r="I471" s="193"/>
      <c r="J471" s="193"/>
      <c r="K471" s="84"/>
      <c r="M471" s="84"/>
    </row>
    <row r="472">
      <c r="A472" s="84"/>
      <c r="B472" s="193"/>
      <c r="C472" s="193"/>
      <c r="D472" s="194"/>
      <c r="E472" s="206"/>
      <c r="F472" s="193"/>
      <c r="G472" s="193"/>
      <c r="H472" s="193"/>
      <c r="I472" s="193"/>
      <c r="J472" s="193"/>
      <c r="K472" s="84"/>
      <c r="M472" s="84"/>
    </row>
    <row r="473">
      <c r="A473" s="84"/>
      <c r="B473" s="193"/>
      <c r="C473" s="193"/>
      <c r="D473" s="194"/>
      <c r="E473" s="205"/>
      <c r="F473" s="193"/>
      <c r="G473" s="193"/>
      <c r="H473" s="193"/>
      <c r="I473" s="193"/>
      <c r="J473" s="193"/>
      <c r="K473" s="84"/>
      <c r="M473" s="84"/>
    </row>
    <row r="474">
      <c r="A474" s="84"/>
      <c r="B474" s="193"/>
      <c r="C474" s="193"/>
      <c r="D474" s="194"/>
      <c r="E474" s="205"/>
      <c r="F474" s="193"/>
      <c r="G474" s="193"/>
      <c r="H474" s="193"/>
      <c r="I474" s="193"/>
      <c r="J474" s="193"/>
      <c r="K474" s="84"/>
      <c r="M474" s="84"/>
    </row>
    <row r="475">
      <c r="A475" s="84"/>
      <c r="B475" s="193"/>
      <c r="C475" s="193"/>
      <c r="D475" s="194"/>
      <c r="E475" s="206"/>
      <c r="F475" s="193"/>
      <c r="G475" s="193"/>
      <c r="H475" s="193"/>
      <c r="I475" s="193"/>
      <c r="J475" s="193"/>
      <c r="K475" s="84"/>
      <c r="M475" s="84"/>
    </row>
    <row r="476">
      <c r="A476" s="84"/>
      <c r="B476" s="193"/>
      <c r="C476" s="193"/>
      <c r="D476" s="194"/>
      <c r="E476" s="206"/>
      <c r="F476" s="193"/>
      <c r="G476" s="193"/>
      <c r="H476" s="193"/>
      <c r="I476" s="193"/>
      <c r="J476" s="193"/>
      <c r="K476" s="84"/>
      <c r="M476" s="84"/>
    </row>
    <row r="477">
      <c r="A477" s="84"/>
      <c r="B477" s="193"/>
      <c r="C477" s="193"/>
      <c r="D477" s="194"/>
      <c r="E477" s="205"/>
      <c r="F477" s="193"/>
      <c r="G477" s="193"/>
      <c r="H477" s="193"/>
      <c r="I477" s="193"/>
      <c r="J477" s="193"/>
      <c r="K477" s="84"/>
      <c r="M477" s="84"/>
    </row>
    <row r="478">
      <c r="A478" s="84"/>
      <c r="B478" s="193"/>
      <c r="C478" s="193"/>
      <c r="D478" s="194"/>
      <c r="E478" s="205"/>
      <c r="F478" s="193"/>
      <c r="G478" s="193"/>
      <c r="H478" s="193"/>
      <c r="I478" s="193"/>
      <c r="J478" s="193"/>
      <c r="K478" s="84"/>
      <c r="M478" s="84"/>
    </row>
    <row r="479">
      <c r="A479" s="84"/>
      <c r="B479" s="193"/>
      <c r="C479" s="193"/>
      <c r="D479" s="194"/>
      <c r="E479" s="206"/>
      <c r="F479" s="193"/>
      <c r="G479" s="193"/>
      <c r="H479" s="193"/>
      <c r="I479" s="193"/>
      <c r="J479" s="193"/>
      <c r="K479" s="84"/>
      <c r="M479" s="84"/>
    </row>
    <row r="480">
      <c r="A480" s="84"/>
      <c r="B480" s="193"/>
      <c r="C480" s="193"/>
      <c r="D480" s="194"/>
      <c r="E480" s="206"/>
      <c r="F480" s="193"/>
      <c r="G480" s="193"/>
      <c r="H480" s="193"/>
      <c r="I480" s="193"/>
      <c r="J480" s="193"/>
      <c r="K480" s="84"/>
      <c r="M480" s="84"/>
    </row>
    <row r="481">
      <c r="A481" s="84"/>
      <c r="B481" s="193"/>
      <c r="C481" s="193"/>
      <c r="D481" s="194"/>
      <c r="E481" s="205"/>
      <c r="F481" s="193"/>
      <c r="G481" s="193"/>
      <c r="H481" s="193"/>
      <c r="I481" s="193"/>
      <c r="J481" s="193"/>
      <c r="K481" s="84"/>
      <c r="M481" s="84"/>
    </row>
    <row r="482">
      <c r="A482" s="84"/>
      <c r="B482" s="193"/>
      <c r="C482" s="193"/>
      <c r="D482" s="194"/>
      <c r="E482" s="205"/>
      <c r="F482" s="193"/>
      <c r="G482" s="193"/>
      <c r="H482" s="193"/>
      <c r="I482" s="193"/>
      <c r="J482" s="193"/>
      <c r="K482" s="84"/>
      <c r="M482" s="84"/>
    </row>
    <row r="483">
      <c r="A483" s="84"/>
      <c r="B483" s="193"/>
      <c r="C483" s="193"/>
      <c r="D483" s="194"/>
      <c r="E483" s="205"/>
      <c r="F483" s="193"/>
      <c r="G483" s="193"/>
      <c r="H483" s="193"/>
      <c r="I483" s="193"/>
      <c r="J483" s="193"/>
      <c r="K483" s="84"/>
      <c r="M483" s="84"/>
    </row>
    <row r="484">
      <c r="A484" s="84"/>
      <c r="B484" s="193"/>
      <c r="C484" s="193"/>
      <c r="D484" s="194"/>
      <c r="E484" s="205"/>
      <c r="F484" s="193"/>
      <c r="G484" s="193"/>
      <c r="H484" s="193"/>
      <c r="I484" s="193"/>
      <c r="J484" s="193"/>
      <c r="K484" s="84"/>
      <c r="M484" s="84"/>
    </row>
    <row r="485">
      <c r="A485" s="84"/>
      <c r="B485" s="193"/>
      <c r="C485" s="193"/>
      <c r="D485" s="194"/>
      <c r="E485" s="205"/>
      <c r="F485" s="193"/>
      <c r="G485" s="193"/>
      <c r="H485" s="193"/>
      <c r="I485" s="193"/>
      <c r="J485" s="193"/>
      <c r="K485" s="84"/>
      <c r="M485" s="84"/>
    </row>
    <row r="486">
      <c r="A486" s="84"/>
      <c r="B486" s="193"/>
      <c r="C486" s="193"/>
      <c r="D486" s="194"/>
      <c r="E486" s="205"/>
      <c r="F486" s="193"/>
      <c r="G486" s="193"/>
      <c r="H486" s="193"/>
      <c r="I486" s="193"/>
      <c r="J486" s="193"/>
      <c r="K486" s="84"/>
      <c r="M486" s="84"/>
    </row>
    <row r="487">
      <c r="A487" s="84"/>
      <c r="B487" s="193"/>
      <c r="C487" s="193"/>
      <c r="D487" s="194"/>
      <c r="E487" s="205"/>
      <c r="F487" s="193"/>
      <c r="G487" s="193"/>
      <c r="H487" s="193"/>
      <c r="I487" s="193"/>
      <c r="J487" s="193"/>
      <c r="K487" s="84"/>
      <c r="M487" s="84"/>
    </row>
    <row r="488">
      <c r="A488" s="84"/>
      <c r="B488" s="193"/>
      <c r="C488" s="193"/>
      <c r="D488" s="194"/>
      <c r="E488" s="206"/>
      <c r="F488" s="193"/>
      <c r="G488" s="193"/>
      <c r="H488" s="193"/>
      <c r="I488" s="193"/>
      <c r="J488" s="193"/>
      <c r="K488" s="84"/>
      <c r="M488" s="84"/>
    </row>
    <row r="489">
      <c r="A489" s="84"/>
      <c r="B489" s="193"/>
      <c r="C489" s="193"/>
      <c r="D489" s="194"/>
      <c r="E489" s="206"/>
      <c r="F489" s="193"/>
      <c r="G489" s="193"/>
      <c r="H489" s="193"/>
      <c r="I489" s="193"/>
      <c r="J489" s="193"/>
      <c r="K489" s="84"/>
      <c r="M489" s="84"/>
    </row>
    <row r="490">
      <c r="A490" s="84"/>
      <c r="B490" s="193"/>
      <c r="C490" s="193"/>
      <c r="D490" s="194"/>
      <c r="E490" s="205"/>
      <c r="F490" s="193"/>
      <c r="G490" s="193"/>
      <c r="H490" s="193"/>
      <c r="I490" s="193"/>
      <c r="J490" s="193"/>
      <c r="K490" s="84"/>
      <c r="M490" s="84"/>
    </row>
    <row r="491">
      <c r="A491" s="84"/>
      <c r="B491" s="193"/>
      <c r="C491" s="193"/>
      <c r="D491" s="194"/>
      <c r="E491" s="205"/>
      <c r="F491" s="193"/>
      <c r="G491" s="193"/>
      <c r="H491" s="193"/>
      <c r="I491" s="193"/>
      <c r="J491" s="193"/>
      <c r="K491" s="84"/>
      <c r="M491" s="84"/>
    </row>
    <row r="492">
      <c r="A492" s="84"/>
      <c r="B492" s="193"/>
      <c r="C492" s="193"/>
      <c r="D492" s="194"/>
      <c r="E492" s="205"/>
      <c r="F492" s="193"/>
      <c r="G492" s="193"/>
      <c r="H492" s="193"/>
      <c r="I492" s="193"/>
      <c r="J492" s="193"/>
      <c r="K492" s="84"/>
      <c r="M492" s="84"/>
    </row>
    <row r="493">
      <c r="A493" s="84"/>
      <c r="B493" s="193"/>
      <c r="C493" s="193"/>
      <c r="D493" s="194"/>
      <c r="E493" s="205"/>
      <c r="F493" s="193"/>
      <c r="G493" s="193"/>
      <c r="H493" s="193"/>
      <c r="I493" s="193"/>
      <c r="J493" s="193"/>
      <c r="K493" s="84"/>
      <c r="M493" s="84"/>
    </row>
    <row r="494">
      <c r="A494" s="84"/>
      <c r="B494" s="193"/>
      <c r="C494" s="193"/>
      <c r="D494" s="194"/>
      <c r="E494" s="206"/>
      <c r="F494" s="193"/>
      <c r="G494" s="193"/>
      <c r="H494" s="193"/>
      <c r="I494" s="193"/>
      <c r="J494" s="193"/>
      <c r="K494" s="84"/>
      <c r="M494" s="84"/>
    </row>
    <row r="495">
      <c r="A495" s="84"/>
      <c r="B495" s="193"/>
      <c r="C495" s="193"/>
      <c r="D495" s="194"/>
      <c r="E495" s="206"/>
      <c r="F495" s="193"/>
      <c r="G495" s="193"/>
      <c r="H495" s="193"/>
      <c r="I495" s="193"/>
      <c r="J495" s="193"/>
      <c r="K495" s="84"/>
      <c r="M495" s="84"/>
    </row>
    <row r="496">
      <c r="A496" s="84"/>
      <c r="B496" s="193"/>
      <c r="C496" s="193"/>
      <c r="D496" s="194"/>
      <c r="E496" s="206"/>
      <c r="F496" s="193"/>
      <c r="G496" s="193"/>
      <c r="H496" s="193"/>
      <c r="I496" s="193"/>
      <c r="J496" s="193"/>
      <c r="K496" s="84"/>
      <c r="M496" s="84"/>
    </row>
    <row r="497">
      <c r="A497" s="84"/>
      <c r="B497" s="193"/>
      <c r="C497" s="193"/>
      <c r="D497" s="194"/>
      <c r="E497" s="205"/>
      <c r="F497" s="193"/>
      <c r="G497" s="193"/>
      <c r="H497" s="193"/>
      <c r="I497" s="193"/>
      <c r="J497" s="193"/>
      <c r="K497" s="84"/>
      <c r="M497" s="84"/>
    </row>
    <row r="498">
      <c r="A498" s="84"/>
      <c r="B498" s="193"/>
      <c r="C498" s="193"/>
      <c r="D498" s="194"/>
      <c r="E498" s="206"/>
      <c r="F498" s="193"/>
      <c r="G498" s="193"/>
      <c r="H498" s="193"/>
      <c r="I498" s="193"/>
      <c r="J498" s="193"/>
      <c r="K498" s="84"/>
      <c r="M498" s="84"/>
    </row>
    <row r="499">
      <c r="A499" s="84"/>
      <c r="B499" s="193"/>
      <c r="C499" s="193"/>
      <c r="D499" s="194"/>
      <c r="E499" s="205"/>
      <c r="F499" s="193"/>
      <c r="G499" s="193"/>
      <c r="H499" s="193"/>
      <c r="I499" s="193"/>
      <c r="J499" s="193"/>
      <c r="K499" s="84"/>
      <c r="M499" s="84"/>
    </row>
    <row r="500">
      <c r="A500" s="84"/>
      <c r="B500" s="193"/>
      <c r="C500" s="193"/>
      <c r="D500" s="194"/>
      <c r="E500" s="206"/>
      <c r="F500" s="193"/>
      <c r="G500" s="193"/>
      <c r="H500" s="193"/>
      <c r="I500" s="193"/>
      <c r="J500" s="193"/>
      <c r="K500" s="84"/>
      <c r="M500" s="84"/>
    </row>
    <row r="501">
      <c r="A501" s="84"/>
      <c r="B501" s="193"/>
      <c r="C501" s="193"/>
      <c r="D501" s="194"/>
      <c r="E501" s="205"/>
      <c r="F501" s="193"/>
      <c r="G501" s="193"/>
      <c r="H501" s="193"/>
      <c r="I501" s="193"/>
      <c r="J501" s="193"/>
      <c r="K501" s="84"/>
      <c r="M501" s="84"/>
    </row>
    <row r="502">
      <c r="A502" s="84"/>
      <c r="B502" s="193"/>
      <c r="C502" s="193"/>
      <c r="D502" s="194"/>
      <c r="E502" s="206"/>
      <c r="F502" s="193"/>
      <c r="G502" s="193"/>
      <c r="H502" s="193"/>
      <c r="I502" s="193"/>
      <c r="J502" s="193"/>
      <c r="K502" s="84"/>
      <c r="M502" s="84"/>
    </row>
    <row r="503">
      <c r="A503" s="84"/>
      <c r="B503" s="193"/>
      <c r="C503" s="193"/>
      <c r="D503" s="194"/>
      <c r="E503" s="206"/>
      <c r="F503" s="193"/>
      <c r="G503" s="193"/>
      <c r="H503" s="193"/>
      <c r="I503" s="193"/>
      <c r="J503" s="193"/>
      <c r="K503" s="84"/>
      <c r="M503" s="84"/>
    </row>
    <row r="504">
      <c r="A504" s="84"/>
      <c r="B504" s="193"/>
      <c r="C504" s="193"/>
      <c r="D504" s="194"/>
      <c r="E504" s="206"/>
      <c r="F504" s="193"/>
      <c r="G504" s="193"/>
      <c r="H504" s="193"/>
      <c r="I504" s="193"/>
      <c r="J504" s="193"/>
      <c r="K504" s="84"/>
      <c r="M504" s="84"/>
    </row>
    <row r="505">
      <c r="A505" s="84"/>
      <c r="B505" s="193"/>
      <c r="C505" s="193"/>
      <c r="D505" s="194"/>
      <c r="E505" s="206"/>
      <c r="F505" s="193"/>
      <c r="G505" s="193"/>
      <c r="H505" s="193"/>
      <c r="I505" s="193"/>
      <c r="J505" s="193"/>
      <c r="K505" s="84"/>
      <c r="M505" s="84"/>
    </row>
    <row r="506">
      <c r="A506" s="84"/>
      <c r="B506" s="193"/>
      <c r="C506" s="193"/>
      <c r="D506" s="194"/>
      <c r="E506" s="205"/>
      <c r="F506" s="193"/>
      <c r="G506" s="193"/>
      <c r="H506" s="193"/>
      <c r="I506" s="193"/>
      <c r="J506" s="193"/>
      <c r="K506" s="84"/>
      <c r="M506" s="84"/>
    </row>
    <row r="507">
      <c r="A507" s="84"/>
      <c r="B507" s="193"/>
      <c r="C507" s="193"/>
      <c r="D507" s="194"/>
      <c r="E507" s="205"/>
      <c r="F507" s="193"/>
      <c r="G507" s="193"/>
      <c r="H507" s="193"/>
      <c r="I507" s="193"/>
      <c r="J507" s="193"/>
      <c r="K507" s="84"/>
      <c r="M507" s="84"/>
    </row>
    <row r="508">
      <c r="A508" s="84"/>
      <c r="B508" s="193"/>
      <c r="C508" s="193"/>
      <c r="D508" s="194"/>
      <c r="E508" s="205"/>
      <c r="F508" s="193"/>
      <c r="G508" s="193"/>
      <c r="H508" s="193"/>
      <c r="I508" s="193"/>
      <c r="J508" s="193"/>
      <c r="K508" s="84"/>
      <c r="M508" s="84"/>
    </row>
    <row r="509">
      <c r="A509" s="84"/>
      <c r="B509" s="193"/>
      <c r="C509" s="193"/>
      <c r="D509" s="194"/>
      <c r="E509" s="205"/>
      <c r="F509" s="193"/>
      <c r="G509" s="193"/>
      <c r="H509" s="193"/>
      <c r="I509" s="193"/>
      <c r="J509" s="193"/>
      <c r="K509" s="84"/>
      <c r="M509" s="84"/>
    </row>
    <row r="510">
      <c r="A510" s="84"/>
      <c r="B510" s="193"/>
      <c r="C510" s="193"/>
      <c r="D510" s="194"/>
      <c r="E510" s="205"/>
      <c r="F510" s="193"/>
      <c r="G510" s="193"/>
      <c r="H510" s="193"/>
      <c r="I510" s="193"/>
      <c r="J510" s="193"/>
      <c r="K510" s="84"/>
      <c r="M510" s="84"/>
    </row>
    <row r="511">
      <c r="A511" s="84"/>
      <c r="B511" s="193"/>
      <c r="C511" s="193"/>
      <c r="D511" s="194"/>
      <c r="E511" s="205"/>
      <c r="F511" s="193"/>
      <c r="G511" s="193"/>
      <c r="H511" s="193"/>
      <c r="I511" s="193"/>
      <c r="J511" s="193"/>
      <c r="K511" s="84"/>
      <c r="M511" s="84"/>
    </row>
    <row r="512">
      <c r="A512" s="84"/>
      <c r="B512" s="193"/>
      <c r="C512" s="193"/>
      <c r="D512" s="194"/>
      <c r="E512" s="206"/>
      <c r="F512" s="193"/>
      <c r="G512" s="193"/>
      <c r="H512" s="193"/>
      <c r="I512" s="193"/>
      <c r="J512" s="193"/>
      <c r="K512" s="84"/>
      <c r="M512" s="84"/>
    </row>
    <row r="513">
      <c r="A513" s="84"/>
      <c r="B513" s="193"/>
      <c r="C513" s="193"/>
      <c r="D513" s="194"/>
      <c r="E513" s="205"/>
      <c r="F513" s="193"/>
      <c r="G513" s="193"/>
      <c r="H513" s="193"/>
      <c r="I513" s="193"/>
      <c r="J513" s="193"/>
      <c r="K513" s="84"/>
      <c r="M513" s="84"/>
    </row>
    <row r="514">
      <c r="A514" s="84"/>
      <c r="B514" s="193"/>
      <c r="C514" s="193"/>
      <c r="D514" s="194"/>
      <c r="E514" s="205"/>
      <c r="F514" s="193"/>
      <c r="G514" s="193"/>
      <c r="H514" s="193"/>
      <c r="I514" s="193"/>
      <c r="J514" s="193"/>
      <c r="K514" s="84"/>
      <c r="M514" s="84"/>
    </row>
    <row r="515">
      <c r="A515" s="84"/>
      <c r="B515" s="193"/>
      <c r="C515" s="193"/>
      <c r="D515" s="194"/>
      <c r="E515" s="205"/>
      <c r="F515" s="193"/>
      <c r="G515" s="193"/>
      <c r="H515" s="193"/>
      <c r="I515" s="193"/>
      <c r="J515" s="193"/>
      <c r="K515" s="84"/>
      <c r="M515" s="84"/>
    </row>
    <row r="516">
      <c r="A516" s="84"/>
      <c r="B516" s="193"/>
      <c r="C516" s="193"/>
      <c r="D516" s="194"/>
      <c r="E516" s="206"/>
      <c r="F516" s="193"/>
      <c r="G516" s="193"/>
      <c r="H516" s="193"/>
      <c r="I516" s="193"/>
      <c r="J516" s="193"/>
      <c r="K516" s="84"/>
      <c r="M516" s="84"/>
    </row>
    <row r="517">
      <c r="A517" s="84"/>
      <c r="B517" s="193"/>
      <c r="C517" s="193"/>
      <c r="D517" s="194"/>
      <c r="E517" s="205"/>
      <c r="F517" s="193"/>
      <c r="G517" s="193"/>
      <c r="H517" s="193"/>
      <c r="I517" s="193"/>
      <c r="J517" s="193"/>
      <c r="K517" s="84"/>
      <c r="M517" s="84"/>
    </row>
    <row r="518">
      <c r="A518" s="84"/>
      <c r="B518" s="193"/>
      <c r="C518" s="193"/>
      <c r="D518" s="194"/>
      <c r="E518" s="205"/>
      <c r="F518" s="193"/>
      <c r="G518" s="193"/>
      <c r="H518" s="193"/>
      <c r="I518" s="193"/>
      <c r="J518" s="193"/>
      <c r="K518" s="84"/>
      <c r="M518" s="84"/>
    </row>
    <row r="519">
      <c r="A519" s="84"/>
      <c r="B519" s="193"/>
      <c r="C519" s="193"/>
      <c r="D519" s="194"/>
      <c r="E519" s="205"/>
      <c r="F519" s="193"/>
      <c r="G519" s="193"/>
      <c r="H519" s="193"/>
      <c r="I519" s="193"/>
      <c r="J519" s="193"/>
      <c r="K519" s="84"/>
      <c r="M519" s="84"/>
    </row>
    <row r="520">
      <c r="A520" s="84"/>
      <c r="B520" s="193"/>
      <c r="C520" s="193"/>
      <c r="D520" s="194"/>
      <c r="E520" s="205"/>
      <c r="F520" s="193"/>
      <c r="G520" s="193"/>
      <c r="H520" s="193"/>
      <c r="I520" s="193"/>
      <c r="J520" s="193"/>
      <c r="K520" s="84"/>
      <c r="M520" s="84"/>
    </row>
    <row r="521">
      <c r="A521" s="84"/>
      <c r="B521" s="193"/>
      <c r="C521" s="193"/>
      <c r="D521" s="194"/>
      <c r="E521" s="206"/>
      <c r="F521" s="193"/>
      <c r="G521" s="193"/>
      <c r="H521" s="193"/>
      <c r="I521" s="193"/>
      <c r="J521" s="193"/>
      <c r="K521" s="84"/>
      <c r="M521" s="84"/>
    </row>
    <row r="522">
      <c r="A522" s="84"/>
      <c r="B522" s="193"/>
      <c r="C522" s="193"/>
      <c r="D522" s="194"/>
      <c r="E522" s="206"/>
      <c r="F522" s="193"/>
      <c r="G522" s="193"/>
      <c r="H522" s="193"/>
      <c r="I522" s="193"/>
      <c r="J522" s="193"/>
      <c r="K522" s="84"/>
      <c r="M522" s="84"/>
    </row>
    <row r="523">
      <c r="A523" s="84"/>
      <c r="B523" s="193"/>
      <c r="C523" s="193"/>
      <c r="D523" s="194"/>
      <c r="E523" s="205"/>
      <c r="F523" s="193"/>
      <c r="G523" s="193"/>
      <c r="H523" s="193"/>
      <c r="I523" s="193"/>
      <c r="J523" s="193"/>
      <c r="K523" s="84"/>
      <c r="M523" s="84"/>
    </row>
    <row r="524">
      <c r="A524" s="84"/>
      <c r="B524" s="193"/>
      <c r="C524" s="193"/>
      <c r="D524" s="194"/>
      <c r="E524" s="206"/>
      <c r="F524" s="193"/>
      <c r="G524" s="193"/>
      <c r="H524" s="193"/>
      <c r="I524" s="193"/>
      <c r="J524" s="193"/>
      <c r="K524" s="84"/>
      <c r="M524" s="84"/>
    </row>
    <row r="525">
      <c r="A525" s="84"/>
      <c r="B525" s="193"/>
      <c r="C525" s="193"/>
      <c r="D525" s="194"/>
      <c r="E525" s="205"/>
      <c r="F525" s="193"/>
      <c r="G525" s="193"/>
      <c r="H525" s="193"/>
      <c r="I525" s="193"/>
      <c r="J525" s="193"/>
      <c r="K525" s="84"/>
      <c r="M525" s="84"/>
    </row>
    <row r="526">
      <c r="A526" s="84"/>
      <c r="B526" s="193"/>
      <c r="C526" s="193"/>
      <c r="D526" s="194"/>
      <c r="E526" s="206"/>
      <c r="F526" s="193"/>
      <c r="G526" s="193"/>
      <c r="H526" s="193"/>
      <c r="I526" s="193"/>
      <c r="J526" s="193"/>
      <c r="K526" s="84"/>
      <c r="M526" s="84"/>
    </row>
    <row r="527">
      <c r="A527" s="84"/>
      <c r="B527" s="193"/>
      <c r="C527" s="193"/>
      <c r="D527" s="194"/>
      <c r="E527" s="205"/>
      <c r="F527" s="193"/>
      <c r="G527" s="193"/>
      <c r="H527" s="193"/>
      <c r="I527" s="193"/>
      <c r="J527" s="193"/>
      <c r="K527" s="84"/>
      <c r="M527" s="84"/>
    </row>
    <row r="528">
      <c r="A528" s="84"/>
      <c r="B528" s="193"/>
      <c r="C528" s="193"/>
      <c r="D528" s="194"/>
      <c r="E528" s="205"/>
      <c r="F528" s="193"/>
      <c r="G528" s="193"/>
      <c r="H528" s="193"/>
      <c r="I528" s="193"/>
      <c r="J528" s="193"/>
      <c r="K528" s="84"/>
      <c r="M528" s="84"/>
    </row>
    <row r="529">
      <c r="A529" s="84"/>
      <c r="B529" s="193"/>
      <c r="C529" s="193"/>
      <c r="D529" s="194"/>
      <c r="E529" s="205"/>
      <c r="F529" s="193"/>
      <c r="G529" s="193"/>
      <c r="H529" s="193"/>
      <c r="I529" s="193"/>
      <c r="J529" s="193"/>
      <c r="K529" s="84"/>
      <c r="M529" s="84"/>
    </row>
    <row r="530">
      <c r="A530" s="84"/>
      <c r="B530" s="193"/>
      <c r="C530" s="193"/>
      <c r="D530" s="194"/>
      <c r="E530" s="205"/>
      <c r="F530" s="193"/>
      <c r="G530" s="193"/>
      <c r="H530" s="193"/>
      <c r="I530" s="193"/>
      <c r="J530" s="193"/>
      <c r="K530" s="84"/>
      <c r="M530" s="84"/>
    </row>
    <row r="531">
      <c r="A531" s="84"/>
      <c r="B531" s="193"/>
      <c r="C531" s="193"/>
      <c r="D531" s="194"/>
      <c r="E531" s="205"/>
      <c r="F531" s="193"/>
      <c r="G531" s="193"/>
      <c r="H531" s="193"/>
      <c r="I531" s="193"/>
      <c r="J531" s="193"/>
      <c r="K531" s="84"/>
      <c r="M531" s="84"/>
    </row>
    <row r="532">
      <c r="A532" s="84"/>
      <c r="B532" s="193"/>
      <c r="C532" s="193"/>
      <c r="D532" s="194"/>
      <c r="E532" s="206"/>
      <c r="F532" s="193"/>
      <c r="G532" s="193"/>
      <c r="H532" s="193"/>
      <c r="I532" s="193"/>
      <c r="J532" s="193"/>
      <c r="K532" s="84"/>
      <c r="M532" s="84"/>
    </row>
    <row r="533">
      <c r="A533" s="84"/>
      <c r="B533" s="193"/>
      <c r="C533" s="193"/>
      <c r="D533" s="194"/>
      <c r="E533" s="205"/>
      <c r="F533" s="193"/>
      <c r="G533" s="193"/>
      <c r="H533" s="193"/>
      <c r="I533" s="193"/>
      <c r="J533" s="193"/>
      <c r="K533" s="84"/>
      <c r="M533" s="84"/>
    </row>
    <row r="534">
      <c r="A534" s="84"/>
      <c r="B534" s="193"/>
      <c r="C534" s="193"/>
      <c r="D534" s="193"/>
      <c r="E534" s="208"/>
      <c r="F534" s="193"/>
      <c r="G534" s="193"/>
      <c r="H534" s="193"/>
      <c r="I534" s="193"/>
      <c r="J534" s="193"/>
      <c r="K534" s="84"/>
      <c r="M534" s="84"/>
    </row>
    <row r="535">
      <c r="A535" s="84"/>
      <c r="B535" s="193"/>
      <c r="C535" s="193"/>
      <c r="D535" s="194"/>
      <c r="E535" s="205"/>
      <c r="F535" s="193"/>
      <c r="G535" s="193"/>
      <c r="H535" s="193"/>
      <c r="I535" s="193"/>
      <c r="J535" s="193"/>
      <c r="K535" s="84"/>
      <c r="M535" s="84"/>
    </row>
    <row r="536">
      <c r="A536" s="84"/>
      <c r="B536" s="193"/>
      <c r="C536" s="193"/>
      <c r="D536" s="194"/>
      <c r="E536" s="205"/>
      <c r="F536" s="193"/>
      <c r="G536" s="193"/>
      <c r="H536" s="193"/>
      <c r="I536" s="193"/>
      <c r="J536" s="193"/>
      <c r="K536" s="84"/>
      <c r="M536" s="84"/>
    </row>
    <row r="537">
      <c r="A537" s="84"/>
      <c r="B537" s="193"/>
      <c r="C537" s="193"/>
      <c r="D537" s="194"/>
      <c r="E537" s="206"/>
      <c r="F537" s="193"/>
      <c r="G537" s="193"/>
      <c r="H537" s="193"/>
      <c r="I537" s="193"/>
      <c r="J537" s="193"/>
      <c r="K537" s="84"/>
      <c r="M537" s="84"/>
    </row>
    <row r="538">
      <c r="A538" s="84"/>
      <c r="B538" s="193"/>
      <c r="C538" s="193"/>
      <c r="D538" s="194"/>
      <c r="E538" s="205"/>
      <c r="F538" s="193"/>
      <c r="G538" s="193"/>
      <c r="H538" s="193"/>
      <c r="I538" s="193"/>
      <c r="J538" s="193"/>
      <c r="K538" s="84"/>
      <c r="M538" s="84"/>
    </row>
    <row r="539">
      <c r="A539" s="84"/>
      <c r="B539" s="193"/>
      <c r="C539" s="193"/>
      <c r="D539" s="194"/>
      <c r="E539" s="205"/>
      <c r="F539" s="193"/>
      <c r="G539" s="193"/>
      <c r="H539" s="193"/>
      <c r="I539" s="193"/>
      <c r="J539" s="193"/>
      <c r="K539" s="84"/>
      <c r="M539" s="84"/>
    </row>
    <row r="540">
      <c r="A540" s="84"/>
      <c r="B540" s="193"/>
      <c r="C540" s="193"/>
      <c r="D540" s="194"/>
      <c r="E540" s="206"/>
      <c r="F540" s="193"/>
      <c r="G540" s="193"/>
      <c r="H540" s="193"/>
      <c r="I540" s="193"/>
      <c r="J540" s="193"/>
      <c r="K540" s="84"/>
      <c r="M540" s="84"/>
    </row>
    <row r="541">
      <c r="A541" s="84"/>
      <c r="B541" s="193"/>
      <c r="C541" s="193"/>
      <c r="D541" s="194"/>
      <c r="E541" s="205"/>
      <c r="F541" s="193"/>
      <c r="G541" s="193"/>
      <c r="H541" s="193"/>
      <c r="I541" s="193"/>
      <c r="J541" s="193"/>
      <c r="K541" s="84"/>
      <c r="M541" s="84"/>
    </row>
    <row r="542">
      <c r="A542" s="84"/>
      <c r="B542" s="193"/>
      <c r="C542" s="193"/>
      <c r="D542" s="194"/>
      <c r="E542" s="206"/>
      <c r="F542" s="193"/>
      <c r="G542" s="193"/>
      <c r="H542" s="193"/>
      <c r="I542" s="193"/>
      <c r="J542" s="193"/>
      <c r="K542" s="84"/>
      <c r="M542" s="84"/>
    </row>
    <row r="543">
      <c r="A543" s="84"/>
      <c r="B543" s="193"/>
      <c r="C543" s="193"/>
      <c r="D543" s="194"/>
      <c r="E543" s="205"/>
      <c r="F543" s="193"/>
      <c r="G543" s="193"/>
      <c r="H543" s="193"/>
      <c r="I543" s="193"/>
      <c r="J543" s="193"/>
      <c r="K543" s="84"/>
      <c r="M543" s="84"/>
    </row>
    <row r="544">
      <c r="A544" s="84"/>
      <c r="B544" s="193"/>
      <c r="C544" s="193"/>
      <c r="D544" s="194"/>
      <c r="E544" s="205"/>
      <c r="F544" s="193"/>
      <c r="G544" s="193"/>
      <c r="H544" s="193"/>
      <c r="I544" s="193"/>
      <c r="J544" s="193"/>
      <c r="K544" s="84"/>
      <c r="M544" s="84"/>
    </row>
    <row r="545">
      <c r="A545" s="84"/>
      <c r="B545" s="193"/>
      <c r="C545" s="193"/>
      <c r="D545" s="194"/>
      <c r="E545" s="205"/>
      <c r="F545" s="193"/>
      <c r="G545" s="193"/>
      <c r="H545" s="193"/>
      <c r="I545" s="193"/>
      <c r="J545" s="193"/>
      <c r="K545" s="84"/>
      <c r="M545" s="84"/>
    </row>
    <row r="546">
      <c r="A546" s="84"/>
      <c r="B546" s="193"/>
      <c r="C546" s="193"/>
      <c r="D546" s="193"/>
      <c r="E546" s="205"/>
      <c r="F546" s="193"/>
      <c r="G546" s="193"/>
      <c r="H546" s="193"/>
      <c r="I546" s="193"/>
      <c r="J546" s="193"/>
      <c r="K546" s="84"/>
      <c r="M546" s="84"/>
    </row>
    <row r="547">
      <c r="A547" s="84"/>
      <c r="B547" s="193"/>
      <c r="C547" s="193"/>
      <c r="D547" s="193"/>
      <c r="E547" s="205"/>
      <c r="F547" s="193"/>
      <c r="G547" s="193"/>
      <c r="H547" s="193"/>
      <c r="I547" s="193"/>
      <c r="J547" s="193"/>
      <c r="K547" s="84"/>
      <c r="M547" s="84"/>
    </row>
    <row r="548">
      <c r="A548" s="84"/>
      <c r="B548" s="193"/>
      <c r="C548" s="193"/>
      <c r="D548" s="193"/>
      <c r="E548" s="205"/>
      <c r="F548" s="193"/>
      <c r="G548" s="193"/>
      <c r="H548" s="193"/>
      <c r="I548" s="193"/>
      <c r="J548" s="193"/>
      <c r="K548" s="84"/>
      <c r="M548" s="84"/>
    </row>
    <row r="549">
      <c r="A549" s="84"/>
      <c r="B549" s="193"/>
      <c r="C549" s="193"/>
      <c r="D549" s="193"/>
      <c r="E549" s="205"/>
      <c r="F549" s="193"/>
      <c r="G549" s="193"/>
      <c r="H549" s="193"/>
      <c r="I549" s="193"/>
      <c r="J549" s="193"/>
      <c r="K549" s="84"/>
      <c r="M549" s="84"/>
    </row>
    <row r="550">
      <c r="A550" s="84"/>
      <c r="B550" s="193"/>
      <c r="C550" s="193"/>
      <c r="D550" s="193"/>
      <c r="E550" s="205"/>
      <c r="F550" s="193"/>
      <c r="G550" s="193"/>
      <c r="H550" s="193"/>
      <c r="I550" s="193"/>
      <c r="J550" s="193"/>
      <c r="K550" s="84"/>
      <c r="M550" s="84"/>
    </row>
    <row r="551">
      <c r="A551" s="84"/>
      <c r="B551" s="193"/>
      <c r="C551" s="193"/>
      <c r="D551" s="193"/>
      <c r="E551" s="205"/>
      <c r="F551" s="193"/>
      <c r="G551" s="193"/>
      <c r="H551" s="193"/>
      <c r="I551" s="193"/>
      <c r="J551" s="193"/>
      <c r="K551" s="84"/>
      <c r="M551" s="84"/>
    </row>
    <row r="552">
      <c r="A552" s="84"/>
      <c r="B552" s="193"/>
      <c r="C552" s="193"/>
      <c r="D552" s="193"/>
      <c r="E552" s="205"/>
      <c r="F552" s="193"/>
      <c r="G552" s="193"/>
      <c r="H552" s="193"/>
      <c r="I552" s="193"/>
      <c r="J552" s="193"/>
      <c r="K552" s="84"/>
      <c r="M552" s="84"/>
    </row>
    <row r="553">
      <c r="A553" s="84"/>
      <c r="B553" s="193"/>
      <c r="C553" s="193"/>
      <c r="D553" s="193"/>
      <c r="E553" s="205"/>
      <c r="F553" s="193"/>
      <c r="G553" s="193"/>
      <c r="H553" s="193"/>
      <c r="I553" s="193"/>
      <c r="J553" s="193"/>
      <c r="K553" s="84"/>
      <c r="M553" s="84"/>
    </row>
    <row r="554">
      <c r="A554" s="84"/>
      <c r="B554" s="193"/>
      <c r="C554" s="193"/>
      <c r="D554" s="193"/>
      <c r="E554" s="205"/>
      <c r="F554" s="193"/>
      <c r="G554" s="193"/>
      <c r="H554" s="193"/>
      <c r="I554" s="193"/>
      <c r="J554" s="193"/>
      <c r="K554" s="84"/>
      <c r="M554" s="84"/>
    </row>
    <row r="555">
      <c r="A555" s="84"/>
      <c r="B555" s="193"/>
      <c r="C555" s="193"/>
      <c r="D555" s="193"/>
      <c r="E555" s="205"/>
      <c r="F555" s="193"/>
      <c r="G555" s="193"/>
      <c r="H555" s="193"/>
      <c r="I555" s="193"/>
      <c r="J555" s="193"/>
      <c r="K555" s="84"/>
      <c r="M555" s="84"/>
    </row>
    <row r="556">
      <c r="A556" s="84"/>
      <c r="B556" s="193"/>
      <c r="C556" s="193"/>
      <c r="D556" s="194"/>
      <c r="E556" s="205"/>
      <c r="F556" s="193"/>
      <c r="G556" s="193"/>
      <c r="H556" s="193"/>
      <c r="I556" s="193"/>
      <c r="J556" s="193"/>
      <c r="K556" s="84"/>
      <c r="M556" s="84"/>
    </row>
    <row r="557">
      <c r="A557" s="84"/>
      <c r="B557" s="193"/>
      <c r="C557" s="193"/>
      <c r="D557" s="194"/>
      <c r="E557" s="206"/>
      <c r="F557" s="193"/>
      <c r="G557" s="193"/>
      <c r="H557" s="193"/>
      <c r="I557" s="193"/>
      <c r="J557" s="193"/>
      <c r="K557" s="84"/>
      <c r="M557" s="84"/>
    </row>
    <row r="558">
      <c r="A558" s="84"/>
      <c r="B558" s="193"/>
      <c r="C558" s="193"/>
      <c r="D558" s="194"/>
      <c r="E558" s="206"/>
      <c r="F558" s="193"/>
      <c r="G558" s="193"/>
      <c r="H558" s="193"/>
      <c r="I558" s="193"/>
      <c r="J558" s="193"/>
      <c r="K558" s="84"/>
      <c r="M558" s="84"/>
    </row>
    <row r="559">
      <c r="A559" s="84"/>
      <c r="B559" s="193"/>
      <c r="C559" s="193"/>
      <c r="D559" s="194"/>
      <c r="E559" s="205"/>
      <c r="F559" s="193"/>
      <c r="G559" s="193"/>
      <c r="H559" s="193"/>
      <c r="I559" s="193"/>
      <c r="J559" s="193"/>
      <c r="K559" s="84"/>
      <c r="M559" s="84"/>
    </row>
    <row r="560">
      <c r="A560" s="84"/>
      <c r="B560" s="193"/>
      <c r="C560" s="193"/>
      <c r="D560" s="194"/>
      <c r="E560" s="206"/>
      <c r="F560" s="193"/>
      <c r="G560" s="193"/>
      <c r="H560" s="193"/>
      <c r="I560" s="193"/>
      <c r="J560" s="193"/>
      <c r="K560" s="84"/>
      <c r="M560" s="84"/>
    </row>
    <row r="561">
      <c r="A561" s="84"/>
      <c r="B561" s="193"/>
      <c r="C561" s="193"/>
      <c r="D561" s="194"/>
      <c r="E561" s="205"/>
      <c r="F561" s="193"/>
      <c r="G561" s="193"/>
      <c r="H561" s="193"/>
      <c r="I561" s="193"/>
      <c r="J561" s="193"/>
      <c r="K561" s="84"/>
      <c r="M561" s="84"/>
    </row>
    <row r="562">
      <c r="A562" s="84"/>
      <c r="B562" s="193"/>
      <c r="C562" s="193"/>
      <c r="D562" s="194"/>
      <c r="E562" s="206"/>
      <c r="F562" s="193"/>
      <c r="G562" s="193"/>
      <c r="H562" s="193"/>
      <c r="I562" s="193"/>
      <c r="J562" s="193"/>
      <c r="K562" s="84"/>
      <c r="M562" s="84"/>
    </row>
    <row r="563">
      <c r="A563" s="84"/>
      <c r="B563" s="193"/>
      <c r="C563" s="193"/>
      <c r="D563" s="194"/>
      <c r="E563" s="205"/>
      <c r="F563" s="193"/>
      <c r="G563" s="193"/>
      <c r="H563" s="193"/>
      <c r="I563" s="193"/>
      <c r="J563" s="193"/>
      <c r="K563" s="84"/>
      <c r="M563" s="84"/>
    </row>
    <row r="564">
      <c r="A564" s="84"/>
      <c r="B564" s="193"/>
      <c r="C564" s="193"/>
      <c r="D564" s="194"/>
      <c r="E564" s="205"/>
      <c r="F564" s="193"/>
      <c r="G564" s="193"/>
      <c r="H564" s="193"/>
      <c r="I564" s="193"/>
      <c r="J564" s="193"/>
      <c r="K564" s="84"/>
      <c r="M564" s="84"/>
    </row>
    <row r="565">
      <c r="A565" s="84"/>
      <c r="B565" s="193"/>
      <c r="C565" s="193"/>
      <c r="D565" s="194"/>
      <c r="E565" s="205"/>
      <c r="F565" s="193"/>
      <c r="G565" s="193"/>
      <c r="H565" s="193"/>
      <c r="I565" s="193"/>
      <c r="J565" s="193"/>
      <c r="K565" s="84"/>
      <c r="M565" s="84"/>
    </row>
    <row r="566">
      <c r="A566" s="84"/>
      <c r="B566" s="193"/>
      <c r="C566" s="193"/>
      <c r="D566" s="194"/>
      <c r="E566" s="206"/>
      <c r="F566" s="193"/>
      <c r="G566" s="193"/>
      <c r="H566" s="193"/>
      <c r="I566" s="193"/>
      <c r="J566" s="193"/>
      <c r="K566" s="84"/>
      <c r="M566" s="84"/>
    </row>
    <row r="567">
      <c r="A567" s="84"/>
      <c r="B567" s="193"/>
      <c r="C567" s="193"/>
      <c r="D567" s="194"/>
      <c r="E567" s="205"/>
      <c r="F567" s="193"/>
      <c r="G567" s="193"/>
      <c r="H567" s="193"/>
      <c r="I567" s="193"/>
      <c r="J567" s="193"/>
      <c r="K567" s="84"/>
      <c r="M567" s="84"/>
    </row>
    <row r="568">
      <c r="A568" s="84"/>
      <c r="B568" s="193"/>
      <c r="C568" s="193"/>
      <c r="D568" s="194"/>
      <c r="E568" s="206"/>
      <c r="F568" s="193"/>
      <c r="G568" s="193"/>
      <c r="H568" s="193"/>
      <c r="I568" s="193"/>
      <c r="J568" s="193"/>
      <c r="K568" s="84"/>
      <c r="M568" s="84"/>
    </row>
    <row r="569">
      <c r="A569" s="84"/>
      <c r="B569" s="193"/>
      <c r="C569" s="193"/>
      <c r="D569" s="194"/>
      <c r="E569" s="206"/>
      <c r="F569" s="193"/>
      <c r="G569" s="193"/>
      <c r="H569" s="193"/>
      <c r="I569" s="193"/>
      <c r="J569" s="193"/>
      <c r="K569" s="84"/>
      <c r="M569" s="84"/>
    </row>
    <row r="570">
      <c r="A570" s="84"/>
      <c r="B570" s="193"/>
      <c r="C570" s="193"/>
      <c r="D570" s="194"/>
      <c r="E570" s="206"/>
      <c r="F570" s="193"/>
      <c r="G570" s="193"/>
      <c r="H570" s="193"/>
      <c r="I570" s="193"/>
      <c r="J570" s="193"/>
      <c r="K570" s="84"/>
      <c r="M570" s="84"/>
    </row>
    <row r="571">
      <c r="A571" s="84"/>
      <c r="B571" s="193"/>
      <c r="C571" s="193"/>
      <c r="D571" s="194"/>
      <c r="E571" s="205"/>
      <c r="F571" s="193"/>
      <c r="G571" s="193"/>
      <c r="H571" s="193"/>
      <c r="I571" s="193"/>
      <c r="J571" s="193"/>
      <c r="K571" s="84"/>
      <c r="M571" s="84"/>
    </row>
    <row r="572">
      <c r="A572" s="84"/>
      <c r="B572" s="193"/>
      <c r="C572" s="193"/>
      <c r="D572" s="194"/>
      <c r="E572" s="206"/>
      <c r="F572" s="193"/>
      <c r="G572" s="193"/>
      <c r="H572" s="193"/>
      <c r="I572" s="193"/>
      <c r="J572" s="193"/>
      <c r="K572" s="84"/>
      <c r="M572" s="84"/>
    </row>
    <row r="573">
      <c r="A573" s="84"/>
      <c r="B573" s="193"/>
      <c r="C573" s="193"/>
      <c r="D573" s="194"/>
      <c r="E573" s="205"/>
      <c r="F573" s="193"/>
      <c r="G573" s="193"/>
      <c r="H573" s="193"/>
      <c r="I573" s="193"/>
      <c r="J573" s="193"/>
      <c r="K573" s="84"/>
      <c r="M573" s="84"/>
    </row>
    <row r="574">
      <c r="A574" s="84"/>
      <c r="B574" s="193"/>
      <c r="C574" s="193"/>
      <c r="D574" s="194"/>
      <c r="E574" s="205"/>
      <c r="F574" s="193"/>
      <c r="G574" s="193"/>
      <c r="H574" s="193"/>
      <c r="I574" s="193"/>
      <c r="J574" s="193"/>
      <c r="K574" s="84"/>
      <c r="M574" s="84"/>
    </row>
    <row r="575">
      <c r="A575" s="84"/>
      <c r="B575" s="193"/>
      <c r="C575" s="193"/>
      <c r="D575" s="194"/>
      <c r="E575" s="206"/>
      <c r="F575" s="193"/>
      <c r="G575" s="193"/>
      <c r="H575" s="193"/>
      <c r="I575" s="193"/>
      <c r="J575" s="193"/>
      <c r="K575" s="84"/>
      <c r="M575" s="84"/>
    </row>
    <row r="576">
      <c r="A576" s="84"/>
      <c r="B576" s="193"/>
      <c r="C576" s="193"/>
      <c r="D576" s="194"/>
      <c r="E576" s="206"/>
      <c r="F576" s="193"/>
      <c r="G576" s="193"/>
      <c r="H576" s="193"/>
      <c r="I576" s="193"/>
      <c r="J576" s="193"/>
      <c r="K576" s="84"/>
      <c r="M576" s="84"/>
    </row>
    <row r="577">
      <c r="A577" s="84"/>
      <c r="B577" s="193"/>
      <c r="C577" s="193"/>
      <c r="D577" s="194"/>
      <c r="E577" s="206"/>
      <c r="F577" s="193"/>
      <c r="G577" s="193"/>
      <c r="H577" s="193"/>
      <c r="I577" s="193"/>
      <c r="J577" s="193"/>
      <c r="K577" s="84"/>
      <c r="M577" s="84"/>
    </row>
    <row r="578">
      <c r="A578" s="84"/>
      <c r="B578" s="193"/>
      <c r="C578" s="193"/>
      <c r="D578" s="194"/>
      <c r="E578" s="205"/>
      <c r="F578" s="193"/>
      <c r="G578" s="193"/>
      <c r="H578" s="193"/>
      <c r="I578" s="193"/>
      <c r="J578" s="193"/>
      <c r="K578" s="84"/>
      <c r="M578" s="84"/>
    </row>
    <row r="579">
      <c r="A579" s="84"/>
      <c r="B579" s="193"/>
      <c r="C579" s="193"/>
      <c r="D579" s="194"/>
      <c r="E579" s="205"/>
      <c r="F579" s="193"/>
      <c r="G579" s="193"/>
      <c r="H579" s="193"/>
      <c r="I579" s="193"/>
      <c r="J579" s="193"/>
      <c r="K579" s="84"/>
      <c r="M579" s="84"/>
    </row>
    <row r="580">
      <c r="A580" s="84"/>
      <c r="B580" s="193"/>
      <c r="C580" s="193"/>
      <c r="D580" s="194"/>
      <c r="E580" s="206"/>
      <c r="F580" s="193"/>
      <c r="G580" s="193"/>
      <c r="H580" s="193"/>
      <c r="I580" s="193"/>
      <c r="J580" s="193"/>
      <c r="K580" s="84"/>
      <c r="M580" s="84"/>
    </row>
    <row r="581">
      <c r="A581" s="84"/>
      <c r="B581" s="193"/>
      <c r="C581" s="193"/>
      <c r="D581" s="194"/>
      <c r="E581" s="205"/>
      <c r="F581" s="193"/>
      <c r="G581" s="193"/>
      <c r="H581" s="193"/>
      <c r="I581" s="193"/>
      <c r="J581" s="193"/>
      <c r="K581" s="84"/>
      <c r="M581" s="84"/>
    </row>
    <row r="582">
      <c r="A582" s="84"/>
      <c r="B582" s="193"/>
      <c r="C582" s="193"/>
      <c r="D582" s="194"/>
      <c r="E582" s="206"/>
      <c r="F582" s="193"/>
      <c r="G582" s="193"/>
      <c r="H582" s="193"/>
      <c r="I582" s="193"/>
      <c r="J582" s="193"/>
      <c r="K582" s="84"/>
      <c r="M582" s="84"/>
    </row>
    <row r="583">
      <c r="A583" s="84"/>
      <c r="B583" s="193"/>
      <c r="C583" s="193"/>
      <c r="D583" s="194"/>
      <c r="E583" s="205"/>
      <c r="F583" s="193"/>
      <c r="G583" s="193"/>
      <c r="H583" s="193"/>
      <c r="I583" s="193"/>
      <c r="J583" s="193"/>
      <c r="K583" s="84"/>
      <c r="M583" s="84"/>
    </row>
    <row r="584">
      <c r="A584" s="84"/>
      <c r="B584" s="193"/>
      <c r="C584" s="193"/>
      <c r="D584" s="194"/>
      <c r="E584" s="205"/>
      <c r="F584" s="193"/>
      <c r="G584" s="193"/>
      <c r="H584" s="193"/>
      <c r="I584" s="193"/>
      <c r="J584" s="193"/>
      <c r="K584" s="84"/>
      <c r="M584" s="84"/>
    </row>
    <row r="585">
      <c r="A585" s="84"/>
      <c r="B585" s="193"/>
      <c r="C585" s="193"/>
      <c r="D585" s="194"/>
      <c r="E585" s="205"/>
      <c r="F585" s="193"/>
      <c r="G585" s="193"/>
      <c r="H585" s="193"/>
      <c r="I585" s="193"/>
      <c r="J585" s="193"/>
      <c r="K585" s="84"/>
      <c r="M585" s="84"/>
    </row>
    <row r="586">
      <c r="A586" s="84"/>
      <c r="B586" s="193"/>
      <c r="C586" s="193"/>
      <c r="D586" s="194"/>
      <c r="E586" s="205"/>
      <c r="F586" s="193"/>
      <c r="G586" s="193"/>
      <c r="H586" s="193"/>
      <c r="I586" s="193"/>
      <c r="J586" s="193"/>
      <c r="K586" s="84"/>
      <c r="M586" s="84"/>
    </row>
    <row r="587">
      <c r="A587" s="84"/>
      <c r="B587" s="193"/>
      <c r="C587" s="193"/>
      <c r="D587" s="194"/>
      <c r="E587" s="206"/>
      <c r="F587" s="193"/>
      <c r="G587" s="193"/>
      <c r="H587" s="193"/>
      <c r="I587" s="193"/>
      <c r="J587" s="193"/>
      <c r="K587" s="84"/>
      <c r="M587" s="84"/>
    </row>
    <row r="588">
      <c r="A588" s="84"/>
      <c r="B588" s="193"/>
      <c r="C588" s="193"/>
      <c r="D588" s="194"/>
      <c r="E588" s="205"/>
      <c r="F588" s="193"/>
      <c r="G588" s="193"/>
      <c r="H588" s="193"/>
      <c r="I588" s="193"/>
      <c r="J588" s="193"/>
      <c r="K588" s="84"/>
      <c r="M588" s="84"/>
    </row>
    <row r="589">
      <c r="A589" s="84"/>
      <c r="B589" s="193"/>
      <c r="C589" s="193"/>
      <c r="D589" s="194"/>
      <c r="E589" s="206"/>
      <c r="F589" s="193"/>
      <c r="G589" s="193"/>
      <c r="H589" s="193"/>
      <c r="I589" s="193"/>
      <c r="J589" s="193"/>
      <c r="K589" s="84"/>
      <c r="M589" s="84"/>
    </row>
    <row r="590">
      <c r="A590" s="84"/>
      <c r="B590" s="193"/>
      <c r="C590" s="193"/>
      <c r="D590" s="194"/>
      <c r="E590" s="205"/>
      <c r="F590" s="193"/>
      <c r="G590" s="193"/>
      <c r="H590" s="193"/>
      <c r="I590" s="193"/>
      <c r="J590" s="193"/>
      <c r="K590" s="84"/>
      <c r="M590" s="84"/>
    </row>
    <row r="591">
      <c r="A591" s="84"/>
      <c r="B591" s="193"/>
      <c r="C591" s="193"/>
      <c r="D591" s="194"/>
      <c r="E591" s="205"/>
      <c r="F591" s="193"/>
      <c r="G591" s="193"/>
      <c r="H591" s="193"/>
      <c r="I591" s="193"/>
      <c r="J591" s="193"/>
      <c r="K591" s="84"/>
      <c r="M591" s="84"/>
    </row>
    <row r="592">
      <c r="A592" s="84"/>
      <c r="B592" s="193"/>
      <c r="C592" s="193"/>
      <c r="D592" s="194"/>
      <c r="E592" s="205"/>
      <c r="F592" s="193"/>
      <c r="G592" s="193"/>
      <c r="H592" s="193"/>
      <c r="I592" s="193"/>
      <c r="J592" s="193"/>
      <c r="K592" s="84"/>
      <c r="M592" s="84"/>
    </row>
    <row r="593">
      <c r="A593" s="84"/>
      <c r="B593" s="193"/>
      <c r="C593" s="193"/>
      <c r="D593" s="194"/>
      <c r="E593" s="206"/>
      <c r="F593" s="193"/>
      <c r="G593" s="193"/>
      <c r="H593" s="193"/>
      <c r="I593" s="193"/>
      <c r="J593" s="193"/>
      <c r="K593" s="84"/>
      <c r="M593" s="84"/>
    </row>
    <row r="594">
      <c r="A594" s="84"/>
      <c r="B594" s="193"/>
      <c r="C594" s="193"/>
      <c r="D594" s="194"/>
      <c r="E594" s="205"/>
      <c r="F594" s="193"/>
      <c r="G594" s="193"/>
      <c r="H594" s="193"/>
      <c r="I594" s="193"/>
      <c r="J594" s="193"/>
      <c r="K594" s="84"/>
      <c r="M594" s="84"/>
    </row>
    <row r="595">
      <c r="A595" s="84"/>
      <c r="B595" s="193"/>
      <c r="C595" s="193"/>
      <c r="D595" s="194"/>
      <c r="E595" s="205"/>
      <c r="F595" s="193"/>
      <c r="G595" s="193"/>
      <c r="H595" s="193"/>
      <c r="I595" s="193"/>
      <c r="J595" s="193"/>
      <c r="K595" s="84"/>
      <c r="M595" s="84"/>
    </row>
    <row r="596">
      <c r="A596" s="84"/>
      <c r="B596" s="193"/>
      <c r="C596" s="193"/>
      <c r="D596" s="194"/>
      <c r="E596" s="205"/>
      <c r="F596" s="193"/>
      <c r="G596" s="193"/>
      <c r="H596" s="193"/>
      <c r="I596" s="193"/>
      <c r="J596" s="193"/>
      <c r="K596" s="84"/>
      <c r="M596" s="84"/>
    </row>
    <row r="597">
      <c r="A597" s="84"/>
      <c r="B597" s="193"/>
      <c r="C597" s="193"/>
      <c r="D597" s="194"/>
      <c r="E597" s="206"/>
      <c r="F597" s="193"/>
      <c r="G597" s="193"/>
      <c r="H597" s="193"/>
      <c r="I597" s="193"/>
      <c r="J597" s="193"/>
      <c r="K597" s="84"/>
      <c r="M597" s="84"/>
    </row>
    <row r="598">
      <c r="A598" s="84"/>
      <c r="B598" s="193"/>
      <c r="C598" s="193"/>
      <c r="D598" s="194"/>
      <c r="E598" s="205"/>
      <c r="F598" s="193"/>
      <c r="G598" s="193"/>
      <c r="H598" s="193"/>
      <c r="I598" s="193"/>
      <c r="J598" s="193"/>
      <c r="K598" s="84"/>
      <c r="M598" s="84"/>
    </row>
    <row r="599">
      <c r="A599" s="84"/>
      <c r="B599" s="193"/>
      <c r="C599" s="193"/>
      <c r="D599" s="194"/>
      <c r="E599" s="205"/>
      <c r="F599" s="193"/>
      <c r="G599" s="193"/>
      <c r="H599" s="193"/>
      <c r="I599" s="193"/>
      <c r="J599" s="193"/>
      <c r="K599" s="84"/>
      <c r="M599" s="84"/>
    </row>
    <row r="600">
      <c r="A600" s="84"/>
      <c r="B600" s="193"/>
      <c r="C600" s="193"/>
      <c r="D600" s="194"/>
      <c r="E600" s="206"/>
      <c r="F600" s="193"/>
      <c r="G600" s="193"/>
      <c r="H600" s="193"/>
      <c r="I600" s="193"/>
      <c r="J600" s="193"/>
      <c r="K600" s="84"/>
      <c r="M600" s="84"/>
    </row>
    <row r="601">
      <c r="A601" s="84"/>
      <c r="B601" s="193"/>
      <c r="C601" s="193"/>
      <c r="D601" s="194"/>
      <c r="E601" s="206"/>
      <c r="F601" s="193"/>
      <c r="G601" s="193"/>
      <c r="H601" s="193"/>
      <c r="I601" s="193"/>
      <c r="J601" s="193"/>
      <c r="K601" s="84"/>
      <c r="M601" s="84"/>
    </row>
    <row r="602">
      <c r="A602" s="84"/>
      <c r="B602" s="193"/>
      <c r="C602" s="193"/>
      <c r="D602" s="194"/>
      <c r="E602" s="205"/>
      <c r="F602" s="193"/>
      <c r="G602" s="193"/>
      <c r="H602" s="193"/>
      <c r="I602" s="193"/>
      <c r="J602" s="193"/>
      <c r="K602" s="84"/>
      <c r="M602" s="84"/>
    </row>
    <row r="603">
      <c r="A603" s="84"/>
      <c r="B603" s="193"/>
      <c r="C603" s="193"/>
      <c r="D603" s="194"/>
      <c r="E603" s="206"/>
      <c r="F603" s="193"/>
      <c r="G603" s="193"/>
      <c r="H603" s="193"/>
      <c r="I603" s="193"/>
      <c r="J603" s="193"/>
      <c r="K603" s="84"/>
      <c r="M603" s="84"/>
    </row>
    <row r="604">
      <c r="A604" s="84"/>
      <c r="B604" s="193"/>
      <c r="C604" s="193"/>
      <c r="D604" s="194"/>
      <c r="E604" s="206"/>
      <c r="F604" s="193"/>
      <c r="G604" s="193"/>
      <c r="H604" s="193"/>
      <c r="I604" s="193"/>
      <c r="J604" s="193"/>
      <c r="K604" s="84"/>
      <c r="M604" s="84"/>
    </row>
    <row r="605">
      <c r="A605" s="84"/>
      <c r="B605" s="193"/>
      <c r="C605" s="193"/>
      <c r="D605" s="194"/>
      <c r="E605" s="206"/>
      <c r="F605" s="193"/>
      <c r="G605" s="193"/>
      <c r="H605" s="193"/>
      <c r="I605" s="193"/>
      <c r="J605" s="193"/>
      <c r="K605" s="84"/>
      <c r="M605" s="84"/>
    </row>
    <row r="606">
      <c r="A606" s="84"/>
      <c r="B606" s="193"/>
      <c r="C606" s="193"/>
      <c r="D606" s="194"/>
      <c r="E606" s="206"/>
      <c r="F606" s="193"/>
      <c r="G606" s="193"/>
      <c r="H606" s="193"/>
      <c r="I606" s="193"/>
      <c r="J606" s="193"/>
      <c r="K606" s="84"/>
      <c r="M606" s="84"/>
    </row>
    <row r="607">
      <c r="A607" s="84"/>
      <c r="B607" s="193"/>
      <c r="C607" s="193"/>
      <c r="D607" s="194"/>
      <c r="E607" s="205"/>
      <c r="F607" s="193"/>
      <c r="G607" s="193"/>
      <c r="H607" s="193"/>
      <c r="I607" s="193"/>
      <c r="J607" s="193"/>
      <c r="K607" s="84"/>
      <c r="M607" s="84"/>
    </row>
    <row r="608">
      <c r="A608" s="84"/>
      <c r="B608" s="193"/>
      <c r="C608" s="193"/>
      <c r="D608" s="194"/>
      <c r="E608" s="205"/>
      <c r="F608" s="193"/>
      <c r="G608" s="193"/>
      <c r="H608" s="193"/>
      <c r="I608" s="193"/>
      <c r="J608" s="193"/>
      <c r="K608" s="84"/>
      <c r="M608" s="84"/>
    </row>
    <row r="609">
      <c r="A609" s="84"/>
      <c r="B609" s="193"/>
      <c r="C609" s="193"/>
      <c r="D609" s="194"/>
      <c r="E609" s="205"/>
      <c r="F609" s="193"/>
      <c r="G609" s="193"/>
      <c r="H609" s="193"/>
      <c r="I609" s="193"/>
      <c r="J609" s="193"/>
      <c r="K609" s="84"/>
      <c r="M609" s="84"/>
    </row>
    <row r="610">
      <c r="A610" s="84"/>
      <c r="B610" s="193"/>
      <c r="C610" s="193"/>
      <c r="D610" s="194"/>
      <c r="E610" s="205"/>
      <c r="F610" s="193"/>
      <c r="G610" s="193"/>
      <c r="H610" s="193"/>
      <c r="I610" s="193"/>
      <c r="J610" s="193"/>
      <c r="K610" s="84"/>
      <c r="M610" s="84"/>
    </row>
    <row r="611">
      <c r="A611" s="84"/>
      <c r="B611" s="193"/>
      <c r="C611" s="193"/>
      <c r="D611" s="194"/>
      <c r="E611" s="206"/>
      <c r="F611" s="193"/>
      <c r="G611" s="193"/>
      <c r="H611" s="193"/>
      <c r="I611" s="193"/>
      <c r="J611" s="193"/>
      <c r="K611" s="84"/>
      <c r="M611" s="84"/>
    </row>
    <row r="612">
      <c r="A612" s="84"/>
      <c r="B612" s="193"/>
      <c r="C612" s="193"/>
      <c r="D612" s="194"/>
      <c r="E612" s="205"/>
      <c r="F612" s="193"/>
      <c r="G612" s="193"/>
      <c r="H612" s="193"/>
      <c r="I612" s="193"/>
      <c r="J612" s="193"/>
      <c r="K612" s="84"/>
      <c r="M612" s="84"/>
    </row>
    <row r="613">
      <c r="A613" s="84"/>
      <c r="B613" s="193"/>
      <c r="C613" s="193"/>
      <c r="D613" s="194"/>
      <c r="E613" s="205"/>
      <c r="F613" s="193"/>
      <c r="G613" s="193"/>
      <c r="H613" s="193"/>
      <c r="I613" s="193"/>
      <c r="J613" s="193"/>
      <c r="K613" s="84"/>
      <c r="M613" s="84"/>
    </row>
    <row r="614">
      <c r="A614" s="84"/>
      <c r="B614" s="193"/>
      <c r="C614" s="193"/>
      <c r="D614" s="194"/>
      <c r="E614" s="206"/>
      <c r="F614" s="193"/>
      <c r="G614" s="193"/>
      <c r="H614" s="193"/>
      <c r="I614" s="193"/>
      <c r="J614" s="193"/>
      <c r="K614" s="84"/>
      <c r="M614" s="84"/>
    </row>
    <row r="615">
      <c r="A615" s="84"/>
      <c r="B615" s="193"/>
      <c r="C615" s="193"/>
      <c r="D615" s="194"/>
      <c r="E615" s="206"/>
      <c r="F615" s="193"/>
      <c r="G615" s="193"/>
      <c r="H615" s="193"/>
      <c r="I615" s="193"/>
      <c r="J615" s="193"/>
      <c r="K615" s="84"/>
      <c r="M615" s="84"/>
    </row>
    <row r="616">
      <c r="A616" s="84"/>
      <c r="B616" s="193"/>
      <c r="C616" s="193"/>
      <c r="D616" s="194"/>
      <c r="E616" s="206"/>
      <c r="F616" s="193"/>
      <c r="G616" s="193"/>
      <c r="H616" s="193"/>
      <c r="I616" s="193"/>
      <c r="J616" s="193"/>
      <c r="K616" s="84"/>
      <c r="M616" s="84"/>
    </row>
    <row r="617">
      <c r="A617" s="84"/>
      <c r="B617" s="193"/>
      <c r="C617" s="193"/>
      <c r="D617" s="194"/>
      <c r="E617" s="205"/>
      <c r="F617" s="193"/>
      <c r="G617" s="193"/>
      <c r="H617" s="193"/>
      <c r="I617" s="193"/>
      <c r="J617" s="193"/>
      <c r="K617" s="84"/>
      <c r="M617" s="84"/>
    </row>
    <row r="618">
      <c r="A618" s="84"/>
      <c r="B618" s="193"/>
      <c r="C618" s="193"/>
      <c r="D618" s="194"/>
      <c r="E618" s="206"/>
      <c r="F618" s="193"/>
      <c r="G618" s="193"/>
      <c r="H618" s="193"/>
      <c r="I618" s="193"/>
      <c r="J618" s="193"/>
      <c r="K618" s="84"/>
      <c r="M618" s="84"/>
    </row>
    <row r="619">
      <c r="A619" s="84"/>
      <c r="B619" s="193"/>
      <c r="C619" s="193"/>
      <c r="D619" s="194"/>
      <c r="E619" s="206"/>
      <c r="F619" s="193"/>
      <c r="G619" s="193"/>
      <c r="H619" s="193"/>
      <c r="I619" s="193"/>
      <c r="J619" s="193"/>
      <c r="K619" s="84"/>
      <c r="M619" s="84"/>
    </row>
    <row r="620">
      <c r="A620" s="84"/>
      <c r="B620" s="193"/>
      <c r="C620" s="193"/>
      <c r="D620" s="194"/>
      <c r="E620" s="205"/>
      <c r="F620" s="193"/>
      <c r="G620" s="193"/>
      <c r="H620" s="193"/>
      <c r="I620" s="193"/>
      <c r="J620" s="193"/>
      <c r="K620" s="84"/>
      <c r="M620" s="84"/>
    </row>
    <row r="621">
      <c r="A621" s="84"/>
      <c r="B621" s="193"/>
      <c r="C621" s="193"/>
      <c r="D621" s="194"/>
      <c r="E621" s="205"/>
      <c r="F621" s="193"/>
      <c r="G621" s="193"/>
      <c r="H621" s="193"/>
      <c r="I621" s="193"/>
      <c r="J621" s="193"/>
      <c r="K621" s="84"/>
      <c r="M621" s="84"/>
    </row>
    <row r="622">
      <c r="A622" s="84"/>
      <c r="B622" s="193"/>
      <c r="C622" s="193"/>
      <c r="D622" s="194"/>
      <c r="E622" s="206"/>
      <c r="F622" s="193"/>
      <c r="G622" s="193"/>
      <c r="H622" s="193"/>
      <c r="I622" s="193"/>
      <c r="J622" s="193"/>
      <c r="K622" s="84"/>
      <c r="M622" s="84"/>
    </row>
    <row r="623">
      <c r="A623" s="84"/>
      <c r="B623" s="193"/>
      <c r="C623" s="193"/>
      <c r="D623" s="194"/>
      <c r="E623" s="205"/>
      <c r="F623" s="193"/>
      <c r="G623" s="193"/>
      <c r="H623" s="193"/>
      <c r="I623" s="193"/>
      <c r="J623" s="193"/>
      <c r="K623" s="84"/>
      <c r="M623" s="84"/>
    </row>
    <row r="624">
      <c r="A624" s="84"/>
      <c r="B624" s="193"/>
      <c r="C624" s="193"/>
      <c r="D624" s="194"/>
      <c r="E624" s="206"/>
      <c r="F624" s="193"/>
      <c r="G624" s="193"/>
      <c r="H624" s="193"/>
      <c r="I624" s="193"/>
      <c r="J624" s="193"/>
      <c r="K624" s="84"/>
      <c r="M624" s="84"/>
    </row>
    <row r="625">
      <c r="A625" s="84"/>
      <c r="B625" s="193"/>
      <c r="C625" s="193"/>
      <c r="D625" s="194"/>
      <c r="E625" s="205"/>
      <c r="F625" s="193"/>
      <c r="G625" s="193"/>
      <c r="H625" s="193"/>
      <c r="I625" s="193"/>
      <c r="J625" s="193"/>
      <c r="K625" s="84"/>
      <c r="M625" s="84"/>
    </row>
    <row r="626">
      <c r="A626" s="84"/>
      <c r="B626" s="193"/>
      <c r="C626" s="193"/>
      <c r="D626" s="194"/>
      <c r="E626" s="205"/>
      <c r="F626" s="193"/>
      <c r="G626" s="193"/>
      <c r="H626" s="193"/>
      <c r="I626" s="193"/>
      <c r="J626" s="193"/>
      <c r="K626" s="84"/>
      <c r="M626" s="84"/>
    </row>
    <row r="627">
      <c r="A627" s="84"/>
      <c r="B627" s="193"/>
      <c r="C627" s="193"/>
      <c r="D627" s="194"/>
      <c r="E627" s="205"/>
      <c r="F627" s="193"/>
      <c r="G627" s="193"/>
      <c r="H627" s="193"/>
      <c r="I627" s="193"/>
      <c r="J627" s="193"/>
      <c r="K627" s="84"/>
      <c r="M627" s="84"/>
    </row>
    <row r="628">
      <c r="A628" s="84"/>
      <c r="B628" s="193"/>
      <c r="C628" s="193"/>
      <c r="D628" s="194"/>
      <c r="E628" s="206"/>
      <c r="F628" s="193"/>
      <c r="G628" s="193"/>
      <c r="H628" s="193"/>
      <c r="I628" s="193"/>
      <c r="J628" s="193"/>
      <c r="K628" s="84"/>
      <c r="M628" s="84"/>
    </row>
    <row r="629">
      <c r="A629" s="84"/>
      <c r="B629" s="193"/>
      <c r="C629" s="193"/>
      <c r="D629" s="194"/>
      <c r="E629" s="206"/>
      <c r="F629" s="193"/>
      <c r="G629" s="193"/>
      <c r="H629" s="193"/>
      <c r="I629" s="193"/>
      <c r="J629" s="193"/>
      <c r="K629" s="84"/>
      <c r="M629" s="84"/>
    </row>
    <row r="630">
      <c r="A630" s="84"/>
      <c r="B630" s="193"/>
      <c r="C630" s="193"/>
      <c r="D630" s="194"/>
      <c r="E630" s="205"/>
      <c r="F630" s="193"/>
      <c r="G630" s="193"/>
      <c r="H630" s="193"/>
      <c r="I630" s="193"/>
      <c r="J630" s="193"/>
      <c r="K630" s="84"/>
      <c r="M630" s="84"/>
    </row>
    <row r="631">
      <c r="A631" s="84"/>
      <c r="B631" s="193"/>
      <c r="C631" s="193"/>
      <c r="D631" s="194"/>
      <c r="E631" s="206"/>
      <c r="F631" s="193"/>
      <c r="G631" s="193"/>
      <c r="H631" s="193"/>
      <c r="I631" s="193"/>
      <c r="J631" s="193"/>
      <c r="K631" s="84"/>
      <c r="M631" s="84"/>
    </row>
    <row r="632">
      <c r="A632" s="84"/>
      <c r="B632" s="193"/>
      <c r="C632" s="193"/>
      <c r="D632" s="194"/>
      <c r="E632" s="205"/>
      <c r="F632" s="193"/>
      <c r="G632" s="193"/>
      <c r="H632" s="193"/>
      <c r="I632" s="193"/>
      <c r="J632" s="193"/>
      <c r="K632" s="84"/>
      <c r="M632" s="84"/>
    </row>
    <row r="633">
      <c r="A633" s="84"/>
      <c r="B633" s="193"/>
      <c r="C633" s="193"/>
      <c r="D633" s="194"/>
      <c r="E633" s="205"/>
      <c r="F633" s="193"/>
      <c r="G633" s="193"/>
      <c r="H633" s="193"/>
      <c r="I633" s="193"/>
      <c r="J633" s="193"/>
      <c r="K633" s="84"/>
      <c r="M633" s="84"/>
    </row>
    <row r="634">
      <c r="A634" s="84"/>
      <c r="B634" s="193"/>
      <c r="C634" s="193"/>
      <c r="D634" s="194"/>
      <c r="E634" s="206"/>
      <c r="F634" s="193"/>
      <c r="G634" s="193"/>
      <c r="H634" s="193"/>
      <c r="I634" s="193"/>
      <c r="J634" s="193"/>
      <c r="K634" s="84"/>
      <c r="M634" s="84"/>
    </row>
    <row r="635">
      <c r="A635" s="84"/>
      <c r="B635" s="193"/>
      <c r="C635" s="193"/>
      <c r="D635" s="194"/>
      <c r="E635" s="205"/>
      <c r="F635" s="193"/>
      <c r="G635" s="193"/>
      <c r="H635" s="193"/>
      <c r="I635" s="193"/>
      <c r="J635" s="193"/>
      <c r="K635" s="84"/>
      <c r="M635" s="84"/>
    </row>
    <row r="636">
      <c r="A636" s="84"/>
      <c r="B636" s="193"/>
      <c r="C636" s="193"/>
      <c r="D636" s="194"/>
      <c r="E636" s="205"/>
      <c r="F636" s="193"/>
      <c r="G636" s="193"/>
      <c r="H636" s="193"/>
      <c r="I636" s="193"/>
      <c r="J636" s="193"/>
      <c r="K636" s="84"/>
      <c r="M636" s="84"/>
    </row>
    <row r="637">
      <c r="A637" s="84"/>
      <c r="B637" s="193"/>
      <c r="C637" s="193"/>
      <c r="D637" s="194"/>
      <c r="E637" s="205"/>
      <c r="F637" s="193"/>
      <c r="G637" s="193"/>
      <c r="H637" s="193"/>
      <c r="I637" s="193"/>
      <c r="J637" s="193"/>
      <c r="K637" s="84"/>
      <c r="M637" s="84"/>
    </row>
    <row r="638">
      <c r="A638" s="84"/>
      <c r="B638" s="193"/>
      <c r="C638" s="193"/>
      <c r="D638" s="194"/>
      <c r="E638" s="206"/>
      <c r="F638" s="193"/>
      <c r="G638" s="193"/>
      <c r="H638" s="193"/>
      <c r="I638" s="193"/>
      <c r="J638" s="193"/>
      <c r="K638" s="84"/>
      <c r="M638" s="84"/>
    </row>
    <row r="639">
      <c r="A639" s="84"/>
      <c r="B639" s="193"/>
      <c r="C639" s="193"/>
      <c r="D639" s="194"/>
      <c r="E639" s="205"/>
      <c r="F639" s="193"/>
      <c r="G639" s="193"/>
      <c r="H639" s="193"/>
      <c r="I639" s="193"/>
      <c r="J639" s="193"/>
      <c r="K639" s="84"/>
      <c r="M639" s="84"/>
    </row>
    <row r="640">
      <c r="A640" s="84"/>
      <c r="B640" s="193"/>
      <c r="C640" s="193"/>
      <c r="D640" s="194"/>
      <c r="E640" s="205"/>
      <c r="F640" s="193"/>
      <c r="G640" s="193"/>
      <c r="H640" s="193"/>
      <c r="I640" s="193"/>
      <c r="J640" s="193"/>
      <c r="K640" s="84"/>
      <c r="M640" s="84"/>
    </row>
    <row r="641">
      <c r="A641" s="84"/>
      <c r="B641" s="193"/>
      <c r="C641" s="193"/>
      <c r="D641" s="194"/>
      <c r="E641" s="206"/>
      <c r="F641" s="193"/>
      <c r="G641" s="193"/>
      <c r="H641" s="193"/>
      <c r="I641" s="193"/>
      <c r="J641" s="193"/>
      <c r="K641" s="84"/>
      <c r="M641" s="84"/>
    </row>
    <row r="642">
      <c r="A642" s="84"/>
      <c r="B642" s="193"/>
      <c r="C642" s="193"/>
      <c r="D642" s="194"/>
      <c r="E642" s="205"/>
      <c r="F642" s="193"/>
      <c r="G642" s="193"/>
      <c r="H642" s="193"/>
      <c r="I642" s="193"/>
      <c r="J642" s="193"/>
      <c r="K642" s="84"/>
      <c r="M642" s="84"/>
    </row>
    <row r="643">
      <c r="A643" s="84"/>
      <c r="B643" s="193"/>
      <c r="C643" s="193"/>
      <c r="D643" s="194"/>
      <c r="E643" s="205"/>
      <c r="F643" s="193"/>
      <c r="G643" s="193"/>
      <c r="H643" s="193"/>
      <c r="I643" s="193"/>
      <c r="J643" s="193"/>
      <c r="K643" s="84"/>
      <c r="M643" s="84"/>
    </row>
    <row r="644">
      <c r="A644" s="84"/>
      <c r="B644" s="193"/>
      <c r="C644" s="193"/>
      <c r="D644" s="194"/>
      <c r="E644" s="205"/>
      <c r="F644" s="193"/>
      <c r="G644" s="193"/>
      <c r="H644" s="193"/>
      <c r="I644" s="193"/>
      <c r="J644" s="193"/>
      <c r="K644" s="84"/>
      <c r="M644" s="84"/>
    </row>
    <row r="645">
      <c r="A645" s="84"/>
      <c r="B645" s="193"/>
      <c r="C645" s="193"/>
      <c r="D645" s="194"/>
      <c r="E645" s="205"/>
      <c r="F645" s="193"/>
      <c r="G645" s="193"/>
      <c r="H645" s="193"/>
      <c r="I645" s="193"/>
      <c r="J645" s="193"/>
      <c r="K645" s="84"/>
      <c r="M645" s="84"/>
    </row>
    <row r="646">
      <c r="A646" s="84"/>
      <c r="B646" s="193"/>
      <c r="C646" s="193"/>
      <c r="D646" s="194"/>
      <c r="E646" s="206"/>
      <c r="F646" s="193"/>
      <c r="G646" s="193"/>
      <c r="H646" s="193"/>
      <c r="I646" s="193"/>
      <c r="J646" s="193"/>
      <c r="K646" s="84"/>
      <c r="M646" s="84"/>
    </row>
    <row r="647">
      <c r="A647" s="84"/>
      <c r="B647" s="193"/>
      <c r="C647" s="193"/>
      <c r="D647" s="194"/>
      <c r="E647" s="205"/>
      <c r="F647" s="193"/>
      <c r="G647" s="193"/>
      <c r="H647" s="193"/>
      <c r="I647" s="193"/>
      <c r="J647" s="193"/>
      <c r="K647" s="84"/>
      <c r="M647" s="84"/>
    </row>
    <row r="648">
      <c r="A648" s="84"/>
      <c r="B648" s="193"/>
      <c r="C648" s="193"/>
      <c r="D648" s="194"/>
      <c r="E648" s="206"/>
      <c r="F648" s="193"/>
      <c r="G648" s="193"/>
      <c r="H648" s="193"/>
      <c r="I648" s="193"/>
      <c r="J648" s="193"/>
      <c r="K648" s="84"/>
      <c r="M648" s="84"/>
    </row>
    <row r="649">
      <c r="A649" s="84"/>
      <c r="B649" s="193"/>
      <c r="C649" s="193"/>
      <c r="D649" s="194"/>
      <c r="E649" s="205"/>
      <c r="F649" s="193"/>
      <c r="G649" s="193"/>
      <c r="H649" s="193"/>
      <c r="I649" s="193"/>
      <c r="J649" s="193"/>
      <c r="K649" s="84"/>
      <c r="M649" s="84"/>
    </row>
    <row r="650">
      <c r="A650" s="84"/>
      <c r="B650" s="193"/>
      <c r="C650" s="193"/>
      <c r="D650" s="194"/>
      <c r="E650" s="205"/>
      <c r="F650" s="193"/>
      <c r="G650" s="193"/>
      <c r="H650" s="193"/>
      <c r="I650" s="193"/>
      <c r="J650" s="193"/>
      <c r="K650" s="84"/>
      <c r="M650" s="84"/>
    </row>
    <row r="651">
      <c r="A651" s="84"/>
      <c r="B651" s="193"/>
      <c r="C651" s="193"/>
      <c r="D651" s="194"/>
      <c r="E651" s="205"/>
      <c r="F651" s="193"/>
      <c r="G651" s="193"/>
      <c r="H651" s="193"/>
      <c r="I651" s="193"/>
      <c r="J651" s="193"/>
      <c r="K651" s="84"/>
      <c r="M651" s="84"/>
    </row>
    <row r="652">
      <c r="A652" s="84"/>
      <c r="B652" s="193"/>
      <c r="C652" s="193"/>
      <c r="D652" s="194"/>
      <c r="E652" s="205"/>
      <c r="F652" s="193"/>
      <c r="G652" s="193"/>
      <c r="H652" s="193"/>
      <c r="I652" s="193"/>
      <c r="J652" s="193"/>
      <c r="K652" s="84"/>
      <c r="M652" s="84"/>
    </row>
    <row r="653">
      <c r="A653" s="84"/>
      <c r="B653" s="193"/>
      <c r="C653" s="193"/>
      <c r="D653" s="194"/>
      <c r="E653" s="205"/>
      <c r="F653" s="193"/>
      <c r="G653" s="193"/>
      <c r="H653" s="193"/>
      <c r="I653" s="193"/>
      <c r="J653" s="193"/>
      <c r="K653" s="84"/>
      <c r="M653" s="84"/>
    </row>
    <row r="654">
      <c r="A654" s="84"/>
      <c r="B654" s="193"/>
      <c r="C654" s="193"/>
      <c r="D654" s="194"/>
      <c r="E654" s="205"/>
      <c r="F654" s="193"/>
      <c r="G654" s="193"/>
      <c r="H654" s="193"/>
      <c r="I654" s="193"/>
      <c r="J654" s="193"/>
      <c r="K654" s="84"/>
      <c r="M654" s="84"/>
    </row>
    <row r="655">
      <c r="A655" s="84"/>
      <c r="B655" s="193"/>
      <c r="C655" s="193"/>
      <c r="D655" s="194"/>
      <c r="E655" s="205"/>
      <c r="F655" s="193"/>
      <c r="G655" s="193"/>
      <c r="H655" s="193"/>
      <c r="I655" s="193"/>
      <c r="J655" s="193"/>
      <c r="K655" s="84"/>
      <c r="M655" s="84"/>
    </row>
    <row r="656">
      <c r="A656" s="84"/>
      <c r="B656" s="193"/>
      <c r="C656" s="193"/>
      <c r="D656" s="194"/>
      <c r="E656" s="205"/>
      <c r="F656" s="193"/>
      <c r="G656" s="193"/>
      <c r="H656" s="193"/>
      <c r="I656" s="193"/>
      <c r="J656" s="193"/>
      <c r="K656" s="84"/>
      <c r="M656" s="84"/>
    </row>
    <row r="657">
      <c r="A657" s="84"/>
      <c r="B657" s="193"/>
      <c r="C657" s="193"/>
      <c r="D657" s="194"/>
      <c r="E657" s="206"/>
      <c r="F657" s="193"/>
      <c r="G657" s="193"/>
      <c r="H657" s="193"/>
      <c r="I657" s="193"/>
      <c r="J657" s="193"/>
      <c r="K657" s="84"/>
      <c r="M657" s="84"/>
    </row>
    <row r="658">
      <c r="A658" s="84"/>
      <c r="B658" s="193"/>
      <c r="C658" s="193"/>
      <c r="D658" s="194"/>
      <c r="E658" s="205"/>
      <c r="F658" s="193"/>
      <c r="G658" s="193"/>
      <c r="H658" s="193"/>
      <c r="I658" s="193"/>
      <c r="J658" s="193"/>
      <c r="K658" s="84"/>
      <c r="M658" s="84"/>
    </row>
    <row r="659">
      <c r="A659" s="84"/>
      <c r="B659" s="193"/>
      <c r="C659" s="193"/>
      <c r="D659" s="194"/>
      <c r="E659" s="205"/>
      <c r="F659" s="193"/>
      <c r="G659" s="193"/>
      <c r="H659" s="193"/>
      <c r="I659" s="193"/>
      <c r="J659" s="193"/>
      <c r="K659" s="84"/>
      <c r="M659" s="84"/>
    </row>
    <row r="660">
      <c r="A660" s="84"/>
      <c r="B660" s="193"/>
      <c r="C660" s="193"/>
      <c r="D660" s="194"/>
      <c r="E660" s="206"/>
      <c r="F660" s="193"/>
      <c r="G660" s="193"/>
      <c r="H660" s="193"/>
      <c r="I660" s="193"/>
      <c r="J660" s="193"/>
      <c r="K660" s="84"/>
      <c r="M660" s="84"/>
    </row>
    <row r="661">
      <c r="A661" s="84"/>
      <c r="B661" s="193"/>
      <c r="C661" s="193"/>
      <c r="D661" s="194"/>
      <c r="E661" s="206"/>
      <c r="F661" s="193"/>
      <c r="G661" s="193"/>
      <c r="H661" s="193"/>
      <c r="I661" s="193"/>
      <c r="J661" s="193"/>
      <c r="K661" s="84"/>
      <c r="M661" s="84"/>
    </row>
    <row r="662">
      <c r="A662" s="84"/>
      <c r="B662" s="193"/>
      <c r="C662" s="193"/>
      <c r="D662" s="194"/>
      <c r="E662" s="205"/>
      <c r="F662" s="193"/>
      <c r="G662" s="193"/>
      <c r="H662" s="193"/>
      <c r="I662" s="193"/>
      <c r="J662" s="193"/>
      <c r="K662" s="84"/>
      <c r="M662" s="84"/>
    </row>
    <row r="663">
      <c r="A663" s="84"/>
      <c r="B663" s="193"/>
      <c r="C663" s="193"/>
      <c r="D663" s="194"/>
      <c r="E663" s="205"/>
      <c r="F663" s="193"/>
      <c r="G663" s="193"/>
      <c r="H663" s="193"/>
      <c r="I663" s="193"/>
      <c r="J663" s="193"/>
      <c r="K663" s="84"/>
      <c r="M663" s="84"/>
    </row>
    <row r="664">
      <c r="A664" s="84"/>
      <c r="B664" s="193"/>
      <c r="C664" s="193"/>
      <c r="D664" s="194"/>
      <c r="E664" s="206"/>
      <c r="F664" s="193"/>
      <c r="G664" s="193"/>
      <c r="H664" s="193"/>
      <c r="I664" s="193"/>
      <c r="J664" s="193"/>
      <c r="K664" s="84"/>
      <c r="M664" s="84"/>
    </row>
    <row r="665">
      <c r="A665" s="84"/>
      <c r="B665" s="193"/>
      <c r="C665" s="193"/>
      <c r="D665" s="194"/>
      <c r="E665" s="206"/>
      <c r="F665" s="193"/>
      <c r="G665" s="193"/>
      <c r="H665" s="193"/>
      <c r="I665" s="193"/>
      <c r="J665" s="193"/>
      <c r="K665" s="84"/>
      <c r="M665" s="84"/>
    </row>
    <row r="666">
      <c r="A666" s="84"/>
      <c r="B666" s="193"/>
      <c r="C666" s="193"/>
      <c r="D666" s="194"/>
      <c r="E666" s="205"/>
      <c r="F666" s="193"/>
      <c r="G666" s="193"/>
      <c r="H666" s="193"/>
      <c r="I666" s="193"/>
      <c r="J666" s="193"/>
      <c r="K666" s="84"/>
      <c r="M666" s="84"/>
    </row>
    <row r="667">
      <c r="A667" s="84"/>
      <c r="B667" s="193"/>
      <c r="C667" s="193"/>
      <c r="D667" s="194"/>
      <c r="E667" s="205"/>
      <c r="F667" s="193"/>
      <c r="G667" s="193"/>
      <c r="H667" s="193"/>
      <c r="I667" s="193"/>
      <c r="J667" s="193"/>
      <c r="K667" s="84"/>
      <c r="M667" s="84"/>
    </row>
    <row r="668">
      <c r="A668" s="84"/>
      <c r="B668" s="193"/>
      <c r="C668" s="193"/>
      <c r="D668" s="194"/>
      <c r="E668" s="205"/>
      <c r="F668" s="193"/>
      <c r="G668" s="193"/>
      <c r="H668" s="193"/>
      <c r="I668" s="193"/>
      <c r="J668" s="193"/>
      <c r="K668" s="84"/>
      <c r="M668" s="84"/>
    </row>
    <row r="669">
      <c r="A669" s="84"/>
      <c r="B669" s="193"/>
      <c r="C669" s="193"/>
      <c r="D669" s="194"/>
      <c r="E669" s="205"/>
      <c r="F669" s="193"/>
      <c r="G669" s="193"/>
      <c r="H669" s="193"/>
      <c r="I669" s="193"/>
      <c r="J669" s="193"/>
      <c r="K669" s="84"/>
      <c r="M669" s="84"/>
    </row>
    <row r="670">
      <c r="A670" s="84"/>
      <c r="B670" s="193"/>
      <c r="C670" s="193"/>
      <c r="D670" s="194"/>
      <c r="E670" s="205"/>
      <c r="F670" s="193"/>
      <c r="G670" s="193"/>
      <c r="H670" s="193"/>
      <c r="I670" s="193"/>
      <c r="J670" s="193"/>
      <c r="K670" s="84"/>
      <c r="M670" s="84"/>
    </row>
    <row r="671">
      <c r="A671" s="84"/>
      <c r="B671" s="193"/>
      <c r="C671" s="193"/>
      <c r="D671" s="194"/>
      <c r="E671" s="205"/>
      <c r="F671" s="193"/>
      <c r="G671" s="193"/>
      <c r="H671" s="193"/>
      <c r="I671" s="193"/>
      <c r="J671" s="193"/>
      <c r="K671" s="84"/>
      <c r="M671" s="84"/>
    </row>
    <row r="672">
      <c r="A672" s="84"/>
      <c r="B672" s="193"/>
      <c r="C672" s="193"/>
      <c r="D672" s="194"/>
      <c r="E672" s="205"/>
      <c r="F672" s="193"/>
      <c r="G672" s="193"/>
      <c r="H672" s="193"/>
      <c r="I672" s="193"/>
      <c r="J672" s="193"/>
      <c r="K672" s="84"/>
      <c r="M672" s="84"/>
    </row>
    <row r="673">
      <c r="A673" s="84"/>
      <c r="B673" s="193"/>
      <c r="C673" s="193"/>
      <c r="D673" s="194"/>
      <c r="E673" s="206"/>
      <c r="F673" s="193"/>
      <c r="G673" s="193"/>
      <c r="H673" s="193"/>
      <c r="I673" s="193"/>
      <c r="J673" s="193"/>
      <c r="K673" s="84"/>
      <c r="M673" s="84"/>
    </row>
    <row r="674">
      <c r="A674" s="84"/>
      <c r="B674" s="193"/>
      <c r="C674" s="193"/>
      <c r="D674" s="194"/>
      <c r="E674" s="206"/>
      <c r="F674" s="193"/>
      <c r="G674" s="193"/>
      <c r="H674" s="193"/>
      <c r="I674" s="193"/>
      <c r="J674" s="193"/>
      <c r="K674" s="84"/>
      <c r="M674" s="84"/>
    </row>
    <row r="675">
      <c r="A675" s="84"/>
      <c r="B675" s="193"/>
      <c r="C675" s="193"/>
      <c r="D675" s="194"/>
      <c r="E675" s="205"/>
      <c r="F675" s="193"/>
      <c r="G675" s="193"/>
      <c r="H675" s="193"/>
      <c r="I675" s="193"/>
      <c r="J675" s="193"/>
      <c r="K675" s="84"/>
      <c r="M675" s="84"/>
    </row>
    <row r="676">
      <c r="A676" s="84"/>
      <c r="B676" s="193"/>
      <c r="C676" s="193"/>
      <c r="D676" s="194"/>
      <c r="E676" s="205"/>
      <c r="F676" s="193"/>
      <c r="G676" s="193"/>
      <c r="H676" s="193"/>
      <c r="I676" s="193"/>
      <c r="J676" s="193"/>
      <c r="K676" s="84"/>
      <c r="M676" s="84"/>
    </row>
    <row r="677">
      <c r="A677" s="84"/>
      <c r="B677" s="193"/>
      <c r="C677" s="193"/>
      <c r="D677" s="194"/>
      <c r="E677" s="205"/>
      <c r="F677" s="193"/>
      <c r="G677" s="193"/>
      <c r="H677" s="193"/>
      <c r="I677" s="193"/>
      <c r="J677" s="193"/>
      <c r="K677" s="84"/>
      <c r="M677" s="84"/>
    </row>
    <row r="678">
      <c r="A678" s="84"/>
      <c r="B678" s="193"/>
      <c r="C678" s="193"/>
      <c r="D678" s="194"/>
      <c r="E678" s="205"/>
      <c r="F678" s="193"/>
      <c r="G678" s="193"/>
      <c r="H678" s="193"/>
      <c r="I678" s="193"/>
      <c r="J678" s="193"/>
      <c r="K678" s="84"/>
      <c r="M678" s="84"/>
    </row>
    <row r="679">
      <c r="A679" s="84"/>
      <c r="B679" s="193"/>
      <c r="C679" s="193"/>
      <c r="D679" s="194"/>
      <c r="E679" s="206"/>
      <c r="F679" s="193"/>
      <c r="G679" s="193"/>
      <c r="H679" s="193"/>
      <c r="I679" s="193"/>
      <c r="J679" s="193"/>
      <c r="K679" s="84"/>
      <c r="M679" s="84"/>
    </row>
    <row r="680">
      <c r="A680" s="84"/>
      <c r="B680" s="193"/>
      <c r="C680" s="193"/>
      <c r="D680" s="194"/>
      <c r="E680" s="206"/>
      <c r="F680" s="193"/>
      <c r="G680" s="193"/>
      <c r="H680" s="193"/>
      <c r="I680" s="193"/>
      <c r="J680" s="193"/>
      <c r="K680" s="84"/>
      <c r="M680" s="84"/>
    </row>
    <row r="681">
      <c r="A681" s="84"/>
      <c r="B681" s="193"/>
      <c r="C681" s="193"/>
      <c r="D681" s="194"/>
      <c r="E681" s="206"/>
      <c r="F681" s="193"/>
      <c r="G681" s="193"/>
      <c r="H681" s="193"/>
      <c r="I681" s="193"/>
      <c r="J681" s="193"/>
      <c r="K681" s="84"/>
      <c r="M681" s="84"/>
    </row>
    <row r="682">
      <c r="A682" s="84"/>
      <c r="B682" s="193"/>
      <c r="C682" s="193"/>
      <c r="D682" s="194"/>
      <c r="E682" s="205"/>
      <c r="F682" s="193"/>
      <c r="G682" s="193"/>
      <c r="H682" s="193"/>
      <c r="I682" s="193"/>
      <c r="J682" s="193"/>
      <c r="K682" s="84"/>
      <c r="M682" s="84"/>
    </row>
    <row r="683">
      <c r="A683" s="84"/>
      <c r="B683" s="193"/>
      <c r="C683" s="193"/>
      <c r="D683" s="194"/>
      <c r="E683" s="206"/>
      <c r="F683" s="193"/>
      <c r="G683" s="193"/>
      <c r="H683" s="193"/>
      <c r="I683" s="193"/>
      <c r="J683" s="193"/>
      <c r="K683" s="84"/>
      <c r="M683" s="84"/>
    </row>
    <row r="684">
      <c r="A684" s="84"/>
      <c r="B684" s="193"/>
      <c r="C684" s="193"/>
      <c r="D684" s="194"/>
      <c r="E684" s="205"/>
      <c r="F684" s="193"/>
      <c r="G684" s="193"/>
      <c r="H684" s="193"/>
      <c r="I684" s="193"/>
      <c r="J684" s="193"/>
      <c r="K684" s="84"/>
      <c r="M684" s="84"/>
    </row>
    <row r="685">
      <c r="A685" s="84"/>
      <c r="B685" s="193"/>
      <c r="C685" s="193"/>
      <c r="D685" s="194"/>
      <c r="E685" s="206"/>
      <c r="F685" s="193"/>
      <c r="G685" s="193"/>
      <c r="H685" s="193"/>
      <c r="I685" s="193"/>
      <c r="J685" s="193"/>
      <c r="K685" s="84"/>
      <c r="M685" s="84"/>
    </row>
    <row r="686">
      <c r="A686" s="84"/>
      <c r="B686" s="193"/>
      <c r="C686" s="193"/>
      <c r="D686" s="194"/>
      <c r="E686" s="205"/>
      <c r="F686" s="193"/>
      <c r="G686" s="193"/>
      <c r="H686" s="193"/>
      <c r="I686" s="193"/>
      <c r="J686" s="193"/>
      <c r="K686" s="84"/>
      <c r="M686" s="84"/>
    </row>
    <row r="687">
      <c r="A687" s="84"/>
      <c r="B687" s="193"/>
      <c r="C687" s="193"/>
      <c r="D687" s="194"/>
      <c r="E687" s="206"/>
      <c r="F687" s="193"/>
      <c r="G687" s="193"/>
      <c r="H687" s="193"/>
      <c r="I687" s="193"/>
      <c r="J687" s="193"/>
      <c r="K687" s="84"/>
      <c r="M687" s="84"/>
    </row>
    <row r="688">
      <c r="A688" s="84"/>
      <c r="B688" s="193"/>
      <c r="C688" s="193"/>
      <c r="D688" s="194"/>
      <c r="E688" s="206"/>
      <c r="F688" s="193"/>
      <c r="G688" s="193"/>
      <c r="H688" s="193"/>
      <c r="I688" s="193"/>
      <c r="J688" s="193"/>
      <c r="K688" s="84"/>
      <c r="M688" s="84"/>
    </row>
    <row r="689">
      <c r="A689" s="84"/>
      <c r="B689" s="193"/>
      <c r="C689" s="193"/>
      <c r="D689" s="194"/>
      <c r="E689" s="206"/>
      <c r="F689" s="193"/>
      <c r="G689" s="193"/>
      <c r="H689" s="193"/>
      <c r="I689" s="193"/>
      <c r="J689" s="193"/>
      <c r="K689" s="84"/>
      <c r="M689" s="84"/>
    </row>
    <row r="690">
      <c r="A690" s="84"/>
      <c r="B690" s="193"/>
      <c r="C690" s="193"/>
      <c r="D690" s="194"/>
      <c r="E690" s="206"/>
      <c r="F690" s="193"/>
      <c r="G690" s="193"/>
      <c r="H690" s="193"/>
      <c r="I690" s="193"/>
      <c r="J690" s="193"/>
      <c r="K690" s="84"/>
      <c r="M690" s="84"/>
    </row>
    <row r="691">
      <c r="A691" s="84"/>
      <c r="B691" s="193"/>
      <c r="C691" s="193"/>
      <c r="D691" s="194"/>
      <c r="E691" s="205"/>
      <c r="F691" s="193"/>
      <c r="G691" s="193"/>
      <c r="H691" s="193"/>
      <c r="I691" s="193"/>
      <c r="J691" s="193"/>
      <c r="K691" s="84"/>
      <c r="M691" s="84"/>
    </row>
    <row r="692">
      <c r="A692" s="84"/>
      <c r="B692" s="193"/>
      <c r="C692" s="193"/>
      <c r="D692" s="194"/>
      <c r="E692" s="205"/>
      <c r="F692" s="193"/>
      <c r="G692" s="193"/>
      <c r="H692" s="193"/>
      <c r="I692" s="193"/>
      <c r="J692" s="193"/>
      <c r="K692" s="84"/>
      <c r="M692" s="84"/>
    </row>
    <row r="693">
      <c r="A693" s="84"/>
      <c r="B693" s="193"/>
      <c r="C693" s="193"/>
      <c r="D693" s="194"/>
      <c r="E693" s="205"/>
      <c r="F693" s="193"/>
      <c r="G693" s="193"/>
      <c r="H693" s="193"/>
      <c r="I693" s="193"/>
      <c r="J693" s="193"/>
      <c r="K693" s="84"/>
      <c r="M693" s="84"/>
    </row>
    <row r="694">
      <c r="A694" s="84"/>
      <c r="B694" s="193"/>
      <c r="C694" s="193"/>
      <c r="D694" s="194"/>
      <c r="E694" s="205"/>
      <c r="F694" s="193"/>
      <c r="G694" s="193"/>
      <c r="H694" s="193"/>
      <c r="I694" s="193"/>
      <c r="J694" s="193"/>
      <c r="K694" s="84"/>
      <c r="M694" s="84"/>
    </row>
    <row r="695">
      <c r="A695" s="84"/>
      <c r="B695" s="193"/>
      <c r="C695" s="193"/>
      <c r="D695" s="194"/>
      <c r="E695" s="205"/>
      <c r="F695" s="193"/>
      <c r="G695" s="193"/>
      <c r="H695" s="193"/>
      <c r="I695" s="193"/>
      <c r="J695" s="193"/>
      <c r="K695" s="84"/>
      <c r="M695" s="84"/>
    </row>
    <row r="696">
      <c r="A696" s="84"/>
      <c r="B696" s="193"/>
      <c r="C696" s="193"/>
      <c r="D696" s="194"/>
      <c r="E696" s="205"/>
      <c r="F696" s="193"/>
      <c r="G696" s="193"/>
      <c r="H696" s="193"/>
      <c r="I696" s="193"/>
      <c r="J696" s="193"/>
      <c r="K696" s="84"/>
      <c r="M696" s="84"/>
    </row>
    <row r="697">
      <c r="A697" s="84"/>
      <c r="B697" s="193"/>
      <c r="C697" s="193"/>
      <c r="D697" s="194"/>
      <c r="E697" s="206"/>
      <c r="F697" s="193"/>
      <c r="G697" s="193"/>
      <c r="H697" s="193"/>
      <c r="I697" s="193"/>
      <c r="J697" s="193"/>
      <c r="K697" s="84"/>
      <c r="M697" s="84"/>
    </row>
    <row r="698">
      <c r="A698" s="84"/>
      <c r="B698" s="193"/>
      <c r="C698" s="193"/>
      <c r="D698" s="194"/>
      <c r="E698" s="205"/>
      <c r="F698" s="193"/>
      <c r="G698" s="193"/>
      <c r="H698" s="193"/>
      <c r="I698" s="193"/>
      <c r="J698" s="193"/>
      <c r="K698" s="84"/>
      <c r="M698" s="84"/>
    </row>
    <row r="699">
      <c r="A699" s="84"/>
      <c r="B699" s="193"/>
      <c r="C699" s="193"/>
      <c r="D699" s="194"/>
      <c r="E699" s="205"/>
      <c r="F699" s="193"/>
      <c r="G699" s="193"/>
      <c r="H699" s="193"/>
      <c r="I699" s="193"/>
      <c r="J699" s="193"/>
      <c r="K699" s="84"/>
      <c r="M699" s="84"/>
    </row>
    <row r="700">
      <c r="A700" s="84"/>
      <c r="B700" s="193"/>
      <c r="C700" s="193"/>
      <c r="D700" s="194"/>
      <c r="E700" s="205"/>
      <c r="F700" s="193"/>
      <c r="G700" s="193"/>
      <c r="H700" s="193"/>
      <c r="I700" s="193"/>
      <c r="J700" s="193"/>
      <c r="K700" s="84"/>
      <c r="M700" s="84"/>
    </row>
    <row r="701">
      <c r="A701" s="84"/>
      <c r="B701" s="193"/>
      <c r="C701" s="193"/>
      <c r="D701" s="194"/>
      <c r="E701" s="206"/>
      <c r="F701" s="193"/>
      <c r="G701" s="193"/>
      <c r="H701" s="193"/>
      <c r="I701" s="193"/>
      <c r="J701" s="193"/>
      <c r="K701" s="84"/>
      <c r="M701" s="84"/>
    </row>
    <row r="702">
      <c r="A702" s="84"/>
      <c r="B702" s="193"/>
      <c r="C702" s="193"/>
      <c r="D702" s="194"/>
      <c r="E702" s="205"/>
      <c r="F702" s="193"/>
      <c r="G702" s="193"/>
      <c r="H702" s="193"/>
      <c r="I702" s="193"/>
      <c r="J702" s="193"/>
      <c r="K702" s="84"/>
      <c r="M702" s="84"/>
    </row>
    <row r="703">
      <c r="A703" s="84"/>
      <c r="B703" s="193"/>
      <c r="C703" s="193"/>
      <c r="D703" s="194"/>
      <c r="E703" s="205"/>
      <c r="F703" s="193"/>
      <c r="G703" s="193"/>
      <c r="H703" s="193"/>
      <c r="I703" s="193"/>
      <c r="J703" s="193"/>
      <c r="K703" s="84"/>
      <c r="M703" s="84"/>
    </row>
    <row r="704">
      <c r="A704" s="84"/>
      <c r="B704" s="193"/>
      <c r="C704" s="193"/>
      <c r="D704" s="194"/>
      <c r="E704" s="205"/>
      <c r="F704" s="193"/>
      <c r="G704" s="193"/>
      <c r="H704" s="193"/>
      <c r="I704" s="193"/>
      <c r="J704" s="193"/>
      <c r="K704" s="84"/>
      <c r="M704" s="84"/>
    </row>
    <row r="705">
      <c r="A705" s="84"/>
      <c r="B705" s="193"/>
      <c r="C705" s="193"/>
      <c r="D705" s="194"/>
      <c r="E705" s="205"/>
      <c r="F705" s="193"/>
      <c r="G705" s="193"/>
      <c r="H705" s="193"/>
      <c r="I705" s="193"/>
      <c r="J705" s="193"/>
      <c r="K705" s="84"/>
      <c r="M705" s="84"/>
    </row>
    <row r="706">
      <c r="A706" s="84"/>
      <c r="B706" s="193"/>
      <c r="C706" s="193"/>
      <c r="D706" s="194"/>
      <c r="E706" s="206"/>
      <c r="F706" s="193"/>
      <c r="G706" s="193"/>
      <c r="H706" s="193"/>
      <c r="I706" s="193"/>
      <c r="J706" s="193"/>
      <c r="K706" s="84"/>
      <c r="M706" s="84"/>
    </row>
    <row r="707">
      <c r="A707" s="84"/>
      <c r="B707" s="193"/>
      <c r="C707" s="193"/>
      <c r="D707" s="194"/>
      <c r="E707" s="206"/>
      <c r="F707" s="193"/>
      <c r="G707" s="193"/>
      <c r="H707" s="193"/>
      <c r="I707" s="193"/>
      <c r="J707" s="193"/>
      <c r="K707" s="84"/>
      <c r="M707" s="84"/>
    </row>
    <row r="708">
      <c r="A708" s="84"/>
      <c r="B708" s="193"/>
      <c r="C708" s="193"/>
      <c r="D708" s="194"/>
      <c r="E708" s="205"/>
      <c r="F708" s="193"/>
      <c r="G708" s="193"/>
      <c r="H708" s="193"/>
      <c r="I708" s="193"/>
      <c r="J708" s="193"/>
      <c r="K708" s="84"/>
      <c r="M708" s="84"/>
    </row>
    <row r="709">
      <c r="A709" s="84"/>
      <c r="B709" s="193"/>
      <c r="C709" s="193"/>
      <c r="D709" s="194"/>
      <c r="E709" s="206"/>
      <c r="F709" s="193"/>
      <c r="G709" s="193"/>
      <c r="H709" s="193"/>
      <c r="I709" s="193"/>
      <c r="J709" s="193"/>
      <c r="K709" s="84"/>
      <c r="M709" s="84"/>
    </row>
    <row r="710">
      <c r="A710" s="84"/>
      <c r="B710" s="193"/>
      <c r="C710" s="193"/>
      <c r="D710" s="194"/>
      <c r="E710" s="205"/>
      <c r="F710" s="193"/>
      <c r="G710" s="193"/>
      <c r="H710" s="193"/>
      <c r="I710" s="193"/>
      <c r="J710" s="193"/>
      <c r="K710" s="84"/>
      <c r="M710" s="84"/>
    </row>
    <row r="711">
      <c r="A711" s="84"/>
      <c r="B711" s="193"/>
      <c r="C711" s="193"/>
      <c r="D711" s="194"/>
      <c r="E711" s="206"/>
      <c r="F711" s="193"/>
      <c r="G711" s="193"/>
      <c r="H711" s="193"/>
      <c r="I711" s="193"/>
      <c r="J711" s="193"/>
      <c r="K711" s="84"/>
      <c r="M711" s="84"/>
    </row>
    <row r="712">
      <c r="A712" s="84"/>
      <c r="B712" s="193"/>
      <c r="C712" s="193"/>
      <c r="D712" s="194"/>
      <c r="E712" s="205"/>
      <c r="F712" s="193"/>
      <c r="G712" s="193"/>
      <c r="H712" s="193"/>
      <c r="I712" s="193"/>
      <c r="J712" s="193"/>
      <c r="K712" s="84"/>
      <c r="M712" s="84"/>
    </row>
    <row r="713">
      <c r="A713" s="84"/>
      <c r="B713" s="193"/>
      <c r="C713" s="193"/>
      <c r="D713" s="194"/>
      <c r="E713" s="205"/>
      <c r="F713" s="193"/>
      <c r="G713" s="193"/>
      <c r="H713" s="193"/>
      <c r="I713" s="193"/>
      <c r="J713" s="193"/>
      <c r="K713" s="84"/>
      <c r="M713" s="84"/>
    </row>
    <row r="714">
      <c r="A714" s="84"/>
      <c r="B714" s="193"/>
      <c r="C714" s="193"/>
      <c r="D714" s="194"/>
      <c r="E714" s="205"/>
      <c r="F714" s="193"/>
      <c r="G714" s="193"/>
      <c r="H714" s="193"/>
      <c r="I714" s="193"/>
      <c r="J714" s="193"/>
      <c r="K714" s="84"/>
      <c r="M714" s="84"/>
    </row>
    <row r="715">
      <c r="A715" s="84"/>
      <c r="B715" s="193"/>
      <c r="C715" s="193"/>
      <c r="D715" s="194"/>
      <c r="E715" s="205"/>
      <c r="F715" s="193"/>
      <c r="G715" s="193"/>
      <c r="H715" s="193"/>
      <c r="I715" s="193"/>
      <c r="J715" s="193"/>
      <c r="K715" s="84"/>
      <c r="M715" s="84"/>
    </row>
    <row r="716">
      <c r="A716" s="84"/>
      <c r="B716" s="193"/>
      <c r="C716" s="193"/>
      <c r="D716" s="194"/>
      <c r="E716" s="205"/>
      <c r="F716" s="193"/>
      <c r="G716" s="193"/>
      <c r="H716" s="193"/>
      <c r="I716" s="193"/>
      <c r="J716" s="193"/>
      <c r="K716" s="84"/>
      <c r="M716" s="84"/>
    </row>
    <row r="717">
      <c r="A717" s="84"/>
      <c r="B717" s="193"/>
      <c r="C717" s="193"/>
      <c r="D717" s="194"/>
      <c r="E717" s="206"/>
      <c r="F717" s="193"/>
      <c r="G717" s="193"/>
      <c r="H717" s="193"/>
      <c r="I717" s="193"/>
      <c r="J717" s="193"/>
      <c r="K717" s="84"/>
      <c r="M717" s="84"/>
    </row>
    <row r="718">
      <c r="A718" s="84"/>
      <c r="B718" s="193"/>
      <c r="C718" s="193"/>
      <c r="D718" s="194"/>
      <c r="E718" s="205"/>
      <c r="F718" s="193"/>
      <c r="G718" s="193"/>
      <c r="H718" s="193"/>
      <c r="I718" s="193"/>
      <c r="J718" s="193"/>
      <c r="K718" s="84"/>
      <c r="M718" s="84"/>
    </row>
    <row r="719">
      <c r="A719" s="84"/>
      <c r="B719" s="193"/>
      <c r="C719" s="193"/>
      <c r="D719" s="193"/>
      <c r="E719" s="208"/>
      <c r="F719" s="193"/>
      <c r="G719" s="193"/>
      <c r="H719" s="193"/>
      <c r="I719" s="193"/>
      <c r="J719" s="193"/>
      <c r="K719" s="84"/>
      <c r="M719" s="84"/>
    </row>
    <row r="720">
      <c r="A720" s="84"/>
      <c r="B720" s="193"/>
      <c r="C720" s="193"/>
      <c r="D720" s="194"/>
      <c r="E720" s="205"/>
      <c r="F720" s="193"/>
      <c r="G720" s="193"/>
      <c r="H720" s="193"/>
      <c r="I720" s="193"/>
      <c r="J720" s="193"/>
      <c r="K720" s="84"/>
      <c r="M720" s="84"/>
    </row>
    <row r="721">
      <c r="A721" s="84"/>
      <c r="B721" s="193"/>
      <c r="C721" s="193"/>
      <c r="D721" s="194"/>
      <c r="E721" s="205"/>
      <c r="F721" s="193"/>
      <c r="G721" s="193"/>
      <c r="H721" s="193"/>
      <c r="I721" s="193"/>
      <c r="J721" s="193"/>
      <c r="K721" s="84"/>
      <c r="M721" s="84"/>
    </row>
    <row r="722">
      <c r="A722" s="84"/>
      <c r="B722" s="193"/>
      <c r="C722" s="193"/>
      <c r="D722" s="194"/>
      <c r="E722" s="206"/>
      <c r="F722" s="193"/>
      <c r="G722" s="193"/>
      <c r="H722" s="193"/>
      <c r="I722" s="193"/>
      <c r="J722" s="193"/>
      <c r="K722" s="84"/>
      <c r="M722" s="84"/>
    </row>
    <row r="723">
      <c r="A723" s="84"/>
      <c r="B723" s="193"/>
      <c r="C723" s="193"/>
      <c r="D723" s="194"/>
      <c r="E723" s="205"/>
      <c r="F723" s="193"/>
      <c r="G723" s="193"/>
      <c r="H723" s="193"/>
      <c r="I723" s="193"/>
      <c r="J723" s="193"/>
      <c r="K723" s="84"/>
      <c r="M723" s="84"/>
    </row>
    <row r="724">
      <c r="A724" s="84"/>
      <c r="B724" s="193"/>
      <c r="C724" s="193"/>
      <c r="D724" s="194"/>
      <c r="E724" s="205"/>
      <c r="F724" s="193"/>
      <c r="G724" s="193"/>
      <c r="H724" s="193"/>
      <c r="I724" s="193"/>
      <c r="J724" s="193"/>
      <c r="K724" s="84"/>
      <c r="M724" s="84"/>
    </row>
    <row r="725">
      <c r="A725" s="84"/>
      <c r="B725" s="193"/>
      <c r="C725" s="193"/>
      <c r="D725" s="194"/>
      <c r="E725" s="206"/>
      <c r="F725" s="193"/>
      <c r="G725" s="193"/>
      <c r="H725" s="193"/>
      <c r="I725" s="193"/>
      <c r="J725" s="193"/>
      <c r="K725" s="84"/>
      <c r="M725" s="84"/>
    </row>
    <row r="726">
      <c r="A726" s="84"/>
      <c r="B726" s="193"/>
      <c r="C726" s="193"/>
      <c r="D726" s="194"/>
      <c r="E726" s="205"/>
      <c r="F726" s="193"/>
      <c r="G726" s="193"/>
      <c r="H726" s="193"/>
      <c r="I726" s="193"/>
      <c r="J726" s="193"/>
      <c r="K726" s="84"/>
      <c r="M726" s="84"/>
    </row>
    <row r="727">
      <c r="A727" s="84"/>
      <c r="B727" s="193"/>
      <c r="C727" s="193"/>
      <c r="D727" s="194"/>
      <c r="E727" s="206"/>
      <c r="F727" s="193"/>
      <c r="G727" s="193"/>
      <c r="H727" s="193"/>
      <c r="I727" s="193"/>
      <c r="J727" s="193"/>
      <c r="K727" s="84"/>
      <c r="M727" s="84"/>
    </row>
    <row r="728">
      <c r="A728" s="84"/>
      <c r="B728" s="193"/>
      <c r="C728" s="193"/>
      <c r="D728" s="194"/>
      <c r="E728" s="205"/>
      <c r="F728" s="193"/>
      <c r="G728" s="193"/>
      <c r="H728" s="193"/>
      <c r="I728" s="193"/>
      <c r="J728" s="193"/>
      <c r="K728" s="84"/>
      <c r="M728" s="84"/>
    </row>
    <row r="729">
      <c r="A729" s="84"/>
      <c r="B729" s="193"/>
      <c r="C729" s="193"/>
      <c r="D729" s="194"/>
      <c r="E729" s="205"/>
      <c r="F729" s="193"/>
      <c r="G729" s="193"/>
      <c r="H729" s="193"/>
      <c r="I729" s="193"/>
      <c r="J729" s="193"/>
      <c r="K729" s="84"/>
      <c r="M729" s="84"/>
    </row>
    <row r="730">
      <c r="A730" s="84"/>
      <c r="B730" s="193"/>
      <c r="C730" s="193"/>
      <c r="D730" s="194"/>
      <c r="E730" s="205"/>
      <c r="F730" s="193"/>
      <c r="G730" s="193"/>
      <c r="H730" s="193"/>
      <c r="I730" s="193"/>
      <c r="J730" s="193"/>
      <c r="K730" s="84"/>
      <c r="M730" s="84"/>
    </row>
    <row r="731">
      <c r="A731" s="84"/>
      <c r="B731" s="193"/>
      <c r="C731" s="193"/>
      <c r="D731" s="193"/>
      <c r="E731" s="205"/>
      <c r="F731" s="193"/>
      <c r="G731" s="193"/>
      <c r="H731" s="193"/>
      <c r="I731" s="193"/>
      <c r="J731" s="193"/>
      <c r="K731" s="84"/>
      <c r="M731" s="84"/>
    </row>
    <row r="732">
      <c r="A732" s="84"/>
      <c r="B732" s="193"/>
      <c r="C732" s="193"/>
      <c r="D732" s="193"/>
      <c r="E732" s="205"/>
      <c r="F732" s="193"/>
      <c r="G732" s="193"/>
      <c r="H732" s="193"/>
      <c r="I732" s="193"/>
      <c r="J732" s="193"/>
      <c r="K732" s="84"/>
      <c r="M732" s="84"/>
    </row>
    <row r="733">
      <c r="A733" s="84"/>
      <c r="B733" s="193"/>
      <c r="C733" s="193"/>
      <c r="D733" s="193"/>
      <c r="E733" s="205"/>
      <c r="F733" s="193"/>
      <c r="G733" s="193"/>
      <c r="H733" s="193"/>
      <c r="I733" s="193"/>
      <c r="J733" s="193"/>
      <c r="K733" s="84"/>
      <c r="M733" s="84"/>
    </row>
    <row r="734">
      <c r="A734" s="84"/>
      <c r="B734" s="193"/>
      <c r="C734" s="193"/>
      <c r="D734" s="193"/>
      <c r="E734" s="205"/>
      <c r="F734" s="193"/>
      <c r="G734" s="193"/>
      <c r="H734" s="193"/>
      <c r="I734" s="193"/>
      <c r="J734" s="193"/>
      <c r="K734" s="84"/>
      <c r="M734" s="84"/>
    </row>
    <row r="735">
      <c r="A735" s="84"/>
      <c r="B735" s="193"/>
      <c r="C735" s="193"/>
      <c r="D735" s="193"/>
      <c r="E735" s="205"/>
      <c r="F735" s="193"/>
      <c r="G735" s="193"/>
      <c r="H735" s="193"/>
      <c r="I735" s="193"/>
      <c r="J735" s="193"/>
      <c r="K735" s="84"/>
      <c r="M735" s="84"/>
    </row>
    <row r="736">
      <c r="A736" s="84"/>
      <c r="B736" s="193"/>
      <c r="C736" s="193"/>
      <c r="D736" s="193"/>
      <c r="E736" s="205"/>
      <c r="F736" s="193"/>
      <c r="G736" s="193"/>
      <c r="H736" s="193"/>
      <c r="I736" s="193"/>
      <c r="J736" s="193"/>
      <c r="K736" s="84"/>
      <c r="M736" s="84"/>
    </row>
    <row r="737">
      <c r="A737" s="84"/>
      <c r="B737" s="193"/>
      <c r="C737" s="193"/>
      <c r="D737" s="193"/>
      <c r="E737" s="205"/>
      <c r="F737" s="193"/>
      <c r="G737" s="193"/>
      <c r="H737" s="193"/>
      <c r="I737" s="193"/>
      <c r="J737" s="193"/>
      <c r="K737" s="84"/>
      <c r="M737" s="84"/>
    </row>
    <row r="738">
      <c r="A738" s="84"/>
      <c r="B738" s="193"/>
      <c r="C738" s="193"/>
      <c r="D738" s="193"/>
      <c r="E738" s="205"/>
      <c r="F738" s="193"/>
      <c r="G738" s="193"/>
      <c r="H738" s="193"/>
      <c r="I738" s="193"/>
      <c r="J738" s="193"/>
      <c r="K738" s="84"/>
      <c r="M738" s="84"/>
    </row>
    <row r="739">
      <c r="A739" s="84"/>
      <c r="B739" s="193"/>
      <c r="C739" s="193"/>
      <c r="D739" s="193"/>
      <c r="E739" s="205"/>
      <c r="F739" s="193"/>
      <c r="G739" s="193"/>
      <c r="H739" s="193"/>
      <c r="I739" s="193"/>
      <c r="J739" s="193"/>
      <c r="K739" s="84"/>
      <c r="M739" s="84"/>
    </row>
    <row r="740">
      <c r="A740" s="84"/>
      <c r="B740" s="193"/>
      <c r="C740" s="193"/>
      <c r="D740" s="193"/>
      <c r="E740" s="205"/>
      <c r="F740" s="193"/>
      <c r="G740" s="193"/>
      <c r="H740" s="193"/>
      <c r="I740" s="193"/>
      <c r="J740" s="193"/>
      <c r="K740" s="84"/>
      <c r="M740" s="84"/>
    </row>
    <row r="741">
      <c r="A741" s="84"/>
      <c r="B741" s="193"/>
      <c r="C741" s="193"/>
      <c r="D741" s="194"/>
      <c r="E741" s="205"/>
      <c r="F741" s="193"/>
      <c r="G741" s="193"/>
      <c r="H741" s="193"/>
      <c r="I741" s="193"/>
      <c r="J741" s="193"/>
      <c r="K741" s="84"/>
      <c r="M741" s="84"/>
    </row>
    <row r="742">
      <c r="A742" s="84"/>
      <c r="B742" s="193"/>
      <c r="C742" s="193"/>
      <c r="D742" s="194"/>
      <c r="E742" s="206"/>
      <c r="F742" s="193"/>
      <c r="G742" s="193"/>
      <c r="H742" s="193"/>
      <c r="I742" s="193"/>
      <c r="J742" s="193"/>
      <c r="K742" s="84"/>
      <c r="M742" s="84"/>
    </row>
    <row r="743">
      <c r="A743" s="84"/>
      <c r="B743" s="193"/>
      <c r="C743" s="193"/>
      <c r="D743" s="194"/>
      <c r="E743" s="206"/>
      <c r="F743" s="193"/>
      <c r="G743" s="193"/>
      <c r="H743" s="193"/>
      <c r="I743" s="193"/>
      <c r="J743" s="193"/>
      <c r="K743" s="84"/>
      <c r="M743" s="84"/>
    </row>
    <row r="744">
      <c r="A744" s="84"/>
      <c r="B744" s="193"/>
      <c r="C744" s="193"/>
      <c r="D744" s="194"/>
      <c r="E744" s="205"/>
      <c r="F744" s="193"/>
      <c r="G744" s="193"/>
      <c r="H744" s="193"/>
      <c r="I744" s="193"/>
      <c r="J744" s="193"/>
      <c r="K744" s="84"/>
      <c r="M744" s="84"/>
    </row>
    <row r="745">
      <c r="A745" s="84"/>
      <c r="B745" s="193"/>
      <c r="C745" s="193"/>
      <c r="D745" s="194"/>
      <c r="E745" s="206"/>
      <c r="F745" s="193"/>
      <c r="G745" s="193"/>
      <c r="H745" s="193"/>
      <c r="I745" s="193"/>
      <c r="J745" s="193"/>
      <c r="K745" s="84"/>
      <c r="M745" s="84"/>
    </row>
    <row r="746">
      <c r="A746" s="84"/>
      <c r="B746" s="193"/>
      <c r="C746" s="193"/>
      <c r="D746" s="194"/>
      <c r="E746" s="205"/>
      <c r="F746" s="193"/>
      <c r="G746" s="193"/>
      <c r="H746" s="193"/>
      <c r="I746" s="193"/>
      <c r="J746" s="193"/>
      <c r="K746" s="84"/>
      <c r="M746" s="84"/>
    </row>
    <row r="747">
      <c r="A747" s="84"/>
      <c r="B747" s="193"/>
      <c r="C747" s="193"/>
      <c r="D747" s="194"/>
      <c r="E747" s="206"/>
      <c r="F747" s="193"/>
      <c r="G747" s="193"/>
      <c r="H747" s="193"/>
      <c r="I747" s="193"/>
      <c r="J747" s="193"/>
      <c r="K747" s="84"/>
      <c r="M747" s="84"/>
    </row>
    <row r="748">
      <c r="A748" s="84"/>
      <c r="B748" s="193"/>
      <c r="C748" s="193"/>
      <c r="D748" s="194"/>
      <c r="E748" s="205"/>
      <c r="F748" s="193"/>
      <c r="G748" s="193"/>
      <c r="H748" s="193"/>
      <c r="I748" s="193"/>
      <c r="J748" s="193"/>
      <c r="K748" s="84"/>
      <c r="M748" s="84"/>
    </row>
    <row r="749">
      <c r="A749" s="84"/>
      <c r="B749" s="193"/>
      <c r="C749" s="193"/>
      <c r="D749" s="194"/>
      <c r="E749" s="205"/>
      <c r="F749" s="193"/>
      <c r="G749" s="193"/>
      <c r="H749" s="193"/>
      <c r="I749" s="193"/>
      <c r="J749" s="193"/>
      <c r="K749" s="84"/>
      <c r="M749" s="84"/>
    </row>
    <row r="750">
      <c r="A750" s="84"/>
      <c r="B750" s="193"/>
      <c r="C750" s="193"/>
      <c r="D750" s="194"/>
      <c r="E750" s="205"/>
      <c r="F750" s="193"/>
      <c r="G750" s="193"/>
      <c r="H750" s="193"/>
      <c r="I750" s="193"/>
      <c r="J750" s="193"/>
      <c r="K750" s="84"/>
      <c r="M750" s="84"/>
    </row>
    <row r="751">
      <c r="A751" s="84"/>
      <c r="B751" s="193"/>
      <c r="C751" s="193"/>
      <c r="D751" s="194"/>
      <c r="E751" s="206"/>
      <c r="F751" s="193"/>
      <c r="G751" s="193"/>
      <c r="H751" s="193"/>
      <c r="I751" s="193"/>
      <c r="J751" s="193"/>
      <c r="K751" s="84"/>
      <c r="M751" s="84"/>
    </row>
    <row r="752">
      <c r="A752" s="84"/>
      <c r="B752" s="193"/>
      <c r="C752" s="193"/>
      <c r="D752" s="194"/>
      <c r="E752" s="205"/>
      <c r="F752" s="193"/>
      <c r="G752" s="193"/>
      <c r="H752" s="193"/>
      <c r="I752" s="193"/>
      <c r="J752" s="193"/>
      <c r="K752" s="84"/>
      <c r="M752" s="84"/>
    </row>
    <row r="753">
      <c r="A753" s="84"/>
      <c r="B753" s="193"/>
      <c r="C753" s="193"/>
      <c r="D753" s="194"/>
      <c r="E753" s="206"/>
      <c r="F753" s="193"/>
      <c r="G753" s="193"/>
      <c r="H753" s="193"/>
      <c r="I753" s="193"/>
      <c r="J753" s="193"/>
      <c r="K753" s="84"/>
      <c r="M753" s="84"/>
    </row>
    <row r="754">
      <c r="A754" s="84"/>
      <c r="B754" s="193"/>
      <c r="C754" s="193"/>
      <c r="D754" s="194"/>
      <c r="E754" s="206"/>
      <c r="F754" s="193"/>
      <c r="G754" s="193"/>
      <c r="H754" s="193"/>
      <c r="I754" s="193"/>
      <c r="J754" s="193"/>
      <c r="K754" s="84"/>
      <c r="M754" s="84"/>
    </row>
    <row r="755">
      <c r="A755" s="84"/>
      <c r="B755" s="193"/>
      <c r="C755" s="193"/>
      <c r="D755" s="194"/>
      <c r="E755" s="206"/>
      <c r="F755" s="193"/>
      <c r="G755" s="193"/>
      <c r="H755" s="193"/>
      <c r="I755" s="193"/>
      <c r="J755" s="193"/>
      <c r="K755" s="84"/>
      <c r="M755" s="84"/>
    </row>
    <row r="756">
      <c r="A756" s="84"/>
      <c r="B756" s="193"/>
      <c r="C756" s="193"/>
      <c r="D756" s="194"/>
      <c r="E756" s="205"/>
      <c r="F756" s="193"/>
      <c r="G756" s="193"/>
      <c r="H756" s="193"/>
      <c r="I756" s="193"/>
      <c r="J756" s="193"/>
      <c r="K756" s="84"/>
      <c r="M756" s="84"/>
    </row>
    <row r="757">
      <c r="A757" s="84"/>
      <c r="B757" s="193"/>
      <c r="C757" s="193"/>
      <c r="D757" s="194"/>
      <c r="E757" s="206"/>
      <c r="F757" s="193"/>
      <c r="G757" s="193"/>
      <c r="H757" s="193"/>
      <c r="I757" s="193"/>
      <c r="J757" s="193"/>
      <c r="K757" s="84"/>
      <c r="M757" s="84"/>
    </row>
    <row r="758">
      <c r="A758" s="84"/>
      <c r="B758" s="193"/>
      <c r="C758" s="193"/>
      <c r="D758" s="194"/>
      <c r="E758" s="205"/>
      <c r="F758" s="193"/>
      <c r="G758" s="193"/>
      <c r="H758" s="193"/>
      <c r="I758" s="193"/>
      <c r="J758" s="193"/>
      <c r="K758" s="84"/>
      <c r="M758" s="84"/>
    </row>
    <row r="759">
      <c r="A759" s="84"/>
      <c r="B759" s="193"/>
      <c r="C759" s="193"/>
      <c r="D759" s="194"/>
      <c r="E759" s="205"/>
      <c r="F759" s="193"/>
      <c r="G759" s="193"/>
      <c r="H759" s="193"/>
      <c r="I759" s="193"/>
      <c r="J759" s="193"/>
      <c r="K759" s="84"/>
      <c r="M759" s="84"/>
    </row>
    <row r="760">
      <c r="A760" s="84"/>
      <c r="B760" s="193"/>
      <c r="C760" s="193"/>
      <c r="D760" s="194"/>
      <c r="E760" s="206"/>
      <c r="F760" s="193"/>
      <c r="G760" s="193"/>
      <c r="H760" s="193"/>
      <c r="I760" s="193"/>
      <c r="J760" s="193"/>
      <c r="K760" s="84"/>
      <c r="M760" s="84"/>
    </row>
    <row r="761">
      <c r="A761" s="84"/>
      <c r="B761" s="193"/>
      <c r="C761" s="193"/>
      <c r="D761" s="194"/>
      <c r="E761" s="206"/>
      <c r="F761" s="193"/>
      <c r="G761" s="193"/>
      <c r="H761" s="193"/>
      <c r="I761" s="193"/>
      <c r="J761" s="193"/>
      <c r="K761" s="84"/>
      <c r="M761" s="84"/>
    </row>
    <row r="762">
      <c r="A762" s="84"/>
      <c r="B762" s="193"/>
      <c r="C762" s="193"/>
      <c r="D762" s="194"/>
      <c r="E762" s="206"/>
      <c r="F762" s="193"/>
      <c r="G762" s="193"/>
      <c r="H762" s="193"/>
      <c r="I762" s="193"/>
      <c r="J762" s="193"/>
      <c r="K762" s="84"/>
      <c r="M762" s="84"/>
    </row>
    <row r="763">
      <c r="A763" s="84"/>
      <c r="B763" s="193"/>
      <c r="C763" s="193"/>
      <c r="D763" s="194"/>
      <c r="E763" s="205"/>
      <c r="F763" s="193"/>
      <c r="G763" s="193"/>
      <c r="H763" s="193"/>
      <c r="I763" s="193"/>
      <c r="J763" s="193"/>
      <c r="K763" s="84"/>
      <c r="M763" s="84"/>
    </row>
    <row r="764">
      <c r="A764" s="84"/>
      <c r="B764" s="193"/>
      <c r="C764" s="193"/>
      <c r="D764" s="194"/>
      <c r="E764" s="205"/>
      <c r="F764" s="193"/>
      <c r="G764" s="193"/>
      <c r="H764" s="193"/>
      <c r="I764" s="193"/>
      <c r="J764" s="193"/>
      <c r="K764" s="84"/>
      <c r="M764" s="84"/>
    </row>
    <row r="765">
      <c r="A765" s="84"/>
      <c r="B765" s="193"/>
      <c r="C765" s="193"/>
      <c r="D765" s="194"/>
      <c r="E765" s="206"/>
      <c r="F765" s="193"/>
      <c r="G765" s="193"/>
      <c r="H765" s="193"/>
      <c r="I765" s="193"/>
      <c r="J765" s="193"/>
      <c r="K765" s="84"/>
      <c r="M765" s="84"/>
    </row>
    <row r="766">
      <c r="A766" s="84"/>
      <c r="B766" s="193"/>
      <c r="C766" s="193"/>
      <c r="D766" s="194"/>
      <c r="E766" s="205"/>
      <c r="F766" s="193"/>
      <c r="G766" s="193"/>
      <c r="H766" s="193"/>
      <c r="I766" s="193"/>
      <c r="J766" s="193"/>
      <c r="K766" s="84"/>
      <c r="M766" s="84"/>
    </row>
    <row r="767">
      <c r="A767" s="84"/>
      <c r="B767" s="193"/>
      <c r="C767" s="193"/>
      <c r="D767" s="194"/>
      <c r="E767" s="206"/>
      <c r="F767" s="193"/>
      <c r="G767" s="193"/>
      <c r="H767" s="193"/>
      <c r="I767" s="193"/>
      <c r="J767" s="193"/>
      <c r="K767" s="84"/>
      <c r="M767" s="84"/>
    </row>
    <row r="768">
      <c r="A768" s="84"/>
      <c r="B768" s="193"/>
      <c r="C768" s="193"/>
      <c r="D768" s="194"/>
      <c r="E768" s="205"/>
      <c r="F768" s="193"/>
      <c r="G768" s="193"/>
      <c r="H768" s="193"/>
      <c r="I768" s="193"/>
      <c r="J768" s="193"/>
      <c r="K768" s="84"/>
      <c r="M768" s="84"/>
    </row>
    <row r="769">
      <c r="A769" s="84"/>
      <c r="B769" s="193"/>
      <c r="C769" s="193"/>
      <c r="D769" s="194"/>
      <c r="E769" s="205"/>
      <c r="F769" s="193"/>
      <c r="G769" s="193"/>
      <c r="H769" s="193"/>
      <c r="I769" s="193"/>
      <c r="J769" s="193"/>
      <c r="K769" s="84"/>
      <c r="M769" s="84"/>
    </row>
    <row r="770">
      <c r="A770" s="84"/>
      <c r="B770" s="193"/>
      <c r="C770" s="193"/>
      <c r="D770" s="194"/>
      <c r="E770" s="205"/>
      <c r="F770" s="193"/>
      <c r="G770" s="193"/>
      <c r="H770" s="193"/>
      <c r="I770" s="193"/>
      <c r="J770" s="193"/>
      <c r="K770" s="84"/>
      <c r="M770" s="84"/>
    </row>
    <row r="771">
      <c r="A771" s="84"/>
      <c r="B771" s="193"/>
      <c r="C771" s="193"/>
      <c r="D771" s="194"/>
      <c r="E771" s="205"/>
      <c r="F771" s="193"/>
      <c r="G771" s="193"/>
      <c r="H771" s="193"/>
      <c r="I771" s="193"/>
      <c r="J771" s="193"/>
      <c r="K771" s="84"/>
      <c r="M771" s="84"/>
    </row>
    <row r="772">
      <c r="A772" s="84"/>
      <c r="B772" s="193"/>
      <c r="C772" s="193"/>
      <c r="D772" s="194"/>
      <c r="E772" s="206"/>
      <c r="F772" s="193"/>
      <c r="G772" s="193"/>
      <c r="H772" s="193"/>
      <c r="I772" s="193"/>
      <c r="J772" s="193"/>
      <c r="K772" s="84"/>
      <c r="M772" s="84"/>
    </row>
    <row r="773">
      <c r="A773" s="84"/>
      <c r="B773" s="193"/>
      <c r="C773" s="193"/>
      <c r="D773" s="194"/>
      <c r="E773" s="205"/>
      <c r="F773" s="193"/>
      <c r="G773" s="193"/>
      <c r="H773" s="193"/>
      <c r="I773" s="193"/>
      <c r="J773" s="193"/>
      <c r="K773" s="84"/>
      <c r="M773" s="84"/>
    </row>
    <row r="774">
      <c r="A774" s="84"/>
      <c r="B774" s="193"/>
      <c r="C774" s="193"/>
      <c r="D774" s="194"/>
      <c r="E774" s="206"/>
      <c r="F774" s="193"/>
      <c r="G774" s="193"/>
      <c r="H774" s="193"/>
      <c r="I774" s="193"/>
      <c r="J774" s="193"/>
      <c r="K774" s="84"/>
      <c r="M774" s="84"/>
    </row>
    <row r="775">
      <c r="A775" s="84"/>
      <c r="B775" s="193"/>
      <c r="C775" s="193"/>
      <c r="D775" s="194"/>
      <c r="E775" s="205"/>
      <c r="F775" s="193"/>
      <c r="G775" s="193"/>
      <c r="H775" s="193"/>
      <c r="I775" s="193"/>
      <c r="J775" s="193"/>
      <c r="K775" s="84"/>
      <c r="M775" s="84"/>
    </row>
    <row r="776">
      <c r="A776" s="84"/>
      <c r="B776" s="193"/>
      <c r="C776" s="193"/>
      <c r="D776" s="194"/>
      <c r="E776" s="205"/>
      <c r="F776" s="193"/>
      <c r="G776" s="193"/>
      <c r="H776" s="193"/>
      <c r="I776" s="193"/>
      <c r="J776" s="193"/>
      <c r="K776" s="84"/>
      <c r="M776" s="84"/>
    </row>
    <row r="777">
      <c r="A777" s="84"/>
      <c r="B777" s="193"/>
      <c r="C777" s="193"/>
      <c r="D777" s="194"/>
      <c r="E777" s="205"/>
      <c r="F777" s="193"/>
      <c r="G777" s="193"/>
      <c r="H777" s="193"/>
      <c r="I777" s="193"/>
      <c r="J777" s="193"/>
      <c r="K777" s="84"/>
      <c r="M777" s="84"/>
    </row>
    <row r="778">
      <c r="A778" s="84"/>
      <c r="B778" s="193"/>
      <c r="C778" s="193"/>
      <c r="D778" s="194"/>
      <c r="E778" s="206"/>
      <c r="F778" s="193"/>
      <c r="G778" s="193"/>
      <c r="H778" s="193"/>
      <c r="I778" s="193"/>
      <c r="J778" s="193"/>
      <c r="K778" s="84"/>
      <c r="M778" s="84"/>
    </row>
    <row r="779">
      <c r="A779" s="84"/>
      <c r="B779" s="193"/>
      <c r="C779" s="193"/>
      <c r="D779" s="194"/>
      <c r="E779" s="205"/>
      <c r="F779" s="193"/>
      <c r="G779" s="193"/>
      <c r="H779" s="193"/>
      <c r="I779" s="193"/>
      <c r="J779" s="193"/>
      <c r="K779" s="84"/>
      <c r="M779" s="84"/>
    </row>
    <row r="780">
      <c r="A780" s="84"/>
      <c r="B780" s="193"/>
      <c r="C780" s="193"/>
      <c r="D780" s="194"/>
      <c r="E780" s="205"/>
      <c r="F780" s="193"/>
      <c r="G780" s="193"/>
      <c r="H780" s="193"/>
      <c r="I780" s="193"/>
      <c r="J780" s="193"/>
      <c r="K780" s="84"/>
      <c r="M780" s="84"/>
    </row>
    <row r="781">
      <c r="A781" s="84"/>
      <c r="B781" s="193"/>
      <c r="C781" s="193"/>
      <c r="D781" s="194"/>
      <c r="E781" s="205"/>
      <c r="F781" s="193"/>
      <c r="G781" s="193"/>
      <c r="H781" s="193"/>
      <c r="I781" s="193"/>
      <c r="J781" s="193"/>
      <c r="K781" s="84"/>
      <c r="M781" s="84"/>
    </row>
    <row r="782">
      <c r="A782" s="84"/>
      <c r="B782" s="193"/>
      <c r="C782" s="193"/>
      <c r="D782" s="194"/>
      <c r="E782" s="206"/>
      <c r="F782" s="193"/>
      <c r="G782" s="193"/>
      <c r="H782" s="193"/>
      <c r="I782" s="193"/>
      <c r="J782" s="193"/>
      <c r="K782" s="84"/>
      <c r="M782" s="84"/>
    </row>
    <row r="783">
      <c r="A783" s="84"/>
      <c r="B783" s="193"/>
      <c r="C783" s="193"/>
      <c r="D783" s="194"/>
      <c r="E783" s="205"/>
      <c r="F783" s="193"/>
      <c r="G783" s="193"/>
      <c r="H783" s="193"/>
      <c r="I783" s="193"/>
      <c r="J783" s="193"/>
      <c r="K783" s="84"/>
      <c r="M783" s="84"/>
    </row>
    <row r="784">
      <c r="A784" s="84"/>
      <c r="B784" s="193"/>
      <c r="C784" s="193"/>
      <c r="D784" s="194"/>
      <c r="E784" s="205"/>
      <c r="F784" s="193"/>
      <c r="G784" s="193"/>
      <c r="H784" s="193"/>
      <c r="I784" s="193"/>
      <c r="J784" s="193"/>
      <c r="K784" s="84"/>
      <c r="M784" s="84"/>
    </row>
    <row r="785">
      <c r="A785" s="84"/>
      <c r="B785" s="193"/>
      <c r="C785" s="193"/>
      <c r="D785" s="194"/>
      <c r="E785" s="206"/>
      <c r="F785" s="193"/>
      <c r="G785" s="193"/>
      <c r="H785" s="193"/>
      <c r="I785" s="193"/>
      <c r="J785" s="193"/>
      <c r="K785" s="84"/>
      <c r="M785" s="84"/>
    </row>
    <row r="786">
      <c r="A786" s="84"/>
      <c r="B786" s="193"/>
      <c r="C786" s="193"/>
      <c r="D786" s="194"/>
      <c r="E786" s="206"/>
      <c r="F786" s="193"/>
      <c r="G786" s="193"/>
      <c r="H786" s="193"/>
      <c r="I786" s="193"/>
      <c r="J786" s="193"/>
      <c r="K786" s="84"/>
      <c r="M786" s="84"/>
    </row>
    <row r="787">
      <c r="A787" s="84"/>
      <c r="B787" s="193"/>
      <c r="C787" s="193"/>
      <c r="D787" s="194"/>
      <c r="E787" s="205"/>
      <c r="F787" s="193"/>
      <c r="G787" s="193"/>
      <c r="H787" s="193"/>
      <c r="I787" s="193"/>
      <c r="J787" s="193"/>
      <c r="K787" s="84"/>
      <c r="M787" s="84"/>
    </row>
    <row r="788">
      <c r="A788" s="84"/>
      <c r="B788" s="193"/>
      <c r="C788" s="193"/>
      <c r="D788" s="194"/>
      <c r="E788" s="206"/>
      <c r="F788" s="193"/>
      <c r="G788" s="193"/>
      <c r="H788" s="193"/>
      <c r="I788" s="193"/>
      <c r="J788" s="193"/>
      <c r="K788" s="84"/>
      <c r="M788" s="84"/>
    </row>
    <row r="789">
      <c r="A789" s="84"/>
      <c r="B789" s="193"/>
      <c r="C789" s="193"/>
      <c r="D789" s="194"/>
      <c r="E789" s="206"/>
      <c r="F789" s="193"/>
      <c r="G789" s="193"/>
      <c r="H789" s="193"/>
      <c r="I789" s="193"/>
      <c r="J789" s="193"/>
      <c r="K789" s="84"/>
      <c r="M789" s="84"/>
    </row>
    <row r="790">
      <c r="A790" s="84"/>
      <c r="B790" s="193"/>
      <c r="C790" s="193"/>
      <c r="D790" s="194"/>
      <c r="E790" s="206"/>
      <c r="F790" s="193"/>
      <c r="G790" s="193"/>
      <c r="H790" s="193"/>
      <c r="I790" s="193"/>
      <c r="J790" s="193"/>
      <c r="K790" s="84"/>
      <c r="M790" s="84"/>
    </row>
    <row r="791">
      <c r="A791" s="84"/>
      <c r="B791" s="193"/>
      <c r="C791" s="193"/>
      <c r="D791" s="194"/>
      <c r="E791" s="206"/>
      <c r="F791" s="193"/>
      <c r="G791" s="193"/>
      <c r="H791" s="193"/>
      <c r="I791" s="193"/>
      <c r="J791" s="193"/>
      <c r="K791" s="84"/>
      <c r="M791" s="84"/>
    </row>
    <row r="792">
      <c r="A792" s="84"/>
      <c r="B792" s="193"/>
      <c r="C792" s="193"/>
      <c r="D792" s="194"/>
      <c r="E792" s="205"/>
      <c r="F792" s="193"/>
      <c r="G792" s="193"/>
      <c r="H792" s="193"/>
      <c r="I792" s="193"/>
      <c r="J792" s="193"/>
      <c r="K792" s="84"/>
      <c r="M792" s="84"/>
    </row>
    <row r="793">
      <c r="A793" s="84"/>
      <c r="B793" s="193"/>
      <c r="C793" s="193"/>
      <c r="D793" s="194"/>
      <c r="E793" s="205"/>
      <c r="F793" s="193"/>
      <c r="G793" s="193"/>
      <c r="H793" s="193"/>
      <c r="I793" s="193"/>
      <c r="J793" s="193"/>
      <c r="K793" s="84"/>
      <c r="M793" s="84"/>
    </row>
    <row r="794">
      <c r="A794" s="84"/>
      <c r="B794" s="193"/>
      <c r="C794" s="193"/>
      <c r="D794" s="194"/>
      <c r="E794" s="205"/>
      <c r="F794" s="193"/>
      <c r="G794" s="193"/>
      <c r="H794" s="193"/>
      <c r="I794" s="193"/>
      <c r="J794" s="193"/>
      <c r="K794" s="84"/>
      <c r="M794" s="84"/>
    </row>
    <row r="795">
      <c r="A795" s="84"/>
      <c r="B795" s="193"/>
      <c r="C795" s="193"/>
      <c r="D795" s="194"/>
      <c r="E795" s="205"/>
      <c r="F795" s="193"/>
      <c r="G795" s="193"/>
      <c r="H795" s="193"/>
      <c r="I795" s="193"/>
      <c r="J795" s="193"/>
      <c r="K795" s="84"/>
      <c r="M795" s="84"/>
    </row>
    <row r="796">
      <c r="A796" s="84"/>
      <c r="B796" s="193"/>
      <c r="C796" s="193"/>
      <c r="D796" s="194"/>
      <c r="E796" s="206"/>
      <c r="F796" s="193"/>
      <c r="G796" s="193"/>
      <c r="H796" s="193"/>
      <c r="I796" s="193"/>
      <c r="J796" s="193"/>
      <c r="K796" s="84"/>
      <c r="M796" s="84"/>
    </row>
    <row r="797">
      <c r="A797" s="84"/>
      <c r="B797" s="193"/>
      <c r="C797" s="193"/>
      <c r="D797" s="194"/>
      <c r="E797" s="205"/>
      <c r="F797" s="193"/>
      <c r="G797" s="193"/>
      <c r="H797" s="193"/>
      <c r="I797" s="193"/>
      <c r="J797" s="193"/>
      <c r="K797" s="84"/>
      <c r="M797" s="84"/>
    </row>
    <row r="798">
      <c r="A798" s="84"/>
      <c r="B798" s="193"/>
      <c r="C798" s="193"/>
      <c r="D798" s="194"/>
      <c r="E798" s="205"/>
      <c r="F798" s="193"/>
      <c r="G798" s="193"/>
      <c r="H798" s="193"/>
      <c r="I798" s="193"/>
      <c r="J798" s="193"/>
      <c r="K798" s="84"/>
      <c r="M798" s="84"/>
    </row>
    <row r="799">
      <c r="A799" s="84"/>
      <c r="B799" s="193"/>
      <c r="C799" s="193"/>
      <c r="D799" s="194"/>
      <c r="E799" s="206"/>
      <c r="F799" s="193"/>
      <c r="G799" s="193"/>
      <c r="H799" s="193"/>
      <c r="I799" s="193"/>
      <c r="J799" s="193"/>
      <c r="K799" s="84"/>
      <c r="M799" s="84"/>
    </row>
    <row r="800">
      <c r="A800" s="84"/>
      <c r="B800" s="193"/>
      <c r="C800" s="193"/>
      <c r="D800" s="194"/>
      <c r="E800" s="206"/>
      <c r="F800" s="193"/>
      <c r="G800" s="193"/>
      <c r="H800" s="193"/>
      <c r="I800" s="193"/>
      <c r="J800" s="193"/>
      <c r="K800" s="84"/>
      <c r="M800" s="84"/>
    </row>
    <row r="801">
      <c r="A801" s="84"/>
      <c r="B801" s="193"/>
      <c r="C801" s="193"/>
      <c r="D801" s="194"/>
      <c r="E801" s="206"/>
      <c r="F801" s="193"/>
      <c r="G801" s="193"/>
      <c r="H801" s="193"/>
      <c r="I801" s="193"/>
      <c r="J801" s="193"/>
      <c r="K801" s="84"/>
      <c r="M801" s="84"/>
    </row>
    <row r="802">
      <c r="A802" s="84"/>
      <c r="B802" s="193"/>
      <c r="C802" s="193"/>
      <c r="D802" s="194"/>
      <c r="E802" s="205"/>
      <c r="F802" s="193"/>
      <c r="G802" s="193"/>
      <c r="H802" s="193"/>
      <c r="I802" s="193"/>
      <c r="J802" s="193"/>
      <c r="K802" s="84"/>
      <c r="M802" s="84"/>
    </row>
    <row r="803">
      <c r="A803" s="84"/>
      <c r="B803" s="193"/>
      <c r="C803" s="193"/>
      <c r="D803" s="194"/>
      <c r="E803" s="206"/>
      <c r="F803" s="193"/>
      <c r="G803" s="193"/>
      <c r="H803" s="193"/>
      <c r="I803" s="193"/>
      <c r="J803" s="193"/>
      <c r="K803" s="84"/>
      <c r="M803" s="84"/>
    </row>
    <row r="804">
      <c r="A804" s="84"/>
      <c r="B804" s="193"/>
      <c r="C804" s="193"/>
      <c r="D804" s="194"/>
      <c r="E804" s="206"/>
      <c r="F804" s="193"/>
      <c r="G804" s="193"/>
      <c r="H804" s="193"/>
      <c r="I804" s="193"/>
      <c r="J804" s="193"/>
      <c r="K804" s="84"/>
      <c r="M804" s="84"/>
    </row>
    <row r="805">
      <c r="A805" s="84"/>
      <c r="B805" s="193"/>
      <c r="C805" s="193"/>
      <c r="D805" s="194"/>
      <c r="E805" s="205"/>
      <c r="F805" s="193"/>
      <c r="G805" s="193"/>
      <c r="H805" s="193"/>
      <c r="I805" s="193"/>
      <c r="J805" s="193"/>
      <c r="K805" s="84"/>
      <c r="M805" s="84"/>
    </row>
    <row r="806">
      <c r="A806" s="84"/>
      <c r="B806" s="193"/>
      <c r="C806" s="193"/>
      <c r="D806" s="194"/>
      <c r="E806" s="205"/>
      <c r="F806" s="193"/>
      <c r="G806" s="193"/>
      <c r="H806" s="193"/>
      <c r="I806" s="193"/>
      <c r="J806" s="193"/>
      <c r="K806" s="84"/>
      <c r="M806" s="84"/>
    </row>
    <row r="807">
      <c r="A807" s="84"/>
      <c r="B807" s="193"/>
      <c r="C807" s="193"/>
      <c r="D807" s="194"/>
      <c r="E807" s="206"/>
      <c r="F807" s="193"/>
      <c r="G807" s="193"/>
      <c r="H807" s="193"/>
      <c r="I807" s="193"/>
      <c r="J807" s="193"/>
      <c r="K807" s="84"/>
      <c r="M807" s="84"/>
    </row>
    <row r="808">
      <c r="A808" s="84"/>
      <c r="B808" s="193"/>
      <c r="C808" s="193"/>
      <c r="D808" s="194"/>
      <c r="E808" s="205"/>
      <c r="F808" s="193"/>
      <c r="G808" s="193"/>
      <c r="H808" s="193"/>
      <c r="I808" s="193"/>
      <c r="J808" s="193"/>
      <c r="K808" s="84"/>
      <c r="M808" s="84"/>
    </row>
    <row r="809">
      <c r="A809" s="84"/>
      <c r="B809" s="193"/>
      <c r="C809" s="193"/>
      <c r="D809" s="194"/>
      <c r="E809" s="206"/>
      <c r="F809" s="193"/>
      <c r="G809" s="193"/>
      <c r="H809" s="193"/>
      <c r="I809" s="193"/>
      <c r="J809" s="193"/>
      <c r="K809" s="84"/>
      <c r="M809" s="84"/>
    </row>
    <row r="810">
      <c r="A810" s="84"/>
      <c r="B810" s="193"/>
      <c r="C810" s="193"/>
      <c r="D810" s="194"/>
      <c r="E810" s="205"/>
      <c r="F810" s="193"/>
      <c r="G810" s="193"/>
      <c r="H810" s="193"/>
      <c r="I810" s="193"/>
      <c r="J810" s="193"/>
      <c r="K810" s="84"/>
      <c r="M810" s="84"/>
    </row>
    <row r="811">
      <c r="A811" s="84"/>
      <c r="B811" s="193"/>
      <c r="C811" s="193"/>
      <c r="D811" s="194"/>
      <c r="E811" s="205"/>
      <c r="F811" s="193"/>
      <c r="G811" s="193"/>
      <c r="H811" s="193"/>
      <c r="I811" s="193"/>
      <c r="J811" s="193"/>
      <c r="K811" s="84"/>
      <c r="M811" s="84"/>
    </row>
    <row r="812">
      <c r="A812" s="84"/>
      <c r="B812" s="193"/>
      <c r="C812" s="193"/>
      <c r="D812" s="194"/>
      <c r="E812" s="205"/>
      <c r="F812" s="193"/>
      <c r="G812" s="193"/>
      <c r="H812" s="193"/>
      <c r="I812" s="193"/>
      <c r="J812" s="193"/>
      <c r="K812" s="84"/>
      <c r="M812" s="84"/>
    </row>
    <row r="813">
      <c r="A813" s="84"/>
      <c r="B813" s="193"/>
      <c r="C813" s="193"/>
      <c r="D813" s="194"/>
      <c r="E813" s="206"/>
      <c r="F813" s="193"/>
      <c r="G813" s="193"/>
      <c r="H813" s="193"/>
      <c r="I813" s="193"/>
      <c r="J813" s="193"/>
      <c r="K813" s="84"/>
      <c r="M813" s="84"/>
    </row>
    <row r="814">
      <c r="A814" s="84"/>
      <c r="B814" s="193"/>
      <c r="C814" s="193"/>
      <c r="D814" s="194"/>
      <c r="E814" s="206"/>
      <c r="F814" s="193"/>
      <c r="G814" s="193"/>
      <c r="H814" s="193"/>
      <c r="I814" s="193"/>
      <c r="J814" s="193"/>
      <c r="K814" s="84"/>
      <c r="M814" s="84"/>
    </row>
    <row r="815">
      <c r="A815" s="84"/>
      <c r="B815" s="193"/>
      <c r="C815" s="193"/>
      <c r="D815" s="194"/>
      <c r="E815" s="205"/>
      <c r="F815" s="193"/>
      <c r="G815" s="193"/>
      <c r="H815" s="193"/>
      <c r="I815" s="193"/>
      <c r="J815" s="193"/>
      <c r="K815" s="84"/>
      <c r="M815" s="84"/>
    </row>
    <row r="816">
      <c r="A816" s="84"/>
      <c r="B816" s="193"/>
      <c r="C816" s="193"/>
      <c r="D816" s="194"/>
      <c r="E816" s="206"/>
      <c r="F816" s="193"/>
      <c r="G816" s="193"/>
      <c r="H816" s="193"/>
      <c r="I816" s="193"/>
      <c r="J816" s="193"/>
      <c r="K816" s="84"/>
      <c r="M816" s="84"/>
    </row>
    <row r="817" ht="71.25" customHeight="1">
      <c r="A817" s="84"/>
      <c r="B817" s="193"/>
      <c r="C817" s="193"/>
      <c r="D817" s="194"/>
      <c r="E817" s="205"/>
      <c r="F817" s="193"/>
      <c r="G817" s="193"/>
      <c r="H817" s="193"/>
      <c r="I817" s="193"/>
      <c r="J817" s="193"/>
      <c r="K817" s="84"/>
      <c r="M817" s="84"/>
    </row>
    <row r="818">
      <c r="A818" s="84"/>
      <c r="B818" s="193"/>
      <c r="C818" s="193"/>
      <c r="D818" s="194"/>
      <c r="E818" s="205"/>
      <c r="F818" s="193"/>
      <c r="G818" s="193"/>
      <c r="H818" s="193"/>
      <c r="I818" s="193"/>
      <c r="J818" s="193"/>
      <c r="K818" s="84"/>
      <c r="M818" s="84"/>
    </row>
    <row r="819">
      <c r="A819" s="84"/>
      <c r="B819" s="193"/>
      <c r="C819" s="193"/>
      <c r="D819" s="194"/>
      <c r="E819" s="206"/>
      <c r="F819" s="193"/>
      <c r="G819" s="193"/>
      <c r="H819" s="193"/>
      <c r="I819" s="193"/>
      <c r="J819" s="193"/>
      <c r="K819" s="84"/>
      <c r="M819" s="84"/>
    </row>
    <row r="820">
      <c r="A820" s="84"/>
      <c r="B820" s="193"/>
      <c r="C820" s="193"/>
      <c r="D820" s="194"/>
      <c r="E820" s="205"/>
      <c r="F820" s="193"/>
      <c r="G820" s="193"/>
      <c r="H820" s="193"/>
      <c r="I820" s="193"/>
      <c r="J820" s="193"/>
      <c r="K820" s="84"/>
      <c r="M820" s="84"/>
    </row>
    <row r="821">
      <c r="A821" s="84"/>
      <c r="B821" s="193"/>
      <c r="C821" s="193"/>
      <c r="D821" s="194"/>
      <c r="E821" s="205"/>
      <c r="F821" s="193"/>
      <c r="G821" s="193"/>
      <c r="H821" s="193"/>
      <c r="I821" s="193"/>
      <c r="J821" s="193"/>
      <c r="K821" s="84"/>
      <c r="M821" s="84"/>
    </row>
    <row r="822">
      <c r="A822" s="84"/>
      <c r="B822" s="193"/>
      <c r="C822" s="193"/>
      <c r="D822" s="194"/>
      <c r="E822" s="205"/>
      <c r="F822" s="193"/>
      <c r="G822" s="193"/>
      <c r="H822" s="193"/>
      <c r="I822" s="193"/>
      <c r="J822" s="193"/>
      <c r="K822" s="84"/>
      <c r="M822" s="84"/>
    </row>
    <row r="823">
      <c r="A823" s="84"/>
      <c r="B823" s="193"/>
      <c r="C823" s="193"/>
      <c r="D823" s="194"/>
      <c r="E823" s="206"/>
      <c r="F823" s="193"/>
      <c r="G823" s="193"/>
      <c r="H823" s="193"/>
      <c r="I823" s="193"/>
      <c r="J823" s="193"/>
      <c r="K823" s="84"/>
      <c r="M823" s="84"/>
    </row>
    <row r="824">
      <c r="A824" s="84"/>
      <c r="B824" s="193"/>
      <c r="C824" s="193"/>
      <c r="D824" s="194"/>
      <c r="E824" s="205"/>
      <c r="F824" s="193"/>
      <c r="G824" s="193"/>
      <c r="H824" s="193"/>
      <c r="I824" s="193"/>
      <c r="J824" s="193"/>
      <c r="K824" s="84"/>
      <c r="M824" s="84"/>
    </row>
    <row r="825">
      <c r="A825" s="84"/>
      <c r="B825" s="193"/>
      <c r="C825" s="193"/>
      <c r="D825" s="194"/>
      <c r="E825" s="205"/>
      <c r="F825" s="193"/>
      <c r="G825" s="193"/>
      <c r="H825" s="193"/>
      <c r="I825" s="193"/>
      <c r="J825" s="193"/>
      <c r="K825" s="84"/>
      <c r="M825" s="84"/>
    </row>
    <row r="826">
      <c r="A826" s="84"/>
      <c r="B826" s="193"/>
      <c r="C826" s="193"/>
      <c r="D826" s="194"/>
      <c r="E826" s="206"/>
      <c r="F826" s="193"/>
      <c r="G826" s="193"/>
      <c r="H826" s="193"/>
      <c r="I826" s="193"/>
      <c r="J826" s="193"/>
      <c r="K826" s="84"/>
      <c r="M826" s="84"/>
    </row>
    <row r="827">
      <c r="A827" s="84"/>
      <c r="B827" s="193"/>
      <c r="C827" s="193"/>
      <c r="D827" s="194"/>
      <c r="E827" s="205"/>
      <c r="F827" s="193"/>
      <c r="G827" s="193"/>
      <c r="H827" s="193"/>
      <c r="I827" s="193"/>
      <c r="J827" s="193"/>
      <c r="K827" s="84"/>
      <c r="M827" s="84"/>
    </row>
    <row r="828">
      <c r="A828" s="84"/>
      <c r="B828" s="193"/>
      <c r="C828" s="193"/>
      <c r="D828" s="194"/>
      <c r="E828" s="205"/>
      <c r="F828" s="193"/>
      <c r="G828" s="193"/>
      <c r="H828" s="193"/>
      <c r="I828" s="193"/>
      <c r="J828" s="193"/>
      <c r="K828" s="84"/>
      <c r="M828" s="84"/>
    </row>
    <row r="829">
      <c r="A829" s="84"/>
      <c r="B829" s="193"/>
      <c r="C829" s="193"/>
      <c r="D829" s="194"/>
      <c r="E829" s="205"/>
      <c r="F829" s="193"/>
      <c r="G829" s="193"/>
      <c r="H829" s="193"/>
      <c r="I829" s="193"/>
      <c r="J829" s="193"/>
      <c r="K829" s="84"/>
      <c r="M829" s="84"/>
    </row>
    <row r="830">
      <c r="A830" s="84"/>
      <c r="B830" s="193"/>
      <c r="C830" s="193"/>
      <c r="D830" s="194"/>
      <c r="E830" s="205"/>
      <c r="F830" s="193"/>
      <c r="G830" s="193"/>
      <c r="H830" s="193"/>
      <c r="I830" s="193"/>
      <c r="J830" s="193"/>
      <c r="K830" s="84"/>
      <c r="M830" s="84"/>
    </row>
    <row r="831">
      <c r="A831" s="84"/>
      <c r="B831" s="193"/>
      <c r="C831" s="193"/>
      <c r="D831" s="194"/>
      <c r="E831" s="206"/>
      <c r="F831" s="193"/>
      <c r="G831" s="193"/>
      <c r="H831" s="193"/>
      <c r="I831" s="193"/>
      <c r="J831" s="193"/>
      <c r="K831" s="84"/>
      <c r="M831" s="84"/>
    </row>
    <row r="832">
      <c r="A832" s="84"/>
      <c r="B832" s="193"/>
      <c r="C832" s="193"/>
      <c r="D832" s="194"/>
      <c r="E832" s="205"/>
      <c r="F832" s="193"/>
      <c r="G832" s="193"/>
      <c r="H832" s="193"/>
      <c r="I832" s="193"/>
      <c r="J832" s="193"/>
      <c r="K832" s="84"/>
      <c r="M832" s="84"/>
    </row>
    <row r="833">
      <c r="A833" s="84"/>
      <c r="B833" s="193"/>
      <c r="C833" s="193"/>
      <c r="D833" s="194"/>
      <c r="E833" s="206"/>
      <c r="F833" s="193"/>
      <c r="G833" s="193"/>
      <c r="H833" s="193"/>
      <c r="I833" s="193"/>
      <c r="J833" s="193"/>
      <c r="K833" s="84"/>
      <c r="M833" s="84"/>
    </row>
    <row r="834">
      <c r="A834" s="84"/>
      <c r="B834" s="193"/>
      <c r="C834" s="193"/>
      <c r="D834" s="194"/>
      <c r="E834" s="205"/>
      <c r="F834" s="193"/>
      <c r="G834" s="193"/>
      <c r="H834" s="193"/>
      <c r="I834" s="193"/>
      <c r="J834" s="193"/>
      <c r="K834" s="84"/>
      <c r="M834" s="84"/>
    </row>
    <row r="835">
      <c r="A835" s="84"/>
      <c r="B835" s="193"/>
      <c r="C835" s="193"/>
      <c r="D835" s="194"/>
      <c r="E835" s="205"/>
      <c r="F835" s="193"/>
      <c r="G835" s="193"/>
      <c r="H835" s="193"/>
      <c r="I835" s="193"/>
      <c r="J835" s="193"/>
      <c r="K835" s="84"/>
      <c r="M835" s="84"/>
    </row>
    <row r="836">
      <c r="A836" s="84"/>
      <c r="B836" s="193"/>
      <c r="C836" s="193"/>
      <c r="D836" s="194"/>
      <c r="E836" s="205"/>
      <c r="F836" s="193"/>
      <c r="G836" s="193"/>
      <c r="H836" s="193"/>
      <c r="I836" s="193"/>
      <c r="J836" s="193"/>
      <c r="K836" s="84"/>
      <c r="M836" s="84"/>
    </row>
    <row r="837">
      <c r="A837" s="84"/>
      <c r="B837" s="193"/>
      <c r="C837" s="193"/>
      <c r="D837" s="194"/>
      <c r="E837" s="205"/>
      <c r="F837" s="193"/>
      <c r="G837" s="193"/>
      <c r="H837" s="193"/>
      <c r="I837" s="193"/>
      <c r="J837" s="193"/>
      <c r="K837" s="84"/>
      <c r="M837" s="84"/>
    </row>
    <row r="838">
      <c r="A838" s="84"/>
      <c r="B838" s="193"/>
      <c r="C838" s="193"/>
      <c r="D838" s="194"/>
      <c r="E838" s="205"/>
      <c r="F838" s="193"/>
      <c r="G838" s="193"/>
      <c r="H838" s="193"/>
      <c r="I838" s="193"/>
      <c r="J838" s="193"/>
      <c r="K838" s="84"/>
      <c r="M838" s="84"/>
    </row>
    <row r="839">
      <c r="A839" s="84"/>
      <c r="B839" s="193"/>
      <c r="C839" s="193"/>
      <c r="D839" s="194"/>
      <c r="E839" s="205"/>
      <c r="F839" s="193"/>
      <c r="G839" s="193"/>
      <c r="H839" s="193"/>
      <c r="I839" s="193"/>
      <c r="J839" s="193"/>
      <c r="K839" s="84"/>
      <c r="M839" s="84"/>
    </row>
    <row r="840">
      <c r="A840" s="84"/>
      <c r="B840" s="193"/>
      <c r="C840" s="193"/>
      <c r="D840" s="194"/>
      <c r="E840" s="205"/>
      <c r="F840" s="193"/>
      <c r="G840" s="193"/>
      <c r="H840" s="193"/>
      <c r="I840" s="193"/>
      <c r="J840" s="193"/>
      <c r="K840" s="84"/>
      <c r="M840" s="84"/>
    </row>
    <row r="841">
      <c r="A841" s="84"/>
      <c r="B841" s="193"/>
      <c r="C841" s="193"/>
      <c r="D841" s="194"/>
      <c r="E841" s="205"/>
      <c r="F841" s="193"/>
      <c r="G841" s="193"/>
      <c r="H841" s="193"/>
      <c r="I841" s="193"/>
      <c r="J841" s="193"/>
      <c r="K841" s="84"/>
      <c r="M841" s="84"/>
    </row>
    <row r="842">
      <c r="A842" s="84"/>
      <c r="B842" s="193"/>
      <c r="C842" s="193"/>
      <c r="D842" s="194"/>
      <c r="E842" s="206"/>
      <c r="F842" s="193"/>
      <c r="G842" s="193"/>
      <c r="H842" s="193"/>
      <c r="I842" s="193"/>
      <c r="J842" s="193"/>
      <c r="K842" s="84"/>
      <c r="M842" s="84"/>
    </row>
    <row r="843">
      <c r="A843" s="84"/>
      <c r="B843" s="193"/>
      <c r="C843" s="193"/>
      <c r="D843" s="194"/>
      <c r="E843" s="205"/>
      <c r="F843" s="193"/>
      <c r="G843" s="193"/>
      <c r="H843" s="193"/>
      <c r="I843" s="193"/>
      <c r="J843" s="193"/>
      <c r="K843" s="84"/>
      <c r="M843" s="84"/>
    </row>
    <row r="844">
      <c r="A844" s="84"/>
      <c r="B844" s="193"/>
      <c r="C844" s="193"/>
      <c r="D844" s="194"/>
      <c r="E844" s="205"/>
      <c r="F844" s="193"/>
      <c r="G844" s="193"/>
      <c r="H844" s="193"/>
      <c r="I844" s="193"/>
      <c r="J844" s="193"/>
      <c r="K844" s="84"/>
      <c r="M844" s="84"/>
    </row>
    <row r="845">
      <c r="A845" s="84"/>
      <c r="B845" s="193"/>
      <c r="C845" s="193"/>
      <c r="D845" s="194"/>
      <c r="E845" s="206"/>
      <c r="F845" s="193"/>
      <c r="G845" s="193"/>
      <c r="H845" s="193"/>
      <c r="I845" s="193"/>
      <c r="J845" s="193"/>
      <c r="K845" s="84"/>
      <c r="M845" s="84"/>
    </row>
    <row r="846">
      <c r="A846" s="84"/>
      <c r="B846" s="193"/>
      <c r="C846" s="193"/>
      <c r="D846" s="194"/>
      <c r="E846" s="206"/>
      <c r="F846" s="193"/>
      <c r="G846" s="193"/>
      <c r="H846" s="193"/>
      <c r="I846" s="193"/>
      <c r="J846" s="193"/>
      <c r="K846" s="84"/>
      <c r="M846" s="84"/>
    </row>
    <row r="847">
      <c r="A847" s="84"/>
      <c r="B847" s="193"/>
      <c r="C847" s="193"/>
      <c r="D847" s="194"/>
      <c r="E847" s="205"/>
      <c r="F847" s="193"/>
      <c r="G847" s="193"/>
      <c r="H847" s="193"/>
      <c r="I847" s="193"/>
      <c r="J847" s="193"/>
      <c r="K847" s="84"/>
      <c r="M847" s="84"/>
    </row>
    <row r="848">
      <c r="A848" s="84"/>
      <c r="B848" s="193"/>
      <c r="C848" s="193"/>
      <c r="D848" s="194"/>
      <c r="E848" s="205"/>
      <c r="F848" s="193"/>
      <c r="G848" s="193"/>
      <c r="H848" s="193"/>
      <c r="I848" s="193"/>
      <c r="J848" s="193"/>
      <c r="K848" s="84"/>
      <c r="M848" s="84"/>
    </row>
    <row r="849">
      <c r="A849" s="84"/>
      <c r="B849" s="193"/>
      <c r="C849" s="193"/>
      <c r="D849" s="194"/>
      <c r="E849" s="206"/>
      <c r="F849" s="193"/>
      <c r="G849" s="193"/>
      <c r="H849" s="193"/>
      <c r="I849" s="193"/>
      <c r="J849" s="193"/>
      <c r="K849" s="84"/>
      <c r="M849" s="84"/>
    </row>
    <row r="850">
      <c r="A850" s="84"/>
      <c r="B850" s="193"/>
      <c r="C850" s="193"/>
      <c r="D850" s="194"/>
      <c r="E850" s="206"/>
      <c r="F850" s="193"/>
      <c r="G850" s="193"/>
      <c r="H850" s="193"/>
      <c r="I850" s="193"/>
      <c r="J850" s="193"/>
      <c r="K850" s="84"/>
      <c r="M850" s="84"/>
    </row>
    <row r="851">
      <c r="A851" s="84"/>
      <c r="B851" s="193"/>
      <c r="C851" s="193"/>
      <c r="D851" s="194"/>
      <c r="E851" s="205"/>
      <c r="F851" s="193"/>
      <c r="G851" s="193"/>
      <c r="H851" s="193"/>
      <c r="I851" s="193"/>
      <c r="J851" s="193"/>
      <c r="K851" s="84"/>
      <c r="M851" s="84"/>
    </row>
    <row r="852">
      <c r="A852" s="84"/>
      <c r="B852" s="193"/>
      <c r="C852" s="193"/>
      <c r="D852" s="194"/>
      <c r="E852" s="205"/>
      <c r="F852" s="193"/>
      <c r="G852" s="193"/>
      <c r="H852" s="193"/>
      <c r="I852" s="193"/>
      <c r="J852" s="193"/>
      <c r="K852" s="84"/>
      <c r="M852" s="84"/>
    </row>
    <row r="853">
      <c r="A853" s="84"/>
      <c r="B853" s="193"/>
      <c r="C853" s="193"/>
      <c r="D853" s="194"/>
      <c r="E853" s="205"/>
      <c r="F853" s="193"/>
      <c r="G853" s="193"/>
      <c r="H853" s="193"/>
      <c r="I853" s="193"/>
      <c r="J853" s="193"/>
      <c r="K853" s="84"/>
      <c r="M853" s="84"/>
    </row>
    <row r="854">
      <c r="A854" s="84"/>
      <c r="B854" s="193"/>
      <c r="C854" s="193"/>
      <c r="D854" s="194"/>
      <c r="E854" s="205"/>
      <c r="F854" s="193"/>
      <c r="G854" s="193"/>
      <c r="H854" s="193"/>
      <c r="I854" s="193"/>
      <c r="J854" s="193"/>
      <c r="K854" s="84"/>
      <c r="M854" s="84"/>
    </row>
    <row r="855">
      <c r="A855" s="84"/>
      <c r="B855" s="193"/>
      <c r="C855" s="193"/>
      <c r="D855" s="194"/>
      <c r="E855" s="205"/>
      <c r="F855" s="193"/>
      <c r="G855" s="193"/>
      <c r="H855" s="193"/>
      <c r="I855" s="193"/>
      <c r="J855" s="193"/>
      <c r="K855" s="84"/>
      <c r="M855" s="84"/>
    </row>
    <row r="856">
      <c r="A856" s="84"/>
      <c r="B856" s="193"/>
      <c r="C856" s="193"/>
      <c r="D856" s="194"/>
      <c r="E856" s="205"/>
      <c r="F856" s="193"/>
      <c r="G856" s="193"/>
      <c r="H856" s="193"/>
      <c r="I856" s="193"/>
      <c r="J856" s="193"/>
      <c r="K856" s="84"/>
      <c r="M856" s="84"/>
    </row>
    <row r="857">
      <c r="A857" s="84"/>
      <c r="B857" s="193"/>
      <c r="C857" s="193"/>
      <c r="D857" s="194"/>
      <c r="E857" s="205"/>
      <c r="F857" s="193"/>
      <c r="G857" s="193"/>
      <c r="H857" s="193"/>
      <c r="I857" s="193"/>
      <c r="J857" s="193"/>
      <c r="K857" s="84"/>
      <c r="M857" s="84"/>
    </row>
    <row r="858">
      <c r="A858" s="84"/>
      <c r="B858" s="193"/>
      <c r="C858" s="193"/>
      <c r="D858" s="194"/>
      <c r="E858" s="206"/>
      <c r="F858" s="193"/>
      <c r="G858" s="193"/>
      <c r="H858" s="193"/>
      <c r="I858" s="193"/>
      <c r="J858" s="193"/>
      <c r="K858" s="84"/>
      <c r="M858" s="84"/>
    </row>
    <row r="859">
      <c r="A859" s="84"/>
      <c r="B859" s="193"/>
      <c r="C859" s="193"/>
      <c r="D859" s="194"/>
      <c r="E859" s="206"/>
      <c r="F859" s="193"/>
      <c r="G859" s="193"/>
      <c r="H859" s="193"/>
      <c r="I859" s="193"/>
      <c r="J859" s="193"/>
      <c r="K859" s="84"/>
      <c r="M859" s="84"/>
    </row>
    <row r="860">
      <c r="A860" s="84"/>
      <c r="B860" s="193"/>
      <c r="C860" s="193"/>
      <c r="D860" s="194"/>
      <c r="E860" s="205"/>
      <c r="F860" s="193"/>
      <c r="G860" s="193"/>
      <c r="H860" s="193"/>
      <c r="I860" s="193"/>
      <c r="J860" s="193"/>
      <c r="K860" s="84"/>
      <c r="M860" s="84"/>
    </row>
    <row r="861">
      <c r="A861" s="84"/>
      <c r="B861" s="193"/>
      <c r="C861" s="193"/>
      <c r="D861" s="194"/>
      <c r="E861" s="205"/>
      <c r="F861" s="193"/>
      <c r="G861" s="193"/>
      <c r="H861" s="193"/>
      <c r="I861" s="193"/>
      <c r="J861" s="193"/>
      <c r="K861" s="84"/>
      <c r="M861" s="84"/>
    </row>
    <row r="862">
      <c r="A862" s="84"/>
      <c r="B862" s="193"/>
      <c r="C862" s="193"/>
      <c r="D862" s="194"/>
      <c r="E862" s="205"/>
      <c r="F862" s="193"/>
      <c r="G862" s="193"/>
      <c r="H862" s="193"/>
      <c r="I862" s="193"/>
      <c r="J862" s="193"/>
      <c r="K862" s="84"/>
      <c r="M862" s="84"/>
    </row>
    <row r="863">
      <c r="A863" s="84"/>
      <c r="B863" s="193"/>
      <c r="C863" s="193"/>
      <c r="D863" s="194"/>
      <c r="E863" s="205"/>
      <c r="F863" s="193"/>
      <c r="G863" s="193"/>
      <c r="H863" s="193"/>
      <c r="I863" s="193"/>
      <c r="J863" s="193"/>
      <c r="K863" s="84"/>
      <c r="M863" s="84"/>
    </row>
    <row r="864">
      <c r="A864" s="84"/>
      <c r="B864" s="193"/>
      <c r="C864" s="193"/>
      <c r="D864" s="194"/>
      <c r="E864" s="206"/>
      <c r="F864" s="193"/>
      <c r="G864" s="193"/>
      <c r="H864" s="193"/>
      <c r="I864" s="193"/>
      <c r="J864" s="193"/>
      <c r="K864" s="84"/>
      <c r="M864" s="84"/>
    </row>
    <row r="865">
      <c r="A865" s="84"/>
      <c r="B865" s="193"/>
      <c r="C865" s="193"/>
      <c r="D865" s="194"/>
      <c r="E865" s="206"/>
      <c r="F865" s="193"/>
      <c r="G865" s="193"/>
      <c r="H865" s="193"/>
      <c r="I865" s="193"/>
      <c r="J865" s="193"/>
      <c r="K865" s="84"/>
      <c r="M865" s="84"/>
    </row>
    <row r="866">
      <c r="A866" s="84"/>
      <c r="B866" s="193"/>
      <c r="C866" s="193"/>
      <c r="D866" s="194"/>
      <c r="E866" s="206"/>
      <c r="F866" s="193"/>
      <c r="G866" s="193"/>
      <c r="H866" s="193"/>
      <c r="I866" s="193"/>
      <c r="J866" s="193"/>
      <c r="K866" s="84"/>
      <c r="M866" s="84"/>
    </row>
    <row r="867">
      <c r="A867" s="84"/>
      <c r="B867" s="193"/>
      <c r="C867" s="193"/>
      <c r="D867" s="194"/>
      <c r="E867" s="205"/>
      <c r="F867" s="193"/>
      <c r="G867" s="193"/>
      <c r="H867" s="193"/>
      <c r="I867" s="193"/>
      <c r="J867" s="193"/>
      <c r="K867" s="84"/>
      <c r="M867" s="84"/>
    </row>
    <row r="868">
      <c r="A868" s="84"/>
      <c r="B868" s="193"/>
      <c r="C868" s="193"/>
      <c r="D868" s="194"/>
      <c r="E868" s="206"/>
      <c r="F868" s="193"/>
      <c r="G868" s="193"/>
      <c r="H868" s="193"/>
      <c r="I868" s="193"/>
      <c r="J868" s="193"/>
      <c r="K868" s="84"/>
      <c r="M868" s="84"/>
    </row>
    <row r="869">
      <c r="A869" s="84"/>
      <c r="B869" s="193"/>
      <c r="C869" s="193"/>
      <c r="D869" s="194"/>
      <c r="E869" s="205"/>
      <c r="F869" s="193"/>
      <c r="G869" s="193"/>
      <c r="H869" s="193"/>
      <c r="I869" s="193"/>
      <c r="J869" s="193"/>
      <c r="K869" s="84"/>
      <c r="M869" s="84"/>
    </row>
    <row r="870">
      <c r="A870" s="84"/>
      <c r="B870" s="193"/>
      <c r="C870" s="193"/>
      <c r="D870" s="194"/>
      <c r="E870" s="206"/>
      <c r="F870" s="193"/>
      <c r="G870" s="193"/>
      <c r="H870" s="193"/>
      <c r="I870" s="193"/>
      <c r="J870" s="193"/>
      <c r="K870" s="84"/>
      <c r="M870" s="84"/>
    </row>
    <row r="871">
      <c r="A871" s="84"/>
      <c r="B871" s="193"/>
      <c r="C871" s="193"/>
      <c r="D871" s="194"/>
      <c r="E871" s="205"/>
      <c r="F871" s="193"/>
      <c r="G871" s="193"/>
      <c r="H871" s="193"/>
      <c r="I871" s="193"/>
      <c r="J871" s="193"/>
      <c r="K871" s="84"/>
      <c r="M871" s="84"/>
    </row>
    <row r="872">
      <c r="A872" s="84"/>
      <c r="B872" s="193"/>
      <c r="C872" s="193"/>
      <c r="D872" s="194"/>
      <c r="E872" s="206"/>
      <c r="F872" s="193"/>
      <c r="G872" s="193"/>
      <c r="H872" s="193"/>
      <c r="I872" s="193"/>
      <c r="J872" s="193"/>
      <c r="K872" s="84"/>
      <c r="M872" s="84"/>
    </row>
    <row r="873">
      <c r="A873" s="84"/>
      <c r="B873" s="193"/>
      <c r="C873" s="193"/>
      <c r="D873" s="194"/>
      <c r="E873" s="206"/>
      <c r="F873" s="193"/>
      <c r="G873" s="193"/>
      <c r="H873" s="193"/>
      <c r="I873" s="193"/>
      <c r="J873" s="193"/>
      <c r="K873" s="84"/>
      <c r="M873" s="84"/>
    </row>
    <row r="874">
      <c r="A874" s="84"/>
      <c r="B874" s="193"/>
      <c r="C874" s="193"/>
      <c r="D874" s="194"/>
      <c r="E874" s="206"/>
      <c r="F874" s="193"/>
      <c r="G874" s="193"/>
      <c r="H874" s="193"/>
      <c r="I874" s="193"/>
      <c r="J874" s="193"/>
      <c r="K874" s="84"/>
      <c r="M874" s="84"/>
    </row>
    <row r="875">
      <c r="A875" s="84"/>
      <c r="B875" s="193"/>
      <c r="C875" s="193"/>
      <c r="D875" s="194"/>
      <c r="E875" s="206"/>
      <c r="F875" s="193"/>
      <c r="G875" s="193"/>
      <c r="H875" s="193"/>
      <c r="I875" s="193"/>
      <c r="J875" s="193"/>
      <c r="K875" s="84"/>
      <c r="M875" s="84"/>
    </row>
    <row r="876">
      <c r="A876" s="84"/>
      <c r="B876" s="193"/>
      <c r="C876" s="193"/>
      <c r="D876" s="194"/>
      <c r="E876" s="205"/>
      <c r="F876" s="193"/>
      <c r="G876" s="193"/>
      <c r="H876" s="193"/>
      <c r="I876" s="193"/>
      <c r="J876" s="193"/>
      <c r="K876" s="84"/>
      <c r="M876" s="84"/>
    </row>
    <row r="877">
      <c r="A877" s="84"/>
      <c r="B877" s="193"/>
      <c r="C877" s="193"/>
      <c r="D877" s="194"/>
      <c r="E877" s="205"/>
      <c r="F877" s="193"/>
      <c r="G877" s="193"/>
      <c r="H877" s="193"/>
      <c r="I877" s="193"/>
      <c r="J877" s="193"/>
      <c r="K877" s="84"/>
      <c r="M877" s="84"/>
    </row>
    <row r="878">
      <c r="A878" s="84"/>
      <c r="B878" s="193"/>
      <c r="C878" s="193"/>
      <c r="D878" s="194"/>
      <c r="E878" s="205"/>
      <c r="F878" s="193"/>
      <c r="G878" s="193"/>
      <c r="H878" s="193"/>
      <c r="I878" s="193"/>
      <c r="J878" s="193"/>
      <c r="K878" s="84"/>
      <c r="M878" s="84"/>
    </row>
    <row r="879">
      <c r="A879" s="84"/>
      <c r="B879" s="193"/>
      <c r="C879" s="193"/>
      <c r="D879" s="194"/>
      <c r="E879" s="205"/>
      <c r="F879" s="193"/>
      <c r="G879" s="193"/>
      <c r="H879" s="193"/>
      <c r="I879" s="193"/>
      <c r="J879" s="193"/>
      <c r="K879" s="84"/>
      <c r="M879" s="84"/>
    </row>
    <row r="880">
      <c r="A880" s="84"/>
      <c r="B880" s="193"/>
      <c r="C880" s="193"/>
      <c r="D880" s="194"/>
      <c r="E880" s="205"/>
      <c r="F880" s="193"/>
      <c r="G880" s="193"/>
      <c r="H880" s="193"/>
      <c r="I880" s="193"/>
      <c r="J880" s="193"/>
      <c r="K880" s="84"/>
      <c r="M880" s="84"/>
    </row>
    <row r="881">
      <c r="A881" s="84"/>
      <c r="B881" s="193"/>
      <c r="C881" s="193"/>
      <c r="D881" s="194"/>
      <c r="E881" s="205"/>
      <c r="F881" s="193"/>
      <c r="G881" s="193"/>
      <c r="H881" s="193"/>
      <c r="I881" s="193"/>
      <c r="J881" s="193"/>
      <c r="K881" s="84"/>
      <c r="M881" s="84"/>
    </row>
    <row r="882">
      <c r="A882" s="84"/>
      <c r="B882" s="193"/>
      <c r="C882" s="193"/>
      <c r="D882" s="194"/>
      <c r="E882" s="206"/>
      <c r="F882" s="193"/>
      <c r="G882" s="193"/>
      <c r="H882" s="193"/>
      <c r="I882" s="193"/>
      <c r="J882" s="193"/>
      <c r="K882" s="84"/>
      <c r="M882" s="84"/>
    </row>
    <row r="883">
      <c r="A883" s="84"/>
      <c r="B883" s="193"/>
      <c r="C883" s="193"/>
      <c r="D883" s="194"/>
      <c r="E883" s="205"/>
      <c r="F883" s="193"/>
      <c r="G883" s="193"/>
      <c r="H883" s="193"/>
      <c r="I883" s="193"/>
      <c r="J883" s="193"/>
      <c r="K883" s="84"/>
      <c r="M883" s="84"/>
    </row>
    <row r="884">
      <c r="A884" s="84"/>
      <c r="B884" s="193"/>
      <c r="C884" s="193"/>
      <c r="D884" s="194"/>
      <c r="E884" s="205"/>
      <c r="F884" s="193"/>
      <c r="G884" s="193"/>
      <c r="H884" s="193"/>
      <c r="I884" s="193"/>
      <c r="J884" s="193"/>
      <c r="K884" s="84"/>
      <c r="M884" s="84"/>
    </row>
    <row r="885">
      <c r="A885" s="84"/>
      <c r="B885" s="193"/>
      <c r="C885" s="193"/>
      <c r="D885" s="194"/>
      <c r="E885" s="205"/>
      <c r="F885" s="193"/>
      <c r="G885" s="193"/>
      <c r="H885" s="193"/>
      <c r="I885" s="193"/>
      <c r="J885" s="193"/>
      <c r="K885" s="84"/>
      <c r="M885" s="84"/>
    </row>
    <row r="886">
      <c r="A886" s="84"/>
      <c r="B886" s="193"/>
      <c r="C886" s="193"/>
      <c r="D886" s="194"/>
      <c r="E886" s="206"/>
      <c r="F886" s="193"/>
      <c r="G886" s="193"/>
      <c r="H886" s="193"/>
      <c r="I886" s="193"/>
      <c r="J886" s="193"/>
      <c r="K886" s="84"/>
      <c r="M886" s="84"/>
    </row>
    <row r="887">
      <c r="A887" s="84"/>
      <c r="B887" s="193"/>
      <c r="C887" s="193"/>
      <c r="D887" s="194"/>
      <c r="E887" s="205"/>
      <c r="F887" s="193"/>
      <c r="G887" s="193"/>
      <c r="H887" s="193"/>
      <c r="I887" s="193"/>
      <c r="J887" s="193"/>
      <c r="K887" s="84"/>
      <c r="M887" s="84"/>
    </row>
    <row r="888">
      <c r="A888" s="84"/>
      <c r="B888" s="193"/>
      <c r="C888" s="193"/>
      <c r="D888" s="194"/>
      <c r="E888" s="205"/>
      <c r="F888" s="193"/>
      <c r="G888" s="193"/>
      <c r="H888" s="193"/>
      <c r="I888" s="193"/>
      <c r="J888" s="193"/>
      <c r="K888" s="84"/>
      <c r="M888" s="84"/>
    </row>
    <row r="889">
      <c r="A889" s="84"/>
      <c r="B889" s="193"/>
      <c r="C889" s="193"/>
      <c r="D889" s="194"/>
      <c r="E889" s="205"/>
      <c r="F889" s="193"/>
      <c r="G889" s="193"/>
      <c r="H889" s="193"/>
      <c r="I889" s="193"/>
      <c r="J889" s="193"/>
      <c r="K889" s="84"/>
      <c r="M889" s="84"/>
    </row>
    <row r="890">
      <c r="A890" s="84"/>
      <c r="B890" s="193"/>
      <c r="C890" s="193"/>
      <c r="D890" s="194"/>
      <c r="E890" s="205"/>
      <c r="F890" s="193"/>
      <c r="G890" s="193"/>
      <c r="H890" s="193"/>
      <c r="I890" s="193"/>
      <c r="J890" s="193"/>
      <c r="K890" s="84"/>
      <c r="M890" s="84"/>
    </row>
    <row r="891">
      <c r="A891" s="84"/>
      <c r="B891" s="193"/>
      <c r="C891" s="193"/>
      <c r="D891" s="194"/>
      <c r="E891" s="206"/>
      <c r="F891" s="193"/>
      <c r="G891" s="193"/>
      <c r="H891" s="193"/>
      <c r="I891" s="193"/>
      <c r="J891" s="193"/>
      <c r="K891" s="84"/>
      <c r="M891" s="84"/>
    </row>
    <row r="892">
      <c r="A892" s="84"/>
      <c r="B892" s="193"/>
      <c r="C892" s="193"/>
      <c r="D892" s="194"/>
      <c r="E892" s="206"/>
      <c r="F892" s="193"/>
      <c r="G892" s="193"/>
      <c r="H892" s="193"/>
      <c r="I892" s="193"/>
      <c r="J892" s="193"/>
      <c r="K892" s="84"/>
      <c r="M892" s="84"/>
    </row>
    <row r="893">
      <c r="A893" s="84"/>
      <c r="B893" s="193"/>
      <c r="C893" s="193"/>
      <c r="D893" s="194"/>
      <c r="E893" s="205"/>
      <c r="F893" s="193"/>
      <c r="G893" s="193"/>
      <c r="H893" s="193"/>
      <c r="I893" s="193"/>
      <c r="J893" s="193"/>
      <c r="K893" s="84"/>
      <c r="M893" s="84"/>
    </row>
    <row r="894">
      <c r="A894" s="84"/>
      <c r="B894" s="193"/>
      <c r="C894" s="193"/>
      <c r="D894" s="194"/>
      <c r="E894" s="206"/>
      <c r="F894" s="193"/>
      <c r="G894" s="193"/>
      <c r="H894" s="193"/>
      <c r="I894" s="193"/>
      <c r="J894" s="193"/>
      <c r="K894" s="84"/>
      <c r="M894" s="84"/>
    </row>
    <row r="895">
      <c r="A895" s="84"/>
      <c r="B895" s="193"/>
      <c r="C895" s="193"/>
      <c r="D895" s="194"/>
      <c r="E895" s="205"/>
      <c r="F895" s="193"/>
      <c r="G895" s="193"/>
      <c r="H895" s="193"/>
      <c r="I895" s="193"/>
      <c r="J895" s="193"/>
      <c r="K895" s="84"/>
      <c r="M895" s="84"/>
    </row>
    <row r="896">
      <c r="A896" s="84"/>
      <c r="B896" s="193"/>
      <c r="C896" s="193"/>
      <c r="D896" s="194"/>
      <c r="E896" s="206"/>
      <c r="F896" s="193"/>
      <c r="G896" s="193"/>
      <c r="H896" s="193"/>
      <c r="I896" s="193"/>
      <c r="J896" s="193"/>
      <c r="K896" s="84"/>
      <c r="M896" s="84"/>
    </row>
    <row r="897">
      <c r="A897" s="84"/>
      <c r="B897" s="193"/>
      <c r="C897" s="193"/>
      <c r="D897" s="194"/>
      <c r="E897" s="205"/>
      <c r="F897" s="193"/>
      <c r="G897" s="193"/>
      <c r="H897" s="193"/>
      <c r="I897" s="193"/>
      <c r="J897" s="193"/>
      <c r="K897" s="84"/>
      <c r="M897" s="84"/>
    </row>
    <row r="898">
      <c r="A898" s="84"/>
      <c r="B898" s="193"/>
      <c r="C898" s="193"/>
      <c r="D898" s="194"/>
      <c r="E898" s="205"/>
      <c r="F898" s="193"/>
      <c r="G898" s="193"/>
      <c r="H898" s="193"/>
      <c r="I898" s="193"/>
      <c r="J898" s="193"/>
      <c r="K898" s="84"/>
      <c r="M898" s="84"/>
    </row>
    <row r="899">
      <c r="A899" s="84"/>
      <c r="B899" s="193"/>
      <c r="C899" s="193"/>
      <c r="D899" s="194"/>
      <c r="E899" s="205"/>
      <c r="F899" s="193"/>
      <c r="G899" s="193"/>
      <c r="H899" s="193"/>
      <c r="I899" s="193"/>
      <c r="J899" s="193"/>
      <c r="K899" s="84"/>
      <c r="M899" s="84"/>
    </row>
    <row r="900">
      <c r="A900" s="84"/>
      <c r="B900" s="193"/>
      <c r="C900" s="193"/>
      <c r="D900" s="194"/>
      <c r="E900" s="205"/>
      <c r="F900" s="193"/>
      <c r="G900" s="193"/>
      <c r="H900" s="193"/>
      <c r="I900" s="193"/>
      <c r="J900" s="193"/>
      <c r="K900" s="84"/>
      <c r="M900" s="84"/>
    </row>
    <row r="901">
      <c r="A901" s="84"/>
      <c r="B901" s="193"/>
      <c r="C901" s="193"/>
      <c r="D901" s="194"/>
      <c r="E901" s="205"/>
      <c r="F901" s="193"/>
      <c r="G901" s="193"/>
      <c r="H901" s="193"/>
      <c r="I901" s="193"/>
      <c r="J901" s="193"/>
      <c r="K901" s="84"/>
      <c r="M901" s="84"/>
    </row>
    <row r="902">
      <c r="A902" s="84"/>
      <c r="B902" s="193"/>
      <c r="C902" s="193"/>
      <c r="D902" s="194"/>
      <c r="E902" s="206"/>
      <c r="F902" s="193"/>
      <c r="G902" s="193"/>
      <c r="H902" s="193"/>
      <c r="I902" s="193"/>
      <c r="J902" s="193"/>
      <c r="K902" s="84"/>
      <c r="M902" s="84"/>
    </row>
    <row r="903">
      <c r="A903" s="84"/>
      <c r="B903" s="193"/>
      <c r="C903" s="193"/>
      <c r="D903" s="194"/>
      <c r="E903" s="205"/>
      <c r="F903" s="193"/>
      <c r="G903" s="193"/>
      <c r="H903" s="193"/>
      <c r="I903" s="193"/>
      <c r="J903" s="193"/>
      <c r="K903" s="84"/>
      <c r="M903" s="84"/>
    </row>
    <row r="904">
      <c r="A904" s="84"/>
      <c r="B904" s="193"/>
      <c r="C904" s="193"/>
      <c r="D904" s="193"/>
      <c r="E904" s="208"/>
      <c r="F904" s="193"/>
      <c r="G904" s="193"/>
      <c r="H904" s="193"/>
      <c r="I904" s="193"/>
      <c r="J904" s="193"/>
      <c r="K904" s="84"/>
      <c r="M904" s="84"/>
    </row>
    <row r="905">
      <c r="A905" s="84"/>
      <c r="B905" s="193"/>
      <c r="C905" s="193"/>
      <c r="D905" s="194"/>
      <c r="E905" s="205"/>
      <c r="F905" s="193"/>
      <c r="G905" s="193"/>
      <c r="H905" s="193"/>
      <c r="I905" s="193"/>
      <c r="J905" s="193"/>
      <c r="K905" s="84"/>
      <c r="M905" s="84"/>
    </row>
    <row r="906">
      <c r="A906" s="84"/>
      <c r="B906" s="193"/>
      <c r="C906" s="193"/>
      <c r="D906" s="194"/>
      <c r="E906" s="205"/>
      <c r="F906" s="193"/>
      <c r="G906" s="193"/>
      <c r="H906" s="193"/>
      <c r="I906" s="193"/>
      <c r="J906" s="193"/>
      <c r="K906" s="84"/>
      <c r="M906" s="84"/>
    </row>
    <row r="907">
      <c r="A907" s="84"/>
      <c r="B907" s="193"/>
      <c r="C907" s="193"/>
      <c r="D907" s="194"/>
      <c r="E907" s="206"/>
      <c r="F907" s="193"/>
      <c r="G907" s="193"/>
      <c r="H907" s="193"/>
      <c r="I907" s="193"/>
      <c r="J907" s="193"/>
      <c r="K907" s="84"/>
      <c r="M907" s="84"/>
    </row>
    <row r="908">
      <c r="A908" s="84"/>
      <c r="B908" s="193"/>
      <c r="C908" s="193"/>
      <c r="D908" s="194"/>
      <c r="E908" s="205"/>
      <c r="F908" s="193"/>
      <c r="G908" s="193"/>
      <c r="H908" s="193"/>
      <c r="I908" s="193"/>
      <c r="J908" s="193"/>
      <c r="K908" s="84"/>
      <c r="M908" s="84"/>
    </row>
    <row r="909">
      <c r="A909" s="84"/>
      <c r="B909" s="193"/>
      <c r="C909" s="193"/>
      <c r="D909" s="194"/>
      <c r="E909" s="205"/>
      <c r="F909" s="193"/>
      <c r="G909" s="193"/>
      <c r="H909" s="193"/>
      <c r="I909" s="193"/>
      <c r="J909" s="193"/>
      <c r="K909" s="84"/>
      <c r="M909" s="84"/>
    </row>
    <row r="910">
      <c r="A910" s="84"/>
      <c r="B910" s="193"/>
      <c r="C910" s="193"/>
      <c r="D910" s="194"/>
      <c r="E910" s="206"/>
      <c r="F910" s="193"/>
      <c r="G910" s="193"/>
      <c r="H910" s="193"/>
      <c r="I910" s="193"/>
      <c r="J910" s="193"/>
      <c r="K910" s="84"/>
      <c r="M910" s="84"/>
    </row>
    <row r="911">
      <c r="A911" s="84"/>
      <c r="B911" s="193"/>
      <c r="C911" s="193"/>
      <c r="D911" s="194"/>
      <c r="E911" s="205"/>
      <c r="F911" s="193"/>
      <c r="G911" s="193"/>
      <c r="H911" s="193"/>
      <c r="I911" s="193"/>
      <c r="J911" s="193"/>
      <c r="K911" s="84"/>
      <c r="M911" s="84"/>
    </row>
    <row r="912">
      <c r="A912" s="84"/>
      <c r="B912" s="193"/>
      <c r="C912" s="193"/>
      <c r="D912" s="194"/>
      <c r="E912" s="206"/>
      <c r="F912" s="193"/>
      <c r="G912" s="193"/>
      <c r="H912" s="193"/>
      <c r="I912" s="193"/>
      <c r="J912" s="193"/>
      <c r="K912" s="84"/>
      <c r="M912" s="84"/>
    </row>
    <row r="913">
      <c r="A913" s="84"/>
      <c r="B913" s="193"/>
      <c r="C913" s="193"/>
      <c r="D913" s="194"/>
      <c r="E913" s="205"/>
      <c r="F913" s="193"/>
      <c r="G913" s="193"/>
      <c r="H913" s="193"/>
      <c r="I913" s="193"/>
      <c r="J913" s="193"/>
      <c r="K913" s="84"/>
      <c r="M913" s="84"/>
    </row>
    <row r="914">
      <c r="A914" s="84"/>
      <c r="B914" s="193"/>
      <c r="C914" s="193"/>
      <c r="D914" s="194"/>
      <c r="E914" s="205"/>
      <c r="F914" s="193"/>
      <c r="G914" s="193"/>
      <c r="H914" s="193"/>
      <c r="I914" s="193"/>
      <c r="J914" s="193"/>
      <c r="K914" s="84"/>
      <c r="M914" s="84"/>
    </row>
    <row r="915">
      <c r="A915" s="84"/>
      <c r="B915" s="193"/>
      <c r="C915" s="193"/>
      <c r="D915" s="194"/>
      <c r="E915" s="205"/>
      <c r="F915" s="193"/>
      <c r="G915" s="193"/>
      <c r="H915" s="193"/>
      <c r="I915" s="193"/>
      <c r="J915" s="193"/>
      <c r="K915" s="84"/>
      <c r="M915" s="84"/>
    </row>
    <row r="916">
      <c r="A916" s="84"/>
      <c r="B916" s="193"/>
      <c r="C916" s="193"/>
      <c r="D916" s="193"/>
      <c r="E916" s="205"/>
      <c r="F916" s="193"/>
      <c r="G916" s="193"/>
      <c r="H916" s="193"/>
      <c r="I916" s="193"/>
      <c r="J916" s="193"/>
      <c r="K916" s="84"/>
      <c r="M916" s="84"/>
    </row>
    <row r="917">
      <c r="A917" s="84"/>
      <c r="B917" s="193"/>
      <c r="C917" s="193"/>
      <c r="D917" s="193"/>
      <c r="E917" s="205"/>
      <c r="F917" s="193"/>
      <c r="G917" s="193"/>
      <c r="H917" s="193"/>
      <c r="I917" s="193"/>
      <c r="J917" s="193"/>
      <c r="K917" s="84"/>
      <c r="M917" s="84"/>
    </row>
    <row r="918">
      <c r="A918" s="84"/>
      <c r="B918" s="193"/>
      <c r="C918" s="193"/>
      <c r="D918" s="193"/>
      <c r="E918" s="205"/>
      <c r="F918" s="193"/>
      <c r="G918" s="193"/>
      <c r="H918" s="193"/>
      <c r="I918" s="193"/>
      <c r="J918" s="193"/>
      <c r="K918" s="84"/>
      <c r="M918" s="84"/>
    </row>
    <row r="919">
      <c r="A919" s="84"/>
      <c r="B919" s="193"/>
      <c r="C919" s="193"/>
      <c r="D919" s="193"/>
      <c r="E919" s="205"/>
      <c r="F919" s="193"/>
      <c r="G919" s="193"/>
      <c r="H919" s="193"/>
      <c r="I919" s="193"/>
      <c r="J919" s="193"/>
      <c r="K919" s="84"/>
      <c r="M919" s="84"/>
    </row>
    <row r="920">
      <c r="A920" s="84"/>
      <c r="B920" s="193"/>
      <c r="C920" s="193"/>
      <c r="D920" s="193"/>
      <c r="E920" s="205"/>
      <c r="F920" s="193"/>
      <c r="G920" s="193"/>
      <c r="H920" s="193"/>
      <c r="I920" s="193"/>
      <c r="J920" s="193"/>
      <c r="K920" s="84"/>
      <c r="M920" s="84"/>
    </row>
    <row r="921">
      <c r="A921" s="84"/>
      <c r="B921" s="193"/>
      <c r="C921" s="193"/>
      <c r="D921" s="193"/>
      <c r="E921" s="205"/>
      <c r="F921" s="193"/>
      <c r="G921" s="193"/>
      <c r="H921" s="193"/>
      <c r="I921" s="193"/>
      <c r="J921" s="193"/>
      <c r="K921" s="84"/>
      <c r="M921" s="84"/>
    </row>
    <row r="922">
      <c r="A922" s="84"/>
      <c r="B922" s="193"/>
      <c r="C922" s="193"/>
      <c r="D922" s="193"/>
      <c r="E922" s="205"/>
      <c r="F922" s="193"/>
      <c r="G922" s="193"/>
      <c r="H922" s="193"/>
      <c r="I922" s="193"/>
      <c r="J922" s="193"/>
      <c r="K922" s="84"/>
      <c r="M922" s="84"/>
    </row>
    <row r="923">
      <c r="A923" s="84"/>
      <c r="B923" s="193"/>
      <c r="C923" s="193"/>
      <c r="D923" s="193"/>
      <c r="E923" s="205"/>
      <c r="F923" s="193"/>
      <c r="G923" s="193"/>
      <c r="H923" s="193"/>
      <c r="I923" s="193"/>
      <c r="J923" s="193"/>
      <c r="K923" s="84"/>
      <c r="M923" s="84"/>
    </row>
    <row r="924">
      <c r="A924" s="84"/>
      <c r="B924" s="193"/>
      <c r="C924" s="193"/>
      <c r="D924" s="193"/>
      <c r="E924" s="205"/>
      <c r="F924" s="193"/>
      <c r="G924" s="193"/>
      <c r="H924" s="193"/>
      <c r="I924" s="193"/>
      <c r="J924" s="193"/>
      <c r="K924" s="84"/>
      <c r="M924" s="84"/>
    </row>
    <row r="925">
      <c r="A925" s="84"/>
      <c r="B925" s="193"/>
      <c r="C925" s="193"/>
      <c r="D925" s="193"/>
      <c r="E925" s="205"/>
      <c r="F925" s="193"/>
      <c r="G925" s="193"/>
      <c r="H925" s="193"/>
      <c r="I925" s="193"/>
      <c r="J925" s="193"/>
      <c r="K925" s="84"/>
      <c r="M925" s="84"/>
    </row>
    <row r="926">
      <c r="A926" s="84"/>
      <c r="B926" s="193"/>
      <c r="C926" s="193"/>
      <c r="D926" s="193"/>
      <c r="E926" s="193"/>
      <c r="F926" s="193"/>
      <c r="G926" s="193"/>
      <c r="H926" s="193"/>
      <c r="I926" s="193"/>
      <c r="J926" s="193"/>
      <c r="K926" s="84"/>
      <c r="M926" s="84"/>
    </row>
    <row r="927">
      <c r="A927" s="84"/>
      <c r="B927" s="193"/>
      <c r="C927" s="193"/>
      <c r="D927" s="193"/>
      <c r="E927" s="193"/>
      <c r="F927" s="193"/>
      <c r="G927" s="193"/>
      <c r="H927" s="193"/>
      <c r="I927" s="193"/>
      <c r="J927" s="193"/>
      <c r="K927" s="84"/>
      <c r="M927" s="84"/>
    </row>
    <row r="928">
      <c r="A928" s="84"/>
      <c r="B928" s="193"/>
      <c r="C928" s="193"/>
      <c r="D928" s="193"/>
      <c r="E928" s="193"/>
      <c r="F928" s="193"/>
      <c r="G928" s="193"/>
      <c r="H928" s="193"/>
      <c r="I928" s="193"/>
      <c r="J928" s="193"/>
      <c r="K928" s="84"/>
      <c r="M928" s="84"/>
    </row>
    <row r="929">
      <c r="A929" s="84"/>
      <c r="B929" s="193"/>
      <c r="C929" s="193"/>
      <c r="D929" s="193"/>
      <c r="E929" s="193"/>
      <c r="F929" s="193"/>
      <c r="G929" s="193"/>
      <c r="H929" s="193"/>
      <c r="I929" s="193"/>
      <c r="J929" s="193"/>
      <c r="K929" s="84"/>
      <c r="M929" s="84"/>
    </row>
    <row r="930">
      <c r="A930" s="84"/>
      <c r="B930" s="193"/>
      <c r="C930" s="193"/>
      <c r="D930" s="193"/>
      <c r="E930" s="193"/>
      <c r="F930" s="193"/>
      <c r="G930" s="193"/>
      <c r="H930" s="193"/>
      <c r="I930" s="193"/>
      <c r="J930" s="193"/>
      <c r="K930" s="84"/>
      <c r="M930" s="84"/>
    </row>
    <row r="931">
      <c r="A931" s="84"/>
      <c r="B931" s="193"/>
      <c r="C931" s="193"/>
      <c r="D931" s="193"/>
      <c r="E931" s="193"/>
      <c r="F931" s="193"/>
      <c r="G931" s="193"/>
      <c r="H931" s="193"/>
      <c r="I931" s="193"/>
      <c r="J931" s="193"/>
      <c r="K931" s="84"/>
      <c r="M931" s="84"/>
    </row>
    <row r="932">
      <c r="A932" s="84"/>
      <c r="B932" s="193"/>
      <c r="C932" s="193"/>
      <c r="D932" s="193"/>
      <c r="E932" s="193"/>
      <c r="F932" s="193"/>
      <c r="G932" s="193"/>
      <c r="H932" s="193"/>
      <c r="I932" s="193"/>
      <c r="J932" s="193"/>
      <c r="K932" s="84"/>
      <c r="M932" s="84"/>
    </row>
    <row r="933">
      <c r="A933" s="84"/>
      <c r="B933" s="193"/>
      <c r="C933" s="193"/>
      <c r="D933" s="193"/>
      <c r="E933" s="193"/>
      <c r="F933" s="193"/>
      <c r="G933" s="193"/>
      <c r="H933" s="193"/>
      <c r="I933" s="193"/>
      <c r="J933" s="193"/>
      <c r="K933" s="84"/>
      <c r="M933" s="84"/>
    </row>
    <row r="934">
      <c r="A934" s="84"/>
      <c r="B934" s="193"/>
      <c r="C934" s="193"/>
      <c r="D934" s="193"/>
      <c r="E934" s="193"/>
      <c r="F934" s="193"/>
      <c r="G934" s="193"/>
      <c r="H934" s="193"/>
      <c r="I934" s="193"/>
      <c r="J934" s="193"/>
      <c r="K934" s="84"/>
      <c r="M934" s="84"/>
    </row>
    <row r="935">
      <c r="A935" s="84"/>
      <c r="B935" s="193"/>
      <c r="C935" s="193"/>
      <c r="D935" s="193"/>
      <c r="E935" s="193"/>
      <c r="F935" s="193"/>
      <c r="G935" s="193"/>
      <c r="H935" s="193"/>
      <c r="I935" s="193"/>
      <c r="J935" s="193"/>
      <c r="K935" s="84"/>
      <c r="M935" s="84"/>
    </row>
    <row r="936">
      <c r="A936" s="84"/>
      <c r="B936" s="193"/>
      <c r="C936" s="193"/>
      <c r="D936" s="193"/>
      <c r="E936" s="193"/>
      <c r="F936" s="193"/>
      <c r="G936" s="193"/>
      <c r="H936" s="193"/>
      <c r="I936" s="193"/>
      <c r="J936" s="193"/>
      <c r="K936" s="84"/>
      <c r="M936" s="84"/>
    </row>
    <row r="937">
      <c r="A937" s="84"/>
      <c r="B937" s="193"/>
      <c r="C937" s="193"/>
      <c r="D937" s="193"/>
      <c r="E937" s="193"/>
      <c r="F937" s="193"/>
      <c r="G937" s="193"/>
      <c r="H937" s="193"/>
      <c r="I937" s="193"/>
      <c r="J937" s="193"/>
      <c r="K937" s="84"/>
      <c r="M937" s="84"/>
    </row>
    <row r="938">
      <c r="A938" s="84"/>
      <c r="B938" s="193"/>
      <c r="C938" s="193"/>
      <c r="D938" s="193"/>
      <c r="E938" s="193"/>
      <c r="F938" s="193"/>
      <c r="G938" s="193"/>
      <c r="H938" s="193"/>
      <c r="I938" s="193"/>
      <c r="J938" s="193"/>
      <c r="K938" s="84"/>
      <c r="M938" s="84"/>
    </row>
    <row r="939">
      <c r="A939" s="84"/>
      <c r="B939" s="193"/>
      <c r="C939" s="193"/>
      <c r="D939" s="193"/>
      <c r="E939" s="193"/>
      <c r="F939" s="193"/>
      <c r="G939" s="193"/>
      <c r="H939" s="193"/>
      <c r="I939" s="193"/>
      <c r="J939" s="193"/>
      <c r="K939" s="84"/>
      <c r="M939" s="84"/>
    </row>
    <row r="940">
      <c r="A940" s="84"/>
      <c r="B940" s="193"/>
      <c r="C940" s="193"/>
      <c r="D940" s="193"/>
      <c r="E940" s="193"/>
      <c r="F940" s="193"/>
      <c r="G940" s="193"/>
      <c r="H940" s="193"/>
      <c r="I940" s="193"/>
      <c r="J940" s="193"/>
      <c r="K940" s="84"/>
      <c r="M940" s="84"/>
    </row>
    <row r="941">
      <c r="A941" s="84"/>
      <c r="B941" s="193"/>
      <c r="C941" s="193"/>
      <c r="D941" s="193"/>
      <c r="E941" s="193"/>
      <c r="F941" s="193"/>
      <c r="G941" s="193"/>
      <c r="H941" s="193"/>
      <c r="I941" s="193"/>
      <c r="J941" s="193"/>
      <c r="K941" s="84"/>
      <c r="M941" s="84"/>
    </row>
    <row r="942">
      <c r="A942" s="84"/>
      <c r="B942" s="193"/>
      <c r="C942" s="193"/>
      <c r="D942" s="193"/>
      <c r="E942" s="193"/>
      <c r="F942" s="193"/>
      <c r="G942" s="193"/>
      <c r="H942" s="193"/>
      <c r="I942" s="193"/>
      <c r="J942" s="193"/>
      <c r="K942" s="84"/>
      <c r="M942" s="84"/>
    </row>
    <row r="943">
      <c r="A943" s="84"/>
      <c r="B943" s="193"/>
      <c r="C943" s="193"/>
      <c r="D943" s="193"/>
      <c r="E943" s="193"/>
      <c r="F943" s="193"/>
      <c r="G943" s="193"/>
      <c r="H943" s="193"/>
      <c r="I943" s="193"/>
      <c r="J943" s="193"/>
      <c r="K943" s="84"/>
      <c r="M943" s="84"/>
    </row>
    <row r="944">
      <c r="A944" s="84"/>
      <c r="B944" s="193"/>
      <c r="C944" s="193"/>
      <c r="D944" s="193"/>
      <c r="E944" s="193"/>
      <c r="F944" s="193"/>
      <c r="G944" s="193"/>
      <c r="H944" s="193"/>
      <c r="I944" s="193"/>
      <c r="J944" s="193"/>
      <c r="K944" s="84"/>
      <c r="M944" s="84"/>
    </row>
    <row r="945">
      <c r="A945" s="84"/>
      <c r="B945" s="193"/>
      <c r="C945" s="193"/>
      <c r="D945" s="193"/>
      <c r="E945" s="193"/>
      <c r="F945" s="193"/>
      <c r="G945" s="193"/>
      <c r="H945" s="193"/>
      <c r="I945" s="193"/>
      <c r="J945" s="193"/>
      <c r="K945" s="84"/>
      <c r="M945" s="84"/>
    </row>
    <row r="946">
      <c r="A946" s="84"/>
      <c r="B946" s="193"/>
      <c r="C946" s="193"/>
      <c r="D946" s="193"/>
      <c r="E946" s="193"/>
      <c r="F946" s="193"/>
      <c r="G946" s="193"/>
      <c r="H946" s="193"/>
      <c r="I946" s="193"/>
      <c r="J946" s="193"/>
      <c r="K946" s="84"/>
      <c r="M946" s="84"/>
    </row>
    <row r="947">
      <c r="A947" s="84"/>
      <c r="B947" s="193"/>
      <c r="C947" s="193"/>
      <c r="D947" s="193"/>
      <c r="E947" s="193"/>
      <c r="F947" s="193"/>
      <c r="G947" s="193"/>
      <c r="H947" s="193"/>
      <c r="I947" s="193"/>
      <c r="J947" s="193"/>
      <c r="K947" s="84"/>
      <c r="M947" s="84"/>
    </row>
    <row r="948">
      <c r="A948" s="84"/>
      <c r="B948" s="193"/>
      <c r="C948" s="193"/>
      <c r="D948" s="193"/>
      <c r="E948" s="193"/>
      <c r="F948" s="193"/>
      <c r="G948" s="193"/>
      <c r="H948" s="193"/>
      <c r="I948" s="193"/>
      <c r="J948" s="193"/>
      <c r="K948" s="84"/>
      <c r="M948" s="84"/>
    </row>
    <row r="949">
      <c r="A949" s="84"/>
      <c r="B949" s="193"/>
      <c r="C949" s="193"/>
      <c r="D949" s="193"/>
      <c r="E949" s="193"/>
      <c r="F949" s="193"/>
      <c r="G949" s="193"/>
      <c r="H949" s="193"/>
      <c r="I949" s="193"/>
      <c r="J949" s="193"/>
      <c r="K949" s="84"/>
      <c r="M949" s="84"/>
    </row>
    <row r="950">
      <c r="A950" s="84"/>
      <c r="B950" s="193"/>
      <c r="C950" s="193"/>
      <c r="D950" s="193"/>
      <c r="E950" s="193"/>
      <c r="F950" s="193"/>
      <c r="G950" s="193"/>
      <c r="H950" s="193"/>
      <c r="I950" s="193"/>
      <c r="J950" s="193"/>
      <c r="K950" s="84"/>
      <c r="M950" s="84"/>
    </row>
    <row r="951">
      <c r="A951" s="84"/>
      <c r="B951" s="193"/>
      <c r="C951" s="193"/>
      <c r="D951" s="193"/>
      <c r="E951" s="193"/>
      <c r="F951" s="193"/>
      <c r="G951" s="193"/>
      <c r="H951" s="193"/>
      <c r="I951" s="193"/>
      <c r="J951" s="193"/>
      <c r="K951" s="84"/>
      <c r="M951" s="84"/>
    </row>
    <row r="952">
      <c r="A952" s="84"/>
      <c r="B952" s="193"/>
      <c r="C952" s="193"/>
      <c r="D952" s="193"/>
      <c r="E952" s="193"/>
      <c r="F952" s="193"/>
      <c r="G952" s="193"/>
      <c r="H952" s="193"/>
      <c r="I952" s="193"/>
      <c r="J952" s="193"/>
      <c r="K952" s="84"/>
      <c r="M952" s="84"/>
    </row>
    <row r="953">
      <c r="A953" s="84"/>
      <c r="B953" s="193"/>
      <c r="C953" s="193"/>
      <c r="D953" s="193"/>
      <c r="E953" s="193"/>
      <c r="F953" s="193"/>
      <c r="G953" s="193"/>
      <c r="H953" s="193"/>
      <c r="I953" s="193"/>
      <c r="J953" s="193"/>
      <c r="K953" s="84"/>
      <c r="M953" s="84"/>
    </row>
    <row r="954">
      <c r="A954" s="84"/>
      <c r="B954" s="193"/>
      <c r="C954" s="193"/>
      <c r="D954" s="193"/>
      <c r="E954" s="193"/>
      <c r="F954" s="193"/>
      <c r="G954" s="193"/>
      <c r="H954" s="193"/>
      <c r="I954" s="193"/>
      <c r="J954" s="193"/>
      <c r="K954" s="84"/>
      <c r="M954" s="84"/>
    </row>
    <row r="955">
      <c r="A955" s="84"/>
      <c r="B955" s="193"/>
      <c r="C955" s="193"/>
      <c r="D955" s="193"/>
      <c r="E955" s="193"/>
      <c r="F955" s="193"/>
      <c r="G955" s="193"/>
      <c r="H955" s="193"/>
      <c r="I955" s="193"/>
      <c r="J955" s="193"/>
      <c r="K955" s="84"/>
      <c r="M955" s="84"/>
    </row>
    <row r="956">
      <c r="A956" s="84"/>
      <c r="B956" s="193"/>
      <c r="C956" s="193"/>
      <c r="D956" s="193"/>
      <c r="E956" s="193"/>
      <c r="F956" s="193"/>
      <c r="G956" s="193"/>
      <c r="H956" s="193"/>
      <c r="I956" s="193"/>
      <c r="J956" s="193"/>
      <c r="K956" s="84"/>
      <c r="M956" s="84"/>
    </row>
    <row r="957">
      <c r="A957" s="84"/>
      <c r="B957" s="193"/>
      <c r="C957" s="193"/>
      <c r="D957" s="193"/>
      <c r="E957" s="193"/>
      <c r="F957" s="193"/>
      <c r="G957" s="193"/>
      <c r="H957" s="193"/>
      <c r="I957" s="193"/>
      <c r="J957" s="193"/>
      <c r="K957" s="84"/>
      <c r="M957" s="84"/>
    </row>
    <row r="958">
      <c r="A958" s="84"/>
      <c r="B958" s="193"/>
      <c r="C958" s="193"/>
      <c r="D958" s="193"/>
      <c r="E958" s="193"/>
      <c r="F958" s="193"/>
      <c r="G958" s="193"/>
      <c r="H958" s="193"/>
      <c r="I958" s="193"/>
      <c r="J958" s="193"/>
      <c r="K958" s="84"/>
      <c r="M958" s="84"/>
    </row>
    <row r="959">
      <c r="A959" s="84"/>
      <c r="B959" s="193"/>
      <c r="C959" s="193"/>
      <c r="D959" s="193"/>
      <c r="E959" s="193"/>
      <c r="F959" s="193"/>
      <c r="G959" s="193"/>
      <c r="H959" s="193"/>
      <c r="I959" s="193"/>
      <c r="J959" s="193"/>
      <c r="K959" s="84"/>
      <c r="M959" s="84"/>
    </row>
    <row r="960">
      <c r="A960" s="84"/>
      <c r="B960" s="193"/>
      <c r="C960" s="193"/>
      <c r="D960" s="193"/>
      <c r="E960" s="193"/>
      <c r="F960" s="193"/>
      <c r="G960" s="193"/>
      <c r="H960" s="193"/>
      <c r="I960" s="193"/>
      <c r="J960" s="193"/>
      <c r="K960" s="84"/>
      <c r="M960" s="84"/>
    </row>
    <row r="961">
      <c r="A961" s="84"/>
      <c r="B961" s="193"/>
      <c r="C961" s="193"/>
      <c r="D961" s="193"/>
      <c r="E961" s="193"/>
      <c r="F961" s="193"/>
      <c r="G961" s="193"/>
      <c r="H961" s="193"/>
      <c r="I961" s="193"/>
      <c r="J961" s="193"/>
      <c r="K961" s="84"/>
      <c r="M961" s="84"/>
    </row>
    <row r="962">
      <c r="A962" s="84"/>
      <c r="B962" s="193"/>
      <c r="C962" s="193"/>
      <c r="D962" s="193"/>
      <c r="E962" s="193"/>
      <c r="F962" s="193"/>
      <c r="G962" s="193"/>
      <c r="H962" s="193"/>
      <c r="I962" s="193"/>
      <c r="J962" s="193"/>
      <c r="K962" s="84"/>
      <c r="M962" s="84"/>
    </row>
    <row r="963">
      <c r="A963" s="84"/>
      <c r="B963" s="193"/>
      <c r="C963" s="193"/>
      <c r="D963" s="193"/>
      <c r="E963" s="193"/>
      <c r="F963" s="193"/>
      <c r="G963" s="193"/>
      <c r="H963" s="193"/>
      <c r="I963" s="193"/>
      <c r="J963" s="193"/>
      <c r="K963" s="84"/>
      <c r="M963" s="84"/>
    </row>
    <row r="964">
      <c r="A964" s="84"/>
      <c r="B964" s="193"/>
      <c r="C964" s="193"/>
      <c r="D964" s="193"/>
      <c r="E964" s="193"/>
      <c r="F964" s="193"/>
      <c r="G964" s="193"/>
      <c r="H964" s="193"/>
      <c r="I964" s="193"/>
      <c r="J964" s="193"/>
      <c r="K964" s="84"/>
      <c r="M964" s="84"/>
    </row>
    <row r="965">
      <c r="A965" s="84"/>
      <c r="B965" s="193"/>
      <c r="C965" s="193"/>
      <c r="D965" s="193"/>
      <c r="E965" s="193"/>
      <c r="F965" s="193"/>
      <c r="G965" s="193"/>
      <c r="H965" s="193"/>
      <c r="I965" s="193"/>
      <c r="J965" s="193"/>
      <c r="K965" s="84"/>
      <c r="M965" s="84"/>
    </row>
    <row r="966">
      <c r="A966" s="84"/>
      <c r="B966" s="193"/>
      <c r="C966" s="193"/>
      <c r="D966" s="193"/>
      <c r="E966" s="193"/>
      <c r="F966" s="193"/>
      <c r="G966" s="193"/>
      <c r="H966" s="193"/>
      <c r="I966" s="193"/>
      <c r="J966" s="193"/>
      <c r="K966" s="84"/>
      <c r="M966" s="84"/>
    </row>
    <row r="967">
      <c r="A967" s="84"/>
      <c r="B967" s="193"/>
      <c r="C967" s="193"/>
      <c r="D967" s="193"/>
      <c r="E967" s="193"/>
      <c r="F967" s="193"/>
      <c r="G967" s="193"/>
      <c r="H967" s="193"/>
      <c r="I967" s="193"/>
      <c r="J967" s="193"/>
      <c r="K967" s="84"/>
      <c r="M967" s="84"/>
    </row>
    <row r="968">
      <c r="A968" s="84"/>
      <c r="B968" s="193"/>
      <c r="C968" s="193"/>
      <c r="D968" s="193"/>
      <c r="E968" s="193"/>
      <c r="F968" s="193"/>
      <c r="G968" s="193"/>
      <c r="H968" s="193"/>
      <c r="I968" s="193"/>
      <c r="J968" s="193"/>
      <c r="K968" s="84"/>
      <c r="M968" s="84"/>
    </row>
    <row r="969">
      <c r="A969" s="84"/>
      <c r="B969" s="193"/>
      <c r="C969" s="193"/>
      <c r="D969" s="193"/>
      <c r="E969" s="193"/>
      <c r="F969" s="193"/>
      <c r="G969" s="193"/>
      <c r="H969" s="193"/>
      <c r="I969" s="193"/>
      <c r="J969" s="193"/>
      <c r="K969" s="84"/>
      <c r="M969" s="84"/>
    </row>
    <row r="970">
      <c r="A970" s="84"/>
      <c r="B970" s="193"/>
      <c r="C970" s="193"/>
      <c r="D970" s="193"/>
      <c r="E970" s="193"/>
      <c r="F970" s="193"/>
      <c r="G970" s="193"/>
      <c r="H970" s="193"/>
      <c r="I970" s="193"/>
      <c r="J970" s="193"/>
      <c r="K970" s="84"/>
      <c r="M970" s="84"/>
    </row>
    <row r="971">
      <c r="A971" s="84"/>
      <c r="B971" s="193"/>
      <c r="C971" s="193"/>
      <c r="D971" s="193"/>
      <c r="E971" s="193"/>
      <c r="F971" s="193"/>
      <c r="G971" s="193"/>
      <c r="H971" s="193"/>
      <c r="I971" s="193"/>
      <c r="J971" s="193"/>
      <c r="K971" s="84"/>
      <c r="M971" s="84"/>
    </row>
    <row r="972">
      <c r="A972" s="84"/>
      <c r="B972" s="193"/>
      <c r="C972" s="193"/>
      <c r="D972" s="193"/>
      <c r="E972" s="193"/>
      <c r="F972" s="193"/>
      <c r="G972" s="193"/>
      <c r="H972" s="193"/>
      <c r="I972" s="193"/>
      <c r="J972" s="193"/>
      <c r="K972" s="84"/>
      <c r="M972" s="84"/>
    </row>
    <row r="973">
      <c r="A973" s="84"/>
      <c r="B973" s="193"/>
      <c r="C973" s="193"/>
      <c r="D973" s="193"/>
      <c r="E973" s="193"/>
      <c r="F973" s="193"/>
      <c r="G973" s="193"/>
      <c r="H973" s="193"/>
      <c r="I973" s="193"/>
      <c r="J973" s="193"/>
      <c r="K973" s="84"/>
      <c r="M973" s="84"/>
    </row>
    <row r="974">
      <c r="A974" s="84"/>
      <c r="B974" s="193"/>
      <c r="C974" s="193"/>
      <c r="D974" s="193"/>
      <c r="E974" s="193"/>
      <c r="F974" s="193"/>
      <c r="G974" s="193"/>
      <c r="H974" s="193"/>
      <c r="I974" s="193"/>
      <c r="J974" s="193"/>
      <c r="K974" s="84"/>
      <c r="M974" s="84"/>
    </row>
    <row r="975">
      <c r="A975" s="84"/>
      <c r="B975" s="193"/>
      <c r="C975" s="193"/>
      <c r="D975" s="193"/>
      <c r="E975" s="193"/>
      <c r="F975" s="193"/>
      <c r="G975" s="193"/>
      <c r="H975" s="193"/>
      <c r="I975" s="193"/>
      <c r="J975" s="193"/>
      <c r="K975" s="84"/>
      <c r="M975" s="84"/>
    </row>
    <row r="976">
      <c r="A976" s="84"/>
      <c r="B976" s="193"/>
      <c r="C976" s="193"/>
      <c r="D976" s="193"/>
      <c r="E976" s="193"/>
      <c r="F976" s="193"/>
      <c r="G976" s="193"/>
      <c r="H976" s="193"/>
      <c r="I976" s="193"/>
      <c r="J976" s="193"/>
      <c r="K976" s="84"/>
      <c r="M976" s="84"/>
    </row>
    <row r="977">
      <c r="A977" s="84"/>
      <c r="B977" s="193"/>
      <c r="C977" s="193"/>
      <c r="D977" s="193"/>
      <c r="E977" s="193"/>
      <c r="F977" s="193"/>
      <c r="G977" s="193"/>
      <c r="H977" s="193"/>
      <c r="I977" s="193"/>
      <c r="J977" s="193"/>
      <c r="K977" s="84"/>
      <c r="M977" s="84"/>
    </row>
    <row r="978">
      <c r="A978" s="84"/>
      <c r="B978" s="193"/>
      <c r="C978" s="193"/>
      <c r="D978" s="193"/>
      <c r="E978" s="193"/>
      <c r="F978" s="193"/>
      <c r="G978" s="193"/>
      <c r="H978" s="193"/>
      <c r="I978" s="193"/>
      <c r="J978" s="193"/>
      <c r="K978" s="84"/>
      <c r="M978" s="84"/>
    </row>
    <row r="979">
      <c r="A979" s="84"/>
      <c r="B979" s="193"/>
      <c r="C979" s="193"/>
      <c r="D979" s="193"/>
      <c r="E979" s="193"/>
      <c r="F979" s="193"/>
      <c r="G979" s="193"/>
      <c r="H979" s="193"/>
      <c r="I979" s="193"/>
      <c r="J979" s="193"/>
      <c r="K979" s="84"/>
      <c r="M979" s="84"/>
    </row>
    <row r="980">
      <c r="A980" s="84"/>
      <c r="B980" s="193"/>
      <c r="C980" s="193"/>
      <c r="D980" s="193"/>
      <c r="E980" s="193"/>
      <c r="F980" s="193"/>
      <c r="G980" s="193"/>
      <c r="H980" s="193"/>
      <c r="I980" s="193"/>
      <c r="J980" s="193"/>
      <c r="K980" s="84"/>
      <c r="M980" s="84"/>
    </row>
    <row r="981">
      <c r="A981" s="84"/>
      <c r="B981" s="193"/>
      <c r="C981" s="193"/>
      <c r="D981" s="193"/>
      <c r="E981" s="193"/>
      <c r="F981" s="193"/>
      <c r="G981" s="193"/>
      <c r="H981" s="193"/>
      <c r="I981" s="193"/>
      <c r="J981" s="193"/>
      <c r="K981" s="84"/>
      <c r="M981" s="84"/>
    </row>
    <row r="982">
      <c r="A982" s="84"/>
      <c r="B982" s="193"/>
      <c r="C982" s="193"/>
      <c r="D982" s="193"/>
      <c r="E982" s="193"/>
      <c r="F982" s="193"/>
      <c r="G982" s="193"/>
      <c r="H982" s="193"/>
      <c r="I982" s="193"/>
      <c r="J982" s="193"/>
      <c r="K982" s="84"/>
      <c r="M982" s="84"/>
    </row>
    <row r="983">
      <c r="A983" s="84"/>
      <c r="B983" s="193"/>
      <c r="C983" s="193"/>
      <c r="D983" s="193"/>
      <c r="E983" s="193"/>
      <c r="F983" s="193"/>
      <c r="G983" s="193"/>
      <c r="H983" s="193"/>
      <c r="I983" s="193"/>
      <c r="J983" s="193"/>
      <c r="K983" s="84"/>
      <c r="M983" s="84"/>
    </row>
    <row r="984">
      <c r="A984" s="84"/>
      <c r="B984" s="193"/>
      <c r="C984" s="193"/>
      <c r="D984" s="193"/>
      <c r="E984" s="193"/>
      <c r="F984" s="193"/>
      <c r="G984" s="193"/>
      <c r="H984" s="193"/>
      <c r="I984" s="193"/>
      <c r="J984" s="193"/>
      <c r="K984" s="84"/>
      <c r="M984" s="84"/>
    </row>
    <row r="985">
      <c r="A985" s="84"/>
      <c r="B985" s="193"/>
      <c r="C985" s="193"/>
      <c r="D985" s="193"/>
      <c r="E985" s="193"/>
      <c r="F985" s="193"/>
      <c r="G985" s="193"/>
      <c r="H985" s="193"/>
      <c r="I985" s="193"/>
      <c r="J985" s="193"/>
      <c r="K985" s="84"/>
      <c r="M985" s="84"/>
    </row>
    <row r="986">
      <c r="A986" s="84"/>
      <c r="B986" s="193"/>
      <c r="C986" s="193"/>
      <c r="D986" s="193"/>
      <c r="E986" s="193"/>
      <c r="F986" s="193"/>
      <c r="G986" s="193"/>
      <c r="H986" s="193"/>
      <c r="I986" s="193"/>
      <c r="J986" s="193"/>
      <c r="K986" s="84"/>
      <c r="M986" s="84"/>
    </row>
    <row r="987">
      <c r="A987" s="84"/>
      <c r="B987" s="193"/>
      <c r="C987" s="193"/>
      <c r="D987" s="193"/>
      <c r="E987" s="193"/>
      <c r="F987" s="193"/>
      <c r="G987" s="193"/>
      <c r="H987" s="193"/>
      <c r="I987" s="193"/>
      <c r="J987" s="193"/>
      <c r="K987" s="84"/>
      <c r="M987" s="84"/>
    </row>
    <row r="988">
      <c r="A988" s="84"/>
      <c r="B988" s="193"/>
      <c r="C988" s="193"/>
      <c r="D988" s="193"/>
      <c r="E988" s="193"/>
      <c r="F988" s="193"/>
      <c r="G988" s="193"/>
      <c r="H988" s="193"/>
      <c r="I988" s="193"/>
      <c r="J988" s="193"/>
      <c r="K988" s="84"/>
      <c r="M988" s="84"/>
    </row>
    <row r="989">
      <c r="A989" s="84"/>
      <c r="B989" s="193"/>
      <c r="C989" s="193"/>
      <c r="D989" s="193"/>
      <c r="E989" s="193"/>
      <c r="F989" s="193"/>
      <c r="G989" s="193"/>
      <c r="H989" s="193"/>
      <c r="I989" s="193"/>
      <c r="J989" s="193"/>
      <c r="K989" s="84"/>
      <c r="M989" s="84"/>
    </row>
    <row r="990">
      <c r="A990" s="84"/>
      <c r="B990" s="193"/>
      <c r="C990" s="193"/>
      <c r="D990" s="193"/>
      <c r="E990" s="193"/>
      <c r="F990" s="193"/>
      <c r="G990" s="193"/>
      <c r="H990" s="193"/>
      <c r="I990" s="193"/>
      <c r="J990" s="193"/>
      <c r="K990" s="84"/>
      <c r="M990" s="84"/>
    </row>
    <row r="991">
      <c r="A991" s="84"/>
      <c r="B991" s="193"/>
      <c r="C991" s="193"/>
      <c r="D991" s="193"/>
      <c r="E991" s="193"/>
      <c r="F991" s="193"/>
      <c r="G991" s="193"/>
      <c r="H991" s="193"/>
      <c r="I991" s="193"/>
      <c r="J991" s="193"/>
      <c r="K991" s="84"/>
      <c r="M991" s="84"/>
    </row>
    <row r="992">
      <c r="A992" s="84"/>
      <c r="B992" s="193"/>
      <c r="C992" s="193"/>
      <c r="D992" s="193"/>
      <c r="E992" s="193"/>
      <c r="F992" s="193"/>
      <c r="G992" s="193"/>
      <c r="H992" s="193"/>
      <c r="I992" s="193"/>
      <c r="J992" s="193"/>
      <c r="K992" s="84"/>
      <c r="M992" s="84"/>
    </row>
    <row r="993">
      <c r="A993" s="84"/>
      <c r="B993" s="193"/>
      <c r="C993" s="193"/>
      <c r="D993" s="193"/>
      <c r="E993" s="193"/>
      <c r="F993" s="193"/>
      <c r="G993" s="193"/>
      <c r="H993" s="193"/>
      <c r="I993" s="193"/>
      <c r="J993" s="193"/>
      <c r="K993" s="84"/>
      <c r="M993" s="84"/>
    </row>
    <row r="994">
      <c r="A994" s="84"/>
      <c r="B994" s="193"/>
      <c r="C994" s="193"/>
      <c r="D994" s="193"/>
      <c r="E994" s="193"/>
      <c r="F994" s="193"/>
      <c r="G994" s="193"/>
      <c r="H994" s="193"/>
      <c r="I994" s="193"/>
      <c r="J994" s="193"/>
      <c r="K994" s="84"/>
      <c r="M994" s="84"/>
    </row>
    <row r="995">
      <c r="A995" s="84"/>
      <c r="B995" s="193"/>
      <c r="C995" s="193"/>
      <c r="D995" s="193"/>
      <c r="E995" s="193"/>
      <c r="F995" s="193"/>
      <c r="G995" s="193"/>
      <c r="H995" s="193"/>
      <c r="I995" s="193"/>
      <c r="J995" s="193"/>
      <c r="K995" s="84"/>
      <c r="M995" s="84"/>
    </row>
    <row r="996">
      <c r="A996" s="84"/>
      <c r="B996" s="193"/>
      <c r="C996" s="193"/>
      <c r="D996" s="193"/>
      <c r="E996" s="193"/>
      <c r="F996" s="193"/>
      <c r="G996" s="193"/>
      <c r="H996" s="193"/>
      <c r="I996" s="193"/>
      <c r="J996" s="193"/>
      <c r="K996" s="84"/>
      <c r="M996" s="84"/>
    </row>
    <row r="997">
      <c r="A997" s="84"/>
      <c r="B997" s="193"/>
      <c r="C997" s="193"/>
      <c r="D997" s="193"/>
      <c r="E997" s="193"/>
      <c r="F997" s="193"/>
      <c r="G997" s="193"/>
      <c r="H997" s="193"/>
      <c r="I997" s="193"/>
      <c r="J997" s="193"/>
      <c r="K997" s="84"/>
      <c r="M997" s="84"/>
    </row>
    <row r="998">
      <c r="A998" s="84"/>
      <c r="B998" s="193"/>
      <c r="C998" s="193"/>
      <c r="D998" s="193"/>
      <c r="E998" s="193"/>
      <c r="F998" s="193"/>
      <c r="G998" s="193"/>
      <c r="H998" s="193"/>
      <c r="I998" s="193"/>
      <c r="J998" s="193"/>
      <c r="K998" s="84"/>
      <c r="M998" s="84"/>
    </row>
    <row r="999">
      <c r="A999" s="84"/>
      <c r="B999" s="193"/>
      <c r="C999" s="193"/>
      <c r="D999" s="193"/>
      <c r="E999" s="193"/>
      <c r="F999" s="193"/>
      <c r="G999" s="193"/>
      <c r="H999" s="193"/>
      <c r="I999" s="193"/>
      <c r="J999" s="193"/>
      <c r="K999" s="84"/>
      <c r="M999" s="84"/>
    </row>
    <row r="1000">
      <c r="A1000" s="84"/>
      <c r="B1000" s="193"/>
      <c r="C1000" s="193"/>
      <c r="D1000" s="193"/>
      <c r="E1000" s="193"/>
      <c r="F1000" s="193"/>
      <c r="G1000" s="193"/>
      <c r="H1000" s="193"/>
      <c r="I1000" s="193"/>
      <c r="J1000" s="193"/>
      <c r="K1000" s="84"/>
      <c r="M1000" s="84"/>
    </row>
    <row r="1001">
      <c r="A1001" s="84"/>
      <c r="B1001" s="193"/>
      <c r="C1001" s="209"/>
      <c r="D1001" s="210"/>
      <c r="E1001" s="193"/>
      <c r="F1001" s="195"/>
      <c r="G1001" s="195"/>
      <c r="H1001" s="195"/>
      <c r="I1001" s="195"/>
      <c r="J1001" s="195"/>
      <c r="M1001" s="84"/>
    </row>
    <row r="1002">
      <c r="A1002" s="84"/>
      <c r="B1002" s="193"/>
      <c r="C1002" s="209"/>
      <c r="D1002" s="210"/>
      <c r="E1002" s="193"/>
      <c r="F1002" s="195"/>
      <c r="G1002" s="195"/>
      <c r="H1002" s="195"/>
      <c r="I1002" s="195"/>
      <c r="J1002" s="195"/>
      <c r="M1002" s="84"/>
    </row>
    <row r="1003">
      <c r="A1003" s="84"/>
      <c r="B1003" s="193"/>
      <c r="C1003" s="209"/>
      <c r="D1003" s="211"/>
      <c r="E1003" s="193"/>
      <c r="F1003" s="195"/>
      <c r="G1003" s="195"/>
      <c r="H1003" s="195"/>
      <c r="I1003" s="195"/>
      <c r="J1003" s="195"/>
      <c r="M1003" s="84"/>
    </row>
  </sheetData>
  <hyperlinks>
    <hyperlink r:id="rId1" ref="O211"/>
  </hyperlinks>
  <drawing r:id="rId2"/>
  <tableParts count="7"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16.88"/>
    <col customWidth="1" min="3" max="3" width="12.63"/>
    <col customWidth="1" min="4" max="4" width="12.25"/>
    <col customWidth="1" min="5" max="5" width="12.88"/>
    <col customWidth="1" min="6" max="6" width="10.25"/>
    <col customWidth="1" min="7" max="7" width="18.13"/>
    <col customWidth="1" min="8" max="8" width="22.0"/>
    <col customWidth="1" min="9" max="9" width="14.5"/>
    <col customWidth="1" min="10" max="10" width="3.88"/>
  </cols>
  <sheetData>
    <row r="1" ht="22.5" customHeight="1">
      <c r="A1" s="212" t="s">
        <v>4</v>
      </c>
      <c r="B1" s="213" t="s">
        <v>1047</v>
      </c>
      <c r="C1" s="214" t="s">
        <v>0</v>
      </c>
      <c r="D1" s="3" t="s">
        <v>10</v>
      </c>
      <c r="E1" s="2" t="s">
        <v>1</v>
      </c>
      <c r="F1" s="5" t="s">
        <v>9</v>
      </c>
      <c r="G1" s="215" t="s">
        <v>7</v>
      </c>
      <c r="H1" s="216" t="s">
        <v>5</v>
      </c>
      <c r="I1" s="215" t="s">
        <v>6</v>
      </c>
      <c r="J1" s="213" t="s">
        <v>1054</v>
      </c>
    </row>
    <row r="2" ht="22.5" customHeight="1">
      <c r="A2" s="217" t="s">
        <v>47</v>
      </c>
      <c r="B2" s="1" t="s">
        <v>1055</v>
      </c>
      <c r="C2" s="213" t="s">
        <v>609</v>
      </c>
      <c r="D2" s="218">
        <v>574577.0</v>
      </c>
      <c r="E2" s="12">
        <v>2.9421789862000003E7</v>
      </c>
      <c r="F2" s="219">
        <v>51.206</v>
      </c>
      <c r="G2" s="220">
        <v>1.3081254681421445E11</v>
      </c>
      <c r="H2" s="65">
        <v>3.5259446580650795E10</v>
      </c>
      <c r="I2" s="220">
        <v>1198.4126984126983</v>
      </c>
      <c r="J2" s="1">
        <v>1.0</v>
      </c>
    </row>
    <row r="3" ht="22.5" customHeight="1">
      <c r="A3" s="1" t="s">
        <v>47</v>
      </c>
      <c r="B3" s="1" t="s">
        <v>1055</v>
      </c>
      <c r="C3" s="213" t="s">
        <v>585</v>
      </c>
      <c r="D3" s="221">
        <v>489302.0</v>
      </c>
      <c r="E3" s="36">
        <v>3.6356117204E7</v>
      </c>
      <c r="F3" s="16">
        <v>74.302</v>
      </c>
      <c r="G3" s="222">
        <v>1.4017302966431116E11</v>
      </c>
      <c r="H3" s="65">
        <v>4.039568578222223E10</v>
      </c>
      <c r="I3" s="222">
        <v>1111.111111111111</v>
      </c>
      <c r="J3" s="1">
        <v>1.0</v>
      </c>
    </row>
    <row r="4" ht="22.5" customHeight="1">
      <c r="A4" s="1" t="s">
        <v>47</v>
      </c>
      <c r="B4" s="1" t="s">
        <v>1055</v>
      </c>
      <c r="C4" s="213" t="s">
        <v>678</v>
      </c>
      <c r="D4" s="223">
        <v>388247.0</v>
      </c>
      <c r="E4" s="32">
        <v>1.733911102E7</v>
      </c>
      <c r="F4" s="16">
        <v>44.66</v>
      </c>
      <c r="G4" s="224">
        <v>7.906978655100555E10</v>
      </c>
      <c r="H4" s="65">
        <v>2.3187620689444443E10</v>
      </c>
      <c r="I4" s="224">
        <v>1337.3015873015872</v>
      </c>
      <c r="J4" s="1">
        <v>1.0</v>
      </c>
    </row>
    <row r="5" ht="22.5" customHeight="1">
      <c r="A5" s="1" t="s">
        <v>47</v>
      </c>
      <c r="B5" s="1" t="s">
        <v>1055</v>
      </c>
      <c r="C5" s="213" t="s">
        <v>832</v>
      </c>
      <c r="D5" s="225">
        <v>338878.0</v>
      </c>
      <c r="E5" s="25">
        <v>7437016.588</v>
      </c>
      <c r="F5" s="16">
        <v>21.946</v>
      </c>
      <c r="G5" s="222">
        <v>3.222795724045095E10</v>
      </c>
      <c r="H5" s="65">
        <v>7.879696146809524E9</v>
      </c>
      <c r="I5" s="222">
        <v>1059.5238095238094</v>
      </c>
      <c r="J5" s="1">
        <v>1.0</v>
      </c>
    </row>
    <row r="6" ht="22.5" customHeight="1">
      <c r="A6" s="1" t="s">
        <v>47</v>
      </c>
      <c r="B6" s="1" t="s">
        <v>1055</v>
      </c>
      <c r="C6" s="213" t="s">
        <v>473</v>
      </c>
      <c r="D6" s="223">
        <v>264853.0</v>
      </c>
      <c r="E6" s="32">
        <v>8871251.235</v>
      </c>
      <c r="F6" s="16">
        <v>33.495</v>
      </c>
      <c r="G6" s="224">
        <v>1.06948499432E11</v>
      </c>
      <c r="H6" s="65">
        <v>6.75904856E10</v>
      </c>
      <c r="I6" s="224">
        <v>7619.047619047619</v>
      </c>
      <c r="J6" s="1">
        <v>1.0</v>
      </c>
    </row>
    <row r="7" ht="22.5" customHeight="1">
      <c r="A7" s="1" t="s">
        <v>47</v>
      </c>
      <c r="B7" s="1" t="s">
        <v>1055</v>
      </c>
      <c r="C7" s="213" t="s">
        <v>879</v>
      </c>
      <c r="D7" s="221">
        <v>236495.0</v>
      </c>
      <c r="E7" s="36">
        <v>2549416.0999999996</v>
      </c>
      <c r="F7" s="16">
        <v>10.78</v>
      </c>
      <c r="G7" s="222">
        <v>1.6073461506666664E10</v>
      </c>
      <c r="H7" s="65">
        <v>4.856030666666666E9</v>
      </c>
      <c r="I7" s="222">
        <v>1904.7619047619048</v>
      </c>
      <c r="J7" s="1">
        <v>1.0</v>
      </c>
    </row>
    <row r="8" ht="22.5" customHeight="1">
      <c r="A8" s="1" t="s">
        <v>47</v>
      </c>
      <c r="B8" s="1" t="s">
        <v>1055</v>
      </c>
      <c r="C8" s="213" t="s">
        <v>856</v>
      </c>
      <c r="D8" s="223">
        <v>232273.0</v>
      </c>
      <c r="E8" s="32">
        <v>9388939.206</v>
      </c>
      <c r="F8" s="16">
        <v>40.422</v>
      </c>
      <c r="G8" s="224">
        <v>1.821454205964E10</v>
      </c>
      <c r="H8" s="65">
        <v>6.259292804E9</v>
      </c>
      <c r="I8" s="224">
        <v>666.6666666666666</v>
      </c>
      <c r="J8" s="1">
        <v>1.0</v>
      </c>
    </row>
    <row r="9" ht="22.5" customHeight="1">
      <c r="A9" s="1" t="s">
        <v>47</v>
      </c>
      <c r="B9" s="1" t="s">
        <v>1056</v>
      </c>
      <c r="C9" s="213" t="s">
        <v>44</v>
      </c>
      <c r="D9" s="225">
        <v>5854217.0</v>
      </c>
      <c r="E9" s="25">
        <v>5.790874372060001E8</v>
      </c>
      <c r="F9" s="219">
        <v>98.918</v>
      </c>
      <c r="G9" s="226">
        <v>1.11736673849464E13</v>
      </c>
      <c r="H9" s="65">
        <v>4.595932041317461E12</v>
      </c>
      <c r="I9" s="226">
        <v>7936.507936507936</v>
      </c>
      <c r="J9" s="1">
        <v>1.0</v>
      </c>
    </row>
    <row r="10" ht="22.5" customHeight="1">
      <c r="A10" s="1" t="s">
        <v>47</v>
      </c>
      <c r="B10" s="1" t="s">
        <v>1056</v>
      </c>
      <c r="C10" s="213" t="s">
        <v>791</v>
      </c>
      <c r="D10" s="223">
        <v>2059631.0</v>
      </c>
      <c r="E10" s="32">
        <v>2.2993720484E7</v>
      </c>
      <c r="F10" s="16">
        <v>11.164</v>
      </c>
      <c r="G10" s="227">
        <v>3.3222276302477776E10</v>
      </c>
      <c r="H10" s="65">
        <v>1.003694148111111E10</v>
      </c>
      <c r="I10" s="227">
        <v>436.5079365079365</v>
      </c>
      <c r="J10" s="1">
        <v>1.0</v>
      </c>
    </row>
    <row r="11" ht="22.5" customHeight="1">
      <c r="A11" s="1" t="s">
        <v>47</v>
      </c>
      <c r="B11" s="1" t="s">
        <v>1056</v>
      </c>
      <c r="C11" s="213" t="s">
        <v>218</v>
      </c>
      <c r="D11" s="221">
        <v>1112428.0</v>
      </c>
      <c r="E11" s="36">
        <v>7.409104208399999E7</v>
      </c>
      <c r="F11" s="16">
        <v>66.603</v>
      </c>
      <c r="G11" s="228">
        <v>7.59433181361E11</v>
      </c>
      <c r="H11" s="65">
        <v>3.616348482671428E11</v>
      </c>
      <c r="I11" s="228">
        <v>4880.952380952381</v>
      </c>
      <c r="J11" s="1">
        <v>1.0</v>
      </c>
    </row>
    <row r="12" ht="22.5" customHeight="1">
      <c r="A12" s="1" t="s">
        <v>47</v>
      </c>
      <c r="B12" s="1" t="s">
        <v>1056</v>
      </c>
      <c r="C12" s="213" t="s">
        <v>419</v>
      </c>
      <c r="D12" s="218">
        <v>388005.0</v>
      </c>
      <c r="E12" s="12">
        <v>1.120325637E7</v>
      </c>
      <c r="F12" s="219">
        <v>28.874</v>
      </c>
      <c r="G12" s="224">
        <v>1.7539303345E11</v>
      </c>
      <c r="H12" s="65">
        <v>9.336046975E10</v>
      </c>
      <c r="I12" s="224">
        <v>8333.333333333334</v>
      </c>
      <c r="J12" s="1">
        <v>1.0</v>
      </c>
    </row>
    <row r="13" ht="22.5" customHeight="1">
      <c r="A13" s="1" t="s">
        <v>47</v>
      </c>
      <c r="B13" s="1" t="s">
        <v>1056</v>
      </c>
      <c r="C13" s="213" t="s">
        <v>579</v>
      </c>
      <c r="D13" s="221">
        <v>229074.0</v>
      </c>
      <c r="E13" s="36">
        <v>7849449.683999999</v>
      </c>
      <c r="F13" s="219">
        <v>34.266</v>
      </c>
      <c r="G13" s="222">
        <v>1.12508778804E11</v>
      </c>
      <c r="H13" s="65">
        <v>4.36080538E10</v>
      </c>
      <c r="I13" s="222">
        <v>5555.555555555556</v>
      </c>
      <c r="J13" s="1">
        <v>1.0</v>
      </c>
    </row>
    <row r="14" ht="22.5" customHeight="1">
      <c r="A14" s="1" t="s">
        <v>47</v>
      </c>
      <c r="B14" s="1" t="s">
        <v>1057</v>
      </c>
      <c r="C14" s="213" t="s">
        <v>696</v>
      </c>
      <c r="D14" s="223">
        <v>1746881.0</v>
      </c>
      <c r="E14" s="32">
        <v>4.5062542276E7</v>
      </c>
      <c r="F14" s="16">
        <v>25.796</v>
      </c>
      <c r="G14" s="220">
        <v>3.977484634305825E10</v>
      </c>
      <c r="H14" s="65">
        <v>1.0550357120174603E10</v>
      </c>
      <c r="I14" s="220">
        <v>234.12698412698413</v>
      </c>
      <c r="J14" s="1">
        <v>1.0</v>
      </c>
    </row>
    <row r="15" ht="22.5" customHeight="1">
      <c r="A15" s="1" t="s">
        <v>47</v>
      </c>
      <c r="B15" s="1" t="s">
        <v>1057</v>
      </c>
      <c r="C15" s="5" t="s">
        <v>774</v>
      </c>
      <c r="D15" s="221">
        <v>1067614.0</v>
      </c>
      <c r="E15" s="36">
        <v>1.315300448E7</v>
      </c>
      <c r="F15" s="16">
        <v>12.32</v>
      </c>
      <c r="G15" s="226">
        <v>4.3066694668799995E10</v>
      </c>
      <c r="H15" s="65">
        <v>1.127400384E10</v>
      </c>
      <c r="I15" s="226">
        <v>857.1428571428571</v>
      </c>
      <c r="J15" s="1">
        <v>1.0</v>
      </c>
    </row>
    <row r="16" ht="22.5" customHeight="1">
      <c r="A16" s="1" t="s">
        <v>47</v>
      </c>
      <c r="B16" s="1" t="s">
        <v>1057</v>
      </c>
      <c r="C16" s="5" t="s">
        <v>497</v>
      </c>
      <c r="D16" s="223">
        <v>765347.0</v>
      </c>
      <c r="E16" s="32">
        <v>3.0642963185999997E7</v>
      </c>
      <c r="F16" s="219">
        <v>40.038</v>
      </c>
      <c r="G16" s="220">
        <v>1.9479075062414786E11</v>
      </c>
      <c r="H16" s="65">
        <v>5.581396866021428E10</v>
      </c>
      <c r="I16" s="220">
        <v>1821.4285714285713</v>
      </c>
      <c r="J16" s="1">
        <v>1.0</v>
      </c>
    </row>
    <row r="17" ht="22.5" customHeight="1">
      <c r="A17" s="1" t="s">
        <v>47</v>
      </c>
      <c r="B17" s="1" t="s">
        <v>1057</v>
      </c>
      <c r="C17" s="5" t="s">
        <v>264</v>
      </c>
      <c r="D17" s="225">
        <v>745025.0</v>
      </c>
      <c r="E17" s="25">
        <v>8.805748485000001E7</v>
      </c>
      <c r="F17" s="16">
        <v>118.194</v>
      </c>
      <c r="G17" s="226">
        <v>7.325019945111609E11</v>
      </c>
      <c r="H17" s="65">
        <v>2.2538522908035718E11</v>
      </c>
      <c r="I17" s="226">
        <v>2559.5238095238096</v>
      </c>
      <c r="J17" s="1">
        <v>1.0</v>
      </c>
    </row>
    <row r="18" ht="22.5" customHeight="1">
      <c r="A18" s="1" t="s">
        <v>47</v>
      </c>
      <c r="B18" s="1" t="s">
        <v>1057</v>
      </c>
      <c r="C18" s="213" t="s">
        <v>826</v>
      </c>
      <c r="D18" s="218">
        <v>591613.0</v>
      </c>
      <c r="E18" s="12">
        <v>2.73325206E7</v>
      </c>
      <c r="F18" s="219">
        <v>46.2</v>
      </c>
      <c r="G18" s="227">
        <v>3.4291467114666668E10</v>
      </c>
      <c r="H18" s="65">
        <v>8.243141133333333E9</v>
      </c>
      <c r="I18" s="227">
        <v>301.58730158730157</v>
      </c>
      <c r="J18" s="1">
        <v>1.0</v>
      </c>
    </row>
    <row r="19" ht="22.5" customHeight="1">
      <c r="A19" s="1" t="s">
        <v>47</v>
      </c>
      <c r="B19" s="1" t="s">
        <v>1057</v>
      </c>
      <c r="C19" s="5" t="s">
        <v>632</v>
      </c>
      <c r="D19" s="221">
        <v>462090.0</v>
      </c>
      <c r="E19" s="36">
        <v>3.042169515E7</v>
      </c>
      <c r="F19" s="16">
        <v>65.835</v>
      </c>
      <c r="G19" s="222">
        <v>1.2701782051199998E11</v>
      </c>
      <c r="H19" s="65">
        <v>3.3077557424999996E10</v>
      </c>
      <c r="I19" s="222">
        <v>1087.3015873015872</v>
      </c>
      <c r="J19" s="1">
        <v>1.0</v>
      </c>
    </row>
    <row r="20" ht="22.5" customHeight="1">
      <c r="A20" s="1" t="s">
        <v>47</v>
      </c>
      <c r="B20" s="1" t="s">
        <v>1057</v>
      </c>
      <c r="C20" s="5" t="s">
        <v>962</v>
      </c>
      <c r="D20" s="223">
        <v>158373.0</v>
      </c>
      <c r="E20" s="32">
        <v>5131190.1762</v>
      </c>
      <c r="F20" s="16">
        <v>32.3994</v>
      </c>
      <c r="G20" s="224">
        <v>3.5592541380942855E9</v>
      </c>
      <c r="H20" s="65">
        <v>8.144746311428571E8</v>
      </c>
      <c r="I20" s="224">
        <v>158.73015873015873</v>
      </c>
      <c r="J20" s="1">
        <v>1.0</v>
      </c>
    </row>
    <row r="21" ht="22.5" customHeight="1">
      <c r="A21" s="1" t="s">
        <v>47</v>
      </c>
      <c r="B21" s="1" t="s">
        <v>1057</v>
      </c>
      <c r="C21" s="213" t="s">
        <v>597</v>
      </c>
      <c r="D21" s="221">
        <v>151329.0</v>
      </c>
      <c r="E21" s="36">
        <v>1.2584519639999999E7</v>
      </c>
      <c r="F21" s="16">
        <v>83.16</v>
      </c>
      <c r="G21" s="222">
        <v>1.0125744207479997E11</v>
      </c>
      <c r="H21" s="65">
        <v>3.655503323999999E10</v>
      </c>
      <c r="I21" s="222">
        <v>2904.7619047619046</v>
      </c>
      <c r="J21" s="1">
        <v>1.0</v>
      </c>
    </row>
    <row r="22" ht="22.5" customHeight="1">
      <c r="A22" s="1" t="s">
        <v>47</v>
      </c>
      <c r="B22" s="1" t="s">
        <v>1057</v>
      </c>
      <c r="C22" s="5" t="s">
        <v>666</v>
      </c>
      <c r="D22" s="218">
        <v>99744.0</v>
      </c>
      <c r="E22" s="12">
        <v>7181169.023999999</v>
      </c>
      <c r="F22" s="219">
        <v>71.996</v>
      </c>
      <c r="G22" s="224">
        <v>8.44556771286857E10</v>
      </c>
      <c r="H22" s="65">
        <v>2.536206520380952E10</v>
      </c>
      <c r="I22" s="224">
        <v>3531.746031746032</v>
      </c>
      <c r="J22" s="1">
        <v>1.0</v>
      </c>
    </row>
    <row r="23" ht="22.5" customHeight="1">
      <c r="A23" s="1" t="s">
        <v>47</v>
      </c>
      <c r="B23" s="1" t="s">
        <v>1057</v>
      </c>
      <c r="C23" s="5" t="s">
        <v>555</v>
      </c>
      <c r="D23" s="225">
        <v>21457.0</v>
      </c>
      <c r="E23" s="25">
        <v>3626297.371</v>
      </c>
      <c r="F23" s="16">
        <v>169.003</v>
      </c>
      <c r="G23" s="222">
        <v>6.85144119121667E10</v>
      </c>
      <c r="H23" s="65">
        <v>4.691162472007936E10</v>
      </c>
      <c r="I23" s="222">
        <v>12936.507936507936</v>
      </c>
      <c r="J23" s="1">
        <v>1.0</v>
      </c>
    </row>
    <row r="24" ht="22.5" customHeight="1">
      <c r="A24" s="1" t="s">
        <v>47</v>
      </c>
      <c r="B24" s="1" t="s">
        <v>1057</v>
      </c>
      <c r="C24" s="5" t="s">
        <v>932</v>
      </c>
      <c r="D24" s="218">
        <v>10661.0</v>
      </c>
      <c r="E24" s="12">
        <v>233966.306</v>
      </c>
      <c r="F24" s="16">
        <v>21.946</v>
      </c>
      <c r="G24" s="224">
        <v>3.7847763746388893E9</v>
      </c>
      <c r="H24" s="65">
        <v>1.4390784694444447E9</v>
      </c>
      <c r="I24" s="224">
        <v>6150.793650793651</v>
      </c>
      <c r="J24" s="1">
        <v>1.0</v>
      </c>
    </row>
    <row r="25" ht="22.5" customHeight="1">
      <c r="A25" s="1" t="s">
        <v>47</v>
      </c>
      <c r="B25" s="1" t="s">
        <v>1057</v>
      </c>
      <c r="C25" s="5" t="s">
        <v>998</v>
      </c>
      <c r="D25" s="221">
        <v>548.0</v>
      </c>
      <c r="E25" s="36">
        <v>51690.1</v>
      </c>
      <c r="F25" s="219">
        <v>94.325</v>
      </c>
      <c r="G25" s="222">
        <v>6.004666616666666E8</v>
      </c>
      <c r="H25" s="65">
        <v>2.5229691666666666E8</v>
      </c>
      <c r="I25" s="222">
        <v>4880.952380952381</v>
      </c>
      <c r="J25" s="1">
        <v>1.0</v>
      </c>
    </row>
    <row r="26" ht="22.5" customHeight="1">
      <c r="A26" s="1" t="s">
        <v>47</v>
      </c>
      <c r="B26" s="1" t="s">
        <v>1057</v>
      </c>
      <c r="C26" s="5" t="s">
        <v>1032</v>
      </c>
      <c r="D26" s="223">
        <v>545.0</v>
      </c>
      <c r="E26" s="32">
        <v>10360.45</v>
      </c>
      <c r="F26" s="16">
        <v>19.01</v>
      </c>
      <c r="G26" s="224">
        <v>9.074438587301588E7</v>
      </c>
      <c r="H26" s="65">
        <v>3.659047817460318E7</v>
      </c>
      <c r="I26" s="224">
        <v>3531.746031746032</v>
      </c>
      <c r="J26" s="1">
        <v>1.0</v>
      </c>
    </row>
    <row r="27" ht="22.5" customHeight="1">
      <c r="A27" s="1" t="s">
        <v>26</v>
      </c>
      <c r="B27" s="1" t="s">
        <v>1058</v>
      </c>
      <c r="C27" s="1" t="s">
        <v>317</v>
      </c>
      <c r="D27" s="225">
        <v>3518174.0</v>
      </c>
      <c r="E27" s="36">
        <v>9533899.7226</v>
      </c>
      <c r="F27" s="219">
        <v>2.7099</v>
      </c>
      <c r="G27" s="226">
        <v>2.022548726865857E11</v>
      </c>
      <c r="H27" s="65">
        <v>1.8727303026535712E11</v>
      </c>
      <c r="I27" s="226">
        <v>19642.85714285714</v>
      </c>
      <c r="J27" s="1">
        <v>1.0</v>
      </c>
    </row>
    <row r="28" ht="22.5" customHeight="1">
      <c r="A28" s="1" t="s">
        <v>26</v>
      </c>
      <c r="B28" s="1" t="s">
        <v>1058</v>
      </c>
      <c r="C28" s="213" t="s">
        <v>23</v>
      </c>
      <c r="D28" s="218">
        <v>2355916.0</v>
      </c>
      <c r="E28" s="12">
        <v>3.011152781584E8</v>
      </c>
      <c r="F28" s="219">
        <v>127.8124</v>
      </c>
      <c r="G28" s="220">
        <v>8.579395623719494E12</v>
      </c>
      <c r="H28" s="65">
        <v>8.579395623719494E12</v>
      </c>
      <c r="I28" s="220">
        <v>28492.0634920635</v>
      </c>
      <c r="J28" s="1">
        <v>1.0</v>
      </c>
    </row>
    <row r="29" ht="22.5" customHeight="1">
      <c r="A29" s="1" t="s">
        <v>26</v>
      </c>
      <c r="B29" s="1" t="s">
        <v>1058</v>
      </c>
      <c r="C29" s="213" t="s">
        <v>407</v>
      </c>
      <c r="D29" s="221">
        <v>551835.0</v>
      </c>
      <c r="E29" s="36">
        <v>6585929.990999999</v>
      </c>
      <c r="F29" s="219">
        <v>11.9346</v>
      </c>
      <c r="G29" s="226">
        <v>1.5580428664422858E11</v>
      </c>
      <c r="H29" s="65">
        <v>9.617548558285713E10</v>
      </c>
      <c r="I29" s="226">
        <v>14603.174603174602</v>
      </c>
      <c r="J29" s="1">
        <v>1.0</v>
      </c>
    </row>
    <row r="30" ht="22.5" customHeight="1">
      <c r="A30" s="1" t="s">
        <v>26</v>
      </c>
      <c r="B30" s="1" t="s">
        <v>1058</v>
      </c>
      <c r="C30" s="213" t="s">
        <v>485</v>
      </c>
      <c r="D30" s="223">
        <v>131875.0</v>
      </c>
      <c r="E30" s="32">
        <v>4620319.75</v>
      </c>
      <c r="F30" s="219">
        <v>35.0356</v>
      </c>
      <c r="G30" s="224">
        <v>7.603726217142857E10</v>
      </c>
      <c r="H30" s="65">
        <v>5.940411107142857E10</v>
      </c>
      <c r="I30" s="224">
        <v>12857.142857142857</v>
      </c>
      <c r="J30" s="1">
        <v>1.0</v>
      </c>
    </row>
    <row r="31" ht="22.5" customHeight="1">
      <c r="A31" s="1" t="s">
        <v>26</v>
      </c>
      <c r="B31" s="1" t="s">
        <v>1058</v>
      </c>
      <c r="C31" s="213" t="s">
        <v>531</v>
      </c>
      <c r="D31" s="221">
        <v>94754.0</v>
      </c>
      <c r="E31" s="36">
        <v>4523612.8124</v>
      </c>
      <c r="F31" s="219">
        <v>47.7406</v>
      </c>
      <c r="G31" s="222">
        <v>8.839354845563524E10</v>
      </c>
      <c r="H31" s="65">
        <v>5.0800889917031746E10</v>
      </c>
      <c r="I31" s="222">
        <v>11230.15873015873</v>
      </c>
      <c r="J31" s="1">
        <v>1.0</v>
      </c>
    </row>
    <row r="32" ht="22.5" customHeight="1">
      <c r="A32" s="1" t="s">
        <v>26</v>
      </c>
      <c r="B32" s="1" t="s">
        <v>1059</v>
      </c>
      <c r="C32" s="213" t="s">
        <v>57</v>
      </c>
      <c r="D32" s="218">
        <v>1864826.0</v>
      </c>
      <c r="E32" s="12">
        <v>7.46674465574E7</v>
      </c>
      <c r="F32" s="219">
        <v>40.0399</v>
      </c>
      <c r="G32" s="227">
        <v>2.1910391813852168E12</v>
      </c>
      <c r="H32" s="229">
        <v>2.6429905686190796E12</v>
      </c>
      <c r="I32" s="227">
        <v>35396.8253968254</v>
      </c>
      <c r="J32" s="1">
        <v>1.0</v>
      </c>
    </row>
    <row r="33" ht="22.5" customHeight="1">
      <c r="A33" s="1" t="s">
        <v>26</v>
      </c>
      <c r="B33" s="1" t="s">
        <v>1059</v>
      </c>
      <c r="C33" s="5" t="s">
        <v>341</v>
      </c>
      <c r="D33" s="221">
        <v>1599030.0</v>
      </c>
      <c r="E33" s="36">
        <v>6524522.109</v>
      </c>
      <c r="F33" s="16">
        <v>4.0803</v>
      </c>
      <c r="G33" s="228">
        <v>1.8388278143865E11</v>
      </c>
      <c r="H33" s="65">
        <v>1.613006854725E11</v>
      </c>
      <c r="I33" s="228">
        <v>24722.222222222223</v>
      </c>
      <c r="J33" s="1">
        <v>1.0</v>
      </c>
    </row>
    <row r="34" ht="22.5" customHeight="1">
      <c r="A34" s="1" t="s">
        <v>26</v>
      </c>
      <c r="B34" s="1" t="s">
        <v>1059</v>
      </c>
      <c r="C34" s="5" t="s">
        <v>615</v>
      </c>
      <c r="D34" s="218">
        <v>202209.0</v>
      </c>
      <c r="E34" s="12">
        <v>3347590.2158999997</v>
      </c>
      <c r="F34" s="219">
        <v>16.5551</v>
      </c>
      <c r="G34" s="224">
        <v>5.34538423403175E10</v>
      </c>
      <c r="H34" s="65">
        <v>3.4937151856416664E10</v>
      </c>
      <c r="I34" s="224">
        <v>10436.507936507936</v>
      </c>
      <c r="J34" s="1">
        <v>1.0</v>
      </c>
    </row>
    <row r="35" ht="22.5" customHeight="1">
      <c r="A35" s="1" t="s">
        <v>26</v>
      </c>
      <c r="B35" s="1" t="s">
        <v>1059</v>
      </c>
      <c r="C35" s="213" t="s">
        <v>359</v>
      </c>
      <c r="D35" s="221">
        <v>168040.0</v>
      </c>
      <c r="E35" s="36">
        <v>7438559.464</v>
      </c>
      <c r="F35" s="219">
        <v>44.2666</v>
      </c>
      <c r="G35" s="222">
        <v>1.446563671003111E11</v>
      </c>
      <c r="H35" s="65">
        <v>1.3519286644888887E11</v>
      </c>
      <c r="I35" s="222">
        <v>18174.603174603173</v>
      </c>
      <c r="J35" s="1">
        <v>1.0</v>
      </c>
    </row>
    <row r="36" ht="22.5" customHeight="1">
      <c r="A36" s="1" t="s">
        <v>26</v>
      </c>
      <c r="B36" s="1" t="s">
        <v>1059</v>
      </c>
      <c r="C36" s="5" t="s">
        <v>467</v>
      </c>
      <c r="D36" s="218">
        <v>80042.0</v>
      </c>
      <c r="E36" s="12">
        <v>1.37055836558E7</v>
      </c>
      <c r="F36" s="16">
        <v>171.2299</v>
      </c>
      <c r="G36" s="224">
        <v>1.04030093141235E11</v>
      </c>
      <c r="H36" s="65">
        <v>6.907179064629366E10</v>
      </c>
      <c r="I36" s="224">
        <v>5039.68253968254</v>
      </c>
      <c r="J36" s="1">
        <v>1.0</v>
      </c>
    </row>
    <row r="37" ht="22.5" customHeight="1">
      <c r="A37" s="1" t="s">
        <v>26</v>
      </c>
      <c r="B37" s="1" t="s">
        <v>1059</v>
      </c>
      <c r="C37" s="5" t="s">
        <v>714</v>
      </c>
      <c r="D37" s="225">
        <v>34109.0</v>
      </c>
      <c r="E37" s="25">
        <v>1300163.4511</v>
      </c>
      <c r="F37" s="16">
        <v>38.1179</v>
      </c>
      <c r="G37" s="222">
        <v>2.650888814187222E10</v>
      </c>
      <c r="H37" s="65">
        <v>1.89349201013373E10</v>
      </c>
      <c r="I37" s="222">
        <v>14563.492063492064</v>
      </c>
      <c r="J37" s="1">
        <v>1.0</v>
      </c>
    </row>
    <row r="38" ht="22.5" customHeight="1">
      <c r="A38" s="1" t="s">
        <v>26</v>
      </c>
      <c r="B38" s="1" t="s">
        <v>1059</v>
      </c>
      <c r="C38" s="213" t="s">
        <v>756</v>
      </c>
      <c r="D38" s="223">
        <v>8590.0</v>
      </c>
      <c r="E38" s="32">
        <v>833491.136</v>
      </c>
      <c r="F38" s="219">
        <v>97.0304</v>
      </c>
      <c r="G38" s="224">
        <v>1.5809540797485714E10</v>
      </c>
      <c r="H38" s="65">
        <v>1.399074406857143E10</v>
      </c>
      <c r="I38" s="224">
        <v>16785.714285714286</v>
      </c>
      <c r="J38" s="1">
        <v>1.0</v>
      </c>
    </row>
    <row r="39" ht="22.5" customHeight="1">
      <c r="A39" s="1" t="s">
        <v>26</v>
      </c>
      <c r="B39" s="1" t="s">
        <v>1060</v>
      </c>
      <c r="C39" s="213" t="s">
        <v>223</v>
      </c>
      <c r="D39" s="225">
        <v>1783768.0</v>
      </c>
      <c r="E39" s="25">
        <v>1.5795087263200002E7</v>
      </c>
      <c r="F39" s="219">
        <v>8.8549</v>
      </c>
      <c r="G39" s="228">
        <v>4.301027333336445E11</v>
      </c>
      <c r="H39" s="65">
        <v>2.945909132422222E11</v>
      </c>
      <c r="I39" s="228">
        <v>18650.79365079365</v>
      </c>
      <c r="J39" s="1">
        <v>1.0</v>
      </c>
    </row>
    <row r="40" ht="22.5" customHeight="1">
      <c r="A40" s="1" t="s">
        <v>26</v>
      </c>
      <c r="B40" s="1" t="s">
        <v>1060</v>
      </c>
      <c r="C40" s="213" t="s">
        <v>147</v>
      </c>
      <c r="D40" s="218">
        <v>1170921.0</v>
      </c>
      <c r="E40" s="12">
        <v>5.36371978917E7</v>
      </c>
      <c r="F40" s="16">
        <v>45.8077</v>
      </c>
      <c r="G40" s="220">
        <v>1.20993956628841E12</v>
      </c>
      <c r="H40" s="65">
        <v>8.343564116486666E11</v>
      </c>
      <c r="I40" s="220">
        <v>15555.555555555555</v>
      </c>
      <c r="J40" s="1">
        <v>1.0</v>
      </c>
    </row>
    <row r="41" ht="22.5" customHeight="1">
      <c r="A41" s="1" t="s">
        <v>26</v>
      </c>
      <c r="B41" s="1" t="s">
        <v>1060</v>
      </c>
      <c r="C41" s="213" t="s">
        <v>537</v>
      </c>
      <c r="D41" s="221">
        <v>126688.0</v>
      </c>
      <c r="E41" s="36">
        <v>2.71204675552E7</v>
      </c>
      <c r="F41" s="16">
        <v>214.0729</v>
      </c>
      <c r="G41" s="222">
        <v>1.502280184932686E11</v>
      </c>
      <c r="H41" s="229">
        <v>5.0581824408507935E10</v>
      </c>
      <c r="I41" s="222">
        <v>1865.079365079365</v>
      </c>
      <c r="J41" s="1">
        <v>1.0</v>
      </c>
    </row>
    <row r="42" ht="22.5" customHeight="1">
      <c r="A42" s="1" t="s">
        <v>26</v>
      </c>
      <c r="B42" s="1" t="s">
        <v>1060</v>
      </c>
      <c r="C42" s="213" t="s">
        <v>720</v>
      </c>
      <c r="D42" s="223">
        <v>41453.0</v>
      </c>
      <c r="E42" s="32">
        <v>2170549.5501</v>
      </c>
      <c r="F42" s="16">
        <v>52.3617</v>
      </c>
      <c r="G42" s="224">
        <v>3.0387693701400005E10</v>
      </c>
      <c r="H42" s="65">
        <v>1.8087912917500004E10</v>
      </c>
      <c r="I42" s="224">
        <v>8333.333333333334</v>
      </c>
      <c r="J42" s="1">
        <v>1.0</v>
      </c>
    </row>
    <row r="43" ht="22.5" customHeight="1">
      <c r="A43" s="1" t="s">
        <v>26</v>
      </c>
      <c r="B43" s="1" t="s">
        <v>1060</v>
      </c>
      <c r="C43" s="213" t="s">
        <v>803</v>
      </c>
      <c r="D43" s="221">
        <v>34106.0</v>
      </c>
      <c r="E43" s="36">
        <v>2166682.5574000003</v>
      </c>
      <c r="F43" s="16">
        <v>63.5279</v>
      </c>
      <c r="G43" s="222">
        <v>2.0754583433761353E10</v>
      </c>
      <c r="H43" s="65">
        <v>8.683926122912699E9</v>
      </c>
      <c r="I43" s="222">
        <v>4007.936507936508</v>
      </c>
      <c r="J43" s="1">
        <v>1.0</v>
      </c>
    </row>
    <row r="44" ht="22.5" customHeight="1">
      <c r="A44" s="1" t="s">
        <v>26</v>
      </c>
      <c r="B44" s="1" t="s">
        <v>1060</v>
      </c>
      <c r="C44" s="213" t="s">
        <v>786</v>
      </c>
      <c r="D44" s="218">
        <v>25529.0</v>
      </c>
      <c r="E44" s="12">
        <v>1405386.7674</v>
      </c>
      <c r="F44" s="219">
        <v>55.0506</v>
      </c>
      <c r="G44" s="224">
        <v>2.081980111134E10</v>
      </c>
      <c r="H44" s="65">
        <v>1.02057848585E10</v>
      </c>
      <c r="I44" s="224">
        <v>7261.9047619047615</v>
      </c>
      <c r="J44" s="1">
        <v>1.0</v>
      </c>
    </row>
    <row r="45" ht="22.5" customHeight="1">
      <c r="A45" s="1" t="s">
        <v>26</v>
      </c>
      <c r="B45" s="1" t="s">
        <v>1060</v>
      </c>
      <c r="C45" s="5" t="s">
        <v>908</v>
      </c>
      <c r="D45" s="221">
        <v>18341.0</v>
      </c>
      <c r="E45" s="36">
        <v>635532.1569</v>
      </c>
      <c r="F45" s="16">
        <v>34.6509</v>
      </c>
      <c r="G45" s="222">
        <v>6.553042684479999E9</v>
      </c>
      <c r="H45" s="65">
        <v>2.8245873639999995E9</v>
      </c>
      <c r="I45" s="222">
        <v>4444.444444444444</v>
      </c>
      <c r="J45" s="1">
        <v>1.0</v>
      </c>
    </row>
    <row r="46" ht="22.5" customHeight="1">
      <c r="A46" s="1" t="s">
        <v>26</v>
      </c>
      <c r="B46" s="1" t="s">
        <v>1060</v>
      </c>
      <c r="C46" s="213" t="s">
        <v>702</v>
      </c>
      <c r="D46" s="223">
        <v>6615.0</v>
      </c>
      <c r="E46" s="32">
        <v>1158762.78</v>
      </c>
      <c r="F46" s="16">
        <v>175.172</v>
      </c>
      <c r="G46" s="224">
        <v>2.54803658445E10</v>
      </c>
      <c r="H46" s="65">
        <v>1.945066095E10</v>
      </c>
      <c r="I46" s="224">
        <v>16785.714285714286</v>
      </c>
      <c r="J46" s="1">
        <v>1.0</v>
      </c>
    </row>
    <row r="47" ht="22.5" customHeight="1">
      <c r="A47" s="1" t="s">
        <v>54</v>
      </c>
      <c r="B47" s="1" t="s">
        <v>1061</v>
      </c>
      <c r="C47" s="5" t="s">
        <v>125</v>
      </c>
      <c r="D47" s="221">
        <v>1563780.0</v>
      </c>
      <c r="E47" s="36">
        <v>1.3799263854E8</v>
      </c>
      <c r="F47" s="219">
        <v>88.243</v>
      </c>
      <c r="G47" s="230">
        <v>1.5481459828582854E12</v>
      </c>
      <c r="H47" s="65">
        <v>6.790113959904761E11</v>
      </c>
      <c r="I47" s="220">
        <v>4920.6349206349205</v>
      </c>
      <c r="J47" s="1">
        <v>1.0</v>
      </c>
    </row>
    <row r="48" ht="22.5" customHeight="1">
      <c r="A48" s="1" t="s">
        <v>54</v>
      </c>
      <c r="B48" s="1" t="s">
        <v>1061</v>
      </c>
      <c r="C48" s="5" t="s">
        <v>130</v>
      </c>
      <c r="D48" s="223">
        <v>783607.0</v>
      </c>
      <c r="E48" s="32">
        <v>8.5678805773E7</v>
      </c>
      <c r="F48" s="16">
        <v>109.339</v>
      </c>
      <c r="G48" s="220">
        <v>1.76870116557864E12</v>
      </c>
      <c r="H48" s="65">
        <v>9.621865886412301E11</v>
      </c>
      <c r="I48" s="220">
        <v>11230.15873015873</v>
      </c>
      <c r="J48" s="1">
        <v>1.0</v>
      </c>
    </row>
    <row r="49" ht="22.5" customHeight="1">
      <c r="A49" s="1" t="s">
        <v>54</v>
      </c>
      <c r="B49" s="1" t="s">
        <v>1061</v>
      </c>
      <c r="C49" s="5" t="s">
        <v>479</v>
      </c>
      <c r="D49" s="225">
        <v>370702.0</v>
      </c>
      <c r="E49" s="25">
        <v>2.2833760391999997E7</v>
      </c>
      <c r="F49" s="16">
        <v>61.596</v>
      </c>
      <c r="G49" s="222">
        <v>2.4473804293171423E11</v>
      </c>
      <c r="H49" s="65">
        <v>6.705151861142856E10</v>
      </c>
      <c r="I49" s="222">
        <v>2936.5079365079364</v>
      </c>
      <c r="J49" s="1">
        <v>1.0</v>
      </c>
    </row>
    <row r="50" ht="22.5" customHeight="1">
      <c r="A50" s="1" t="s">
        <v>54</v>
      </c>
      <c r="B50" s="1" t="s">
        <v>1061</v>
      </c>
      <c r="C50" s="1" t="s">
        <v>365</v>
      </c>
      <c r="D50" s="223">
        <v>131864.0</v>
      </c>
      <c r="E50" s="32">
        <v>1.4469041128E7</v>
      </c>
      <c r="F50" s="219">
        <v>109.727</v>
      </c>
      <c r="G50" s="224">
        <v>2.087044349054254E11</v>
      </c>
      <c r="H50" s="65">
        <v>1.2803953061682541E11</v>
      </c>
      <c r="I50" s="224">
        <v>8849.20634920635</v>
      </c>
      <c r="J50" s="1">
        <v>1.0</v>
      </c>
    </row>
    <row r="51" ht="22.5" customHeight="1">
      <c r="A51" s="1" t="s">
        <v>54</v>
      </c>
      <c r="B51" s="1" t="s">
        <v>1061</v>
      </c>
      <c r="C51" s="1" t="s">
        <v>655</v>
      </c>
      <c r="D51" s="225">
        <v>53031.0</v>
      </c>
      <c r="E51" s="25">
        <v>9819272.991</v>
      </c>
      <c r="F51" s="16">
        <v>185.161</v>
      </c>
      <c r="G51" s="222">
        <v>7.338737599702142E10</v>
      </c>
      <c r="H51" s="65">
        <v>2.8444719378690475E10</v>
      </c>
      <c r="I51" s="222">
        <v>2896.8253968253966</v>
      </c>
      <c r="J51" s="1">
        <v>1.0</v>
      </c>
    </row>
    <row r="52" ht="22.5" customHeight="1">
      <c r="A52" s="1" t="s">
        <v>54</v>
      </c>
      <c r="B52" s="1" t="s">
        <v>1056</v>
      </c>
      <c r="C52" s="231" t="s">
        <v>400</v>
      </c>
      <c r="D52" s="223">
        <v>334534.0</v>
      </c>
      <c r="E52" s="32">
        <v>2.0605956264E7</v>
      </c>
      <c r="F52" s="219">
        <v>61.596</v>
      </c>
      <c r="G52" s="224">
        <v>2.568875880912E11</v>
      </c>
      <c r="H52" s="65">
        <v>9.730590458E10</v>
      </c>
      <c r="I52" s="224">
        <v>4722.222222222223</v>
      </c>
      <c r="J52" s="1">
        <v>1.0</v>
      </c>
    </row>
    <row r="53" ht="22.5" customHeight="1">
      <c r="A53" s="232" t="s">
        <v>54</v>
      </c>
      <c r="B53" s="1" t="s">
        <v>1062</v>
      </c>
      <c r="C53" s="5" t="s">
        <v>51</v>
      </c>
      <c r="D53" s="225">
        <v>7271341.0</v>
      </c>
      <c r="E53" s="25">
        <v>2.60844815693E8</v>
      </c>
      <c r="F53" s="219">
        <v>35.873</v>
      </c>
      <c r="G53" s="228">
        <v>5.05777321630372E12</v>
      </c>
      <c r="H53" s="65">
        <v>2.805116867174722E12</v>
      </c>
      <c r="I53" s="228">
        <v>10753.968253968254</v>
      </c>
      <c r="J53" s="1">
        <v>1.0</v>
      </c>
    </row>
    <row r="54" ht="22.5" customHeight="1">
      <c r="A54" s="1" t="s">
        <v>54</v>
      </c>
      <c r="B54" s="1" t="s">
        <v>1062</v>
      </c>
      <c r="C54" s="5" t="s">
        <v>844</v>
      </c>
      <c r="D54" s="218">
        <v>2015144.0</v>
      </c>
      <c r="E54" s="12">
        <v>3103321.7600000002</v>
      </c>
      <c r="F54" s="16">
        <v>1.54</v>
      </c>
      <c r="G54" s="233">
        <v>1.9845250064444447E10</v>
      </c>
      <c r="H54" s="65">
        <v>6.773122888888889E9</v>
      </c>
      <c r="I54" s="233">
        <v>2182.5396825396824</v>
      </c>
      <c r="J54" s="1">
        <v>1.0</v>
      </c>
    </row>
    <row r="55" ht="22.5" customHeight="1">
      <c r="A55" s="1" t="s">
        <v>54</v>
      </c>
      <c r="B55" s="1" t="s">
        <v>1062</v>
      </c>
      <c r="C55" s="5" t="s">
        <v>903</v>
      </c>
      <c r="D55" s="221">
        <v>1242986.0</v>
      </c>
      <c r="E55" s="36">
        <v>1914198.44</v>
      </c>
      <c r="F55" s="16">
        <v>1.54</v>
      </c>
      <c r="G55" s="226">
        <v>9.50262797E9</v>
      </c>
      <c r="H55" s="65">
        <v>3.4182115E9</v>
      </c>
      <c r="I55" s="226">
        <v>1785.7142857142858</v>
      </c>
      <c r="J55" s="1">
        <v>1.0</v>
      </c>
    </row>
    <row r="56" ht="22.5" customHeight="1">
      <c r="A56" s="1" t="s">
        <v>54</v>
      </c>
      <c r="B56" s="1" t="s">
        <v>1062</v>
      </c>
      <c r="C56" s="234" t="s">
        <v>868</v>
      </c>
      <c r="D56" s="218">
        <v>749885.0</v>
      </c>
      <c r="E56" s="12">
        <v>2020940.075</v>
      </c>
      <c r="F56" s="219">
        <v>2.695</v>
      </c>
      <c r="G56" s="227">
        <v>1.3796925813611109E10</v>
      </c>
      <c r="H56" s="65">
        <v>5.453330361111111E9</v>
      </c>
      <c r="I56" s="227">
        <v>2698.4126984126983</v>
      </c>
      <c r="J56" s="1">
        <v>1.0</v>
      </c>
    </row>
    <row r="57" ht="22.5" customHeight="1">
      <c r="A57" s="1" t="s">
        <v>54</v>
      </c>
      <c r="B57" s="1" t="s">
        <v>1062</v>
      </c>
      <c r="C57" s="231" t="s">
        <v>744</v>
      </c>
      <c r="D57" s="221">
        <v>426461.0</v>
      </c>
      <c r="E57" s="36">
        <v>820937.425</v>
      </c>
      <c r="F57" s="16">
        <v>1.925</v>
      </c>
      <c r="G57" s="222">
        <v>1.3786536438888891E10</v>
      </c>
      <c r="H57" s="65">
        <v>1.4985365694444447E10</v>
      </c>
      <c r="I57" s="222">
        <v>18253.968253968254</v>
      </c>
      <c r="J57" s="1">
        <v>1.0</v>
      </c>
    </row>
    <row r="58" ht="22.5" customHeight="1">
      <c r="A58" s="1" t="s">
        <v>54</v>
      </c>
      <c r="B58" s="1" t="s">
        <v>1062</v>
      </c>
      <c r="C58" s="5" t="s">
        <v>874</v>
      </c>
      <c r="D58" s="223">
        <v>345623.0</v>
      </c>
      <c r="E58" s="32">
        <v>133064.855</v>
      </c>
      <c r="F58" s="16">
        <v>0.385</v>
      </c>
      <c r="G58" s="224">
        <v>4.361887068305556E9</v>
      </c>
      <c r="H58" s="65">
        <v>5.438761930555556E9</v>
      </c>
      <c r="I58" s="224">
        <v>40873.01587301587</v>
      </c>
      <c r="J58" s="1">
        <v>1.0</v>
      </c>
    </row>
    <row r="59" ht="22.5" customHeight="1">
      <c r="A59" s="1" t="s">
        <v>54</v>
      </c>
      <c r="B59" s="1" t="s">
        <v>1062</v>
      </c>
      <c r="C59" s="5" t="s">
        <v>377</v>
      </c>
      <c r="D59" s="225">
        <v>268177.0</v>
      </c>
      <c r="E59" s="25">
        <v>1.8995781441E7</v>
      </c>
      <c r="F59" s="16">
        <v>70.833</v>
      </c>
      <c r="G59" s="222">
        <v>2.8997211129856665E11</v>
      </c>
      <c r="H59" s="65">
        <v>1.2286953868583333E11</v>
      </c>
      <c r="I59" s="222">
        <v>6468.253968253968</v>
      </c>
      <c r="J59" s="1">
        <v>1.0</v>
      </c>
    </row>
    <row r="60" ht="22.5" customHeight="1">
      <c r="A60" s="1" t="s">
        <v>54</v>
      </c>
      <c r="B60" s="1" t="s">
        <v>1062</v>
      </c>
      <c r="C60" s="1" t="s">
        <v>389</v>
      </c>
      <c r="D60" s="223">
        <v>214401.0</v>
      </c>
      <c r="E60" s="32">
        <v>1.2299327766E7</v>
      </c>
      <c r="F60" s="219">
        <v>57.366</v>
      </c>
      <c r="G60" s="224">
        <v>1.8003873120325717E11</v>
      </c>
      <c r="H60" s="65">
        <v>1.1323190641714287E11</v>
      </c>
      <c r="I60" s="224">
        <v>9206.349206349207</v>
      </c>
      <c r="J60" s="1">
        <v>1.0</v>
      </c>
    </row>
    <row r="61" ht="22.5" customHeight="1">
      <c r="A61" s="1" t="s">
        <v>54</v>
      </c>
      <c r="B61" s="1" t="s">
        <v>1062</v>
      </c>
      <c r="C61" s="5" t="s">
        <v>603</v>
      </c>
      <c r="D61" s="225">
        <v>119193.0</v>
      </c>
      <c r="E61" s="25">
        <v>5001934.245</v>
      </c>
      <c r="F61" s="16">
        <v>41.965</v>
      </c>
      <c r="G61" s="235">
        <v>8.2174634025E10</v>
      </c>
      <c r="H61" s="65">
        <v>3.6522059566666664E10</v>
      </c>
      <c r="I61" s="235">
        <v>7301.587301587301</v>
      </c>
      <c r="J61" s="1">
        <v>1.0</v>
      </c>
    </row>
    <row r="62" ht="22.5" customHeight="1">
      <c r="A62" s="1" t="s">
        <v>54</v>
      </c>
      <c r="B62" s="1" t="s">
        <v>1062</v>
      </c>
      <c r="C62" s="5" t="s">
        <v>968</v>
      </c>
      <c r="D62" s="218">
        <v>18110.0</v>
      </c>
      <c r="E62" s="12">
        <v>220217.6</v>
      </c>
      <c r="F62" s="16">
        <v>12.16</v>
      </c>
      <c r="G62" s="236">
        <v>2.584935161904762E9</v>
      </c>
      <c r="H62" s="65">
        <v>7.602750476190476E8</v>
      </c>
      <c r="I62" s="236">
        <v>3452.3809523809523</v>
      </c>
      <c r="J62" s="1">
        <v>1.0</v>
      </c>
    </row>
    <row r="63" ht="22.5" customHeight="1">
      <c r="A63" s="1" t="s">
        <v>54</v>
      </c>
      <c r="B63" s="1" t="s">
        <v>1051</v>
      </c>
      <c r="C63" s="1" t="s">
        <v>194</v>
      </c>
      <c r="D63" s="225">
        <v>506753.0</v>
      </c>
      <c r="E63" s="25">
        <v>3.922774973E7</v>
      </c>
      <c r="F63" s="16">
        <v>77.41</v>
      </c>
      <c r="G63" s="236">
        <v>7.92459771766583E11</v>
      </c>
      <c r="H63" s="65">
        <v>5.557264545083333E11</v>
      </c>
      <c r="I63" s="236">
        <v>14166.666666666666</v>
      </c>
      <c r="J63" s="1">
        <v>1.0</v>
      </c>
    </row>
    <row r="64" ht="22.5" customHeight="1">
      <c r="A64" s="1" t="s">
        <v>54</v>
      </c>
      <c r="B64" s="1" t="s">
        <v>1051</v>
      </c>
      <c r="C64" s="1" t="s">
        <v>88</v>
      </c>
      <c r="D64" s="218">
        <v>494588.0</v>
      </c>
      <c r="E64" s="12">
        <v>8.1313729316E7</v>
      </c>
      <c r="F64" s="219">
        <v>164.407</v>
      </c>
      <c r="G64" s="236">
        <v>2.12891356255194E12</v>
      </c>
      <c r="H64" s="65">
        <v>1.6779023509650793E12</v>
      </c>
      <c r="I64" s="236">
        <v>20634.920634920636</v>
      </c>
      <c r="J64" s="1">
        <v>1.0</v>
      </c>
    </row>
    <row r="65" ht="22.5" customHeight="1">
      <c r="A65" s="1" t="s">
        <v>54</v>
      </c>
      <c r="B65" s="1" t="s">
        <v>1051</v>
      </c>
      <c r="C65" s="1" t="s">
        <v>69</v>
      </c>
      <c r="D65" s="225">
        <v>428786.0</v>
      </c>
      <c r="E65" s="25">
        <v>9.0861039758E7</v>
      </c>
      <c r="F65" s="219">
        <v>211.903</v>
      </c>
      <c r="G65" s="236">
        <v>2.69364510272886E12</v>
      </c>
      <c r="H65" s="65">
        <v>2.1092741372392856E12</v>
      </c>
      <c r="I65" s="236">
        <v>23214.285714285714</v>
      </c>
      <c r="J65" s="1">
        <v>1.0</v>
      </c>
    </row>
    <row r="66" ht="22.5" customHeight="1">
      <c r="A66" s="1" t="s">
        <v>54</v>
      </c>
      <c r="B66" s="1" t="s">
        <v>1051</v>
      </c>
      <c r="C66" s="1" t="s">
        <v>443</v>
      </c>
      <c r="D66" s="223">
        <v>130920.0</v>
      </c>
      <c r="E66" s="32">
        <v>5393380.319999999</v>
      </c>
      <c r="F66" s="219">
        <v>41.196</v>
      </c>
      <c r="G66" s="236">
        <v>1.2328154491771426E11</v>
      </c>
      <c r="H66" s="65">
        <v>7.42659909142857E10</v>
      </c>
      <c r="I66" s="236">
        <v>13769.84126984127</v>
      </c>
      <c r="J66" s="1">
        <v>1.0</v>
      </c>
    </row>
    <row r="67" ht="22.5" customHeight="1">
      <c r="A67" s="1" t="s">
        <v>54</v>
      </c>
      <c r="B67" s="1" t="s">
        <v>1051</v>
      </c>
      <c r="C67" s="1" t="s">
        <v>112</v>
      </c>
      <c r="D67" s="225">
        <v>109571.0</v>
      </c>
      <c r="E67" s="25">
        <v>2.9913649997E7</v>
      </c>
      <c r="F67" s="219">
        <v>273.007</v>
      </c>
      <c r="G67" s="236">
        <v>9.0488791240925E11</v>
      </c>
      <c r="H67" s="229">
        <v>7.47841249925E11</v>
      </c>
      <c r="I67" s="236">
        <v>25000.0</v>
      </c>
      <c r="J67" s="1">
        <v>1.0</v>
      </c>
    </row>
    <row r="68" ht="22.5" customHeight="1">
      <c r="A68" s="1" t="s">
        <v>54</v>
      </c>
      <c r="B68" s="1" t="s">
        <v>1051</v>
      </c>
      <c r="C68" s="1" t="s">
        <v>413</v>
      </c>
      <c r="D68" s="223">
        <v>27541.0</v>
      </c>
      <c r="E68" s="32">
        <v>3254988.167</v>
      </c>
      <c r="F68" s="16">
        <v>118.187</v>
      </c>
      <c r="G68" s="236">
        <v>8.215073468719586E10</v>
      </c>
      <c r="H68" s="65">
        <v>9.597048444765872E10</v>
      </c>
      <c r="I68" s="236">
        <v>29484.126984126982</v>
      </c>
      <c r="J68" s="1">
        <v>1.0</v>
      </c>
    </row>
    <row r="69" ht="22.5" customHeight="1">
      <c r="A69" s="1" t="s">
        <v>54</v>
      </c>
      <c r="B69" s="1" t="s">
        <v>1051</v>
      </c>
      <c r="C69" s="43" t="s">
        <v>1016</v>
      </c>
      <c r="D69" s="221">
        <v>21990.0</v>
      </c>
      <c r="E69" s="36">
        <v>143924.55</v>
      </c>
      <c r="F69" s="16">
        <v>6.545</v>
      </c>
      <c r="G69" s="236">
        <v>4.564464299999999E8</v>
      </c>
      <c r="H69" s="65">
        <v>1.5420487499999997E8</v>
      </c>
      <c r="I69" s="236">
        <v>1071.4285714285713</v>
      </c>
      <c r="J69" s="1">
        <v>1.0</v>
      </c>
    </row>
    <row r="70" ht="22.5" customHeight="1">
      <c r="A70" s="1" t="s">
        <v>54</v>
      </c>
      <c r="B70" s="1" t="s">
        <v>1063</v>
      </c>
      <c r="C70" s="1" t="s">
        <v>63</v>
      </c>
      <c r="D70" s="223">
        <v>730606.0</v>
      </c>
      <c r="E70" s="32">
        <v>6.94806306E7</v>
      </c>
      <c r="F70" s="219">
        <v>95.1</v>
      </c>
      <c r="G70" s="233">
        <v>1.8682335322511E12</v>
      </c>
      <c r="H70" s="65">
        <v>1.5495283490952378E12</v>
      </c>
      <c r="I70" s="233">
        <v>22301.5873015873</v>
      </c>
      <c r="J70" s="1">
        <v>1.0</v>
      </c>
    </row>
    <row r="71" ht="22.5" customHeight="1">
      <c r="A71" s="1" t="s">
        <v>54</v>
      </c>
      <c r="B71" s="1" t="s">
        <v>1063</v>
      </c>
      <c r="C71" s="1" t="s">
        <v>287</v>
      </c>
      <c r="D71" s="225">
        <v>681553.0</v>
      </c>
      <c r="E71" s="25">
        <v>1.9678479769E7</v>
      </c>
      <c r="F71" s="219">
        <v>28.873</v>
      </c>
      <c r="G71" s="230">
        <v>4.066261105283207E11</v>
      </c>
      <c r="H71" s="65">
        <v>2.209924513740873E11</v>
      </c>
      <c r="I71" s="230">
        <v>11230.15873015873</v>
      </c>
      <c r="J71" s="1">
        <v>1.0</v>
      </c>
    </row>
    <row r="72" ht="22.5" customHeight="1">
      <c r="A72" s="1" t="s">
        <v>54</v>
      </c>
      <c r="B72" s="1" t="s">
        <v>1063</v>
      </c>
      <c r="C72" s="1" t="s">
        <v>200</v>
      </c>
      <c r="D72" s="218">
        <v>303188.0</v>
      </c>
      <c r="E72" s="12">
        <v>3.9335004744E7</v>
      </c>
      <c r="F72" s="219">
        <v>129.738</v>
      </c>
      <c r="G72" s="236">
        <v>8.658150804564E11</v>
      </c>
      <c r="H72" s="65">
        <v>7.507990984866667E11</v>
      </c>
      <c r="I72" s="236">
        <v>19087.301587301587</v>
      </c>
      <c r="J72" s="1">
        <v>1.0</v>
      </c>
    </row>
    <row r="73" ht="22.5" customHeight="1">
      <c r="A73" s="1" t="s">
        <v>54</v>
      </c>
      <c r="B73" s="1" t="s">
        <v>1063</v>
      </c>
      <c r="C73" s="1" t="s">
        <v>235</v>
      </c>
      <c r="D73" s="225">
        <v>178349.0</v>
      </c>
      <c r="E73" s="25">
        <v>1.8401158075E7</v>
      </c>
      <c r="F73" s="16">
        <v>103.175</v>
      </c>
      <c r="G73" s="236">
        <v>4.32566259989028E11</v>
      </c>
      <c r="H73" s="65">
        <v>3.402753834503968E11</v>
      </c>
      <c r="I73" s="236">
        <v>18492.06349206349</v>
      </c>
      <c r="J73" s="1">
        <v>1.0</v>
      </c>
    </row>
    <row r="74" ht="22.5" customHeight="1">
      <c r="A74" s="1" t="s">
        <v>54</v>
      </c>
      <c r="B74" s="1" t="s">
        <v>1063</v>
      </c>
      <c r="C74" s="1" t="s">
        <v>293</v>
      </c>
      <c r="D74" s="218">
        <v>169966.0</v>
      </c>
      <c r="E74" s="12">
        <v>2.3361656734E7</v>
      </c>
      <c r="F74" s="16">
        <v>137.449</v>
      </c>
      <c r="G74" s="236">
        <v>4.81449009682683E11</v>
      </c>
      <c r="H74" s="65">
        <v>3.3188385360206354E11</v>
      </c>
      <c r="I74" s="236">
        <v>14206.349206349207</v>
      </c>
      <c r="J74" s="1">
        <v>1.0</v>
      </c>
    </row>
    <row r="75" ht="22.5" customHeight="1">
      <c r="A75" s="1" t="s">
        <v>54</v>
      </c>
      <c r="B75" s="1" t="s">
        <v>1063</v>
      </c>
      <c r="C75" s="1" t="s">
        <v>561</v>
      </c>
      <c r="D75" s="221">
        <v>43383.0</v>
      </c>
      <c r="E75" s="36">
        <v>3123402.468</v>
      </c>
      <c r="F75" s="16">
        <v>71.996</v>
      </c>
      <c r="G75" s="236">
        <v>6.41684141607619E10</v>
      </c>
      <c r="H75" s="65">
        <v>4.635525885047619E10</v>
      </c>
      <c r="I75" s="236">
        <v>14841.269841269841</v>
      </c>
      <c r="J75" s="1">
        <v>1.0</v>
      </c>
    </row>
    <row r="76" ht="22.5" customHeight="1">
      <c r="A76" s="1" t="s">
        <v>40</v>
      </c>
      <c r="B76" s="1" t="s">
        <v>1064</v>
      </c>
      <c r="C76" s="4" t="s">
        <v>75</v>
      </c>
      <c r="D76" s="223">
        <v>737960.0</v>
      </c>
      <c r="E76" s="32">
        <v>7.955887723200001E7</v>
      </c>
      <c r="F76" s="219">
        <v>107.8092</v>
      </c>
      <c r="G76" s="230">
        <v>1.401120226808E12</v>
      </c>
      <c r="H76" s="65">
        <v>1.0008001620057144E12</v>
      </c>
      <c r="I76" s="230">
        <v>12579.36507936508</v>
      </c>
      <c r="J76" s="1">
        <v>1.0</v>
      </c>
    </row>
    <row r="77" ht="22.5" customHeight="1">
      <c r="A77" s="1" t="s">
        <v>40</v>
      </c>
      <c r="B77" s="1" t="s">
        <v>1064</v>
      </c>
      <c r="C77" s="4" t="s">
        <v>159</v>
      </c>
      <c r="D77" s="221">
        <v>577124.0</v>
      </c>
      <c r="E77" s="36">
        <v>7.44367609712E7</v>
      </c>
      <c r="F77" s="16">
        <v>128.9788</v>
      </c>
      <c r="G77" s="233">
        <v>1.0771176542915906E12</v>
      </c>
      <c r="H77" s="65">
        <v>6.527985783585398E11</v>
      </c>
      <c r="I77" s="233">
        <v>8769.84126984127</v>
      </c>
      <c r="J77" s="1">
        <v>1.0</v>
      </c>
    </row>
    <row r="78" ht="22.5" customHeight="1">
      <c r="A78" s="1" t="s">
        <v>40</v>
      </c>
      <c r="B78" s="1" t="s">
        <v>1064</v>
      </c>
      <c r="C78" s="4" t="s">
        <v>299</v>
      </c>
      <c r="D78" s="218">
        <v>282440.0</v>
      </c>
      <c r="E78" s="12">
        <v>3.1644351648E7</v>
      </c>
      <c r="F78" s="16">
        <v>112.0392</v>
      </c>
      <c r="G78" s="236">
        <v>4.265834404103999E11</v>
      </c>
      <c r="H78" s="65">
        <v>2.0217224663999997E11</v>
      </c>
      <c r="I78" s="236">
        <v>6388.888888888889</v>
      </c>
      <c r="J78" s="1">
        <v>1.0</v>
      </c>
    </row>
    <row r="79" ht="22.5" customHeight="1">
      <c r="A79" s="1" t="s">
        <v>40</v>
      </c>
      <c r="B79" s="1" t="s">
        <v>1064</v>
      </c>
      <c r="C79" s="4" t="s">
        <v>353</v>
      </c>
      <c r="D79" s="225">
        <v>111241.0</v>
      </c>
      <c r="E79" s="25">
        <v>1.82888435834E7</v>
      </c>
      <c r="F79" s="16">
        <v>164.4074</v>
      </c>
      <c r="G79" s="236">
        <v>2.89420949707305E11</v>
      </c>
      <c r="H79" s="65">
        <v>1.371663268755E11</v>
      </c>
      <c r="I79" s="236">
        <v>7500.0</v>
      </c>
      <c r="J79" s="1">
        <v>1.0</v>
      </c>
    </row>
    <row r="80" ht="22.5" customHeight="1">
      <c r="A80" s="1" t="s">
        <v>40</v>
      </c>
      <c r="B80" s="1" t="s">
        <v>1065</v>
      </c>
      <c r="C80" s="213" t="s">
        <v>153</v>
      </c>
      <c r="D80" s="218">
        <v>2964408.0</v>
      </c>
      <c r="E80" s="12">
        <v>2.3647556921280003E8</v>
      </c>
      <c r="F80" s="16">
        <v>79.7716</v>
      </c>
      <c r="G80" s="233">
        <v>2.1350365677498516E12</v>
      </c>
      <c r="H80" s="65">
        <v>7.413321415798096E11</v>
      </c>
      <c r="I80" s="233">
        <v>3134.9206349206347</v>
      </c>
      <c r="J80" s="1">
        <v>1.0</v>
      </c>
    </row>
    <row r="81" ht="22.5" customHeight="1">
      <c r="A81" s="1" t="s">
        <v>40</v>
      </c>
      <c r="B81" s="1" t="s">
        <v>1065</v>
      </c>
      <c r="C81" s="5" t="s">
        <v>37</v>
      </c>
      <c r="D81" s="221">
        <v>2581890.0</v>
      </c>
      <c r="E81" s="36">
        <v>3.47520586677E8</v>
      </c>
      <c r="F81" s="219">
        <v>134.5993</v>
      </c>
      <c r="G81" s="230">
        <v>7.460784328473694E12</v>
      </c>
      <c r="H81" s="65">
        <v>4.1219802919744165E12</v>
      </c>
      <c r="I81" s="230">
        <v>11861.111111111111</v>
      </c>
      <c r="J81" s="1">
        <v>1.0</v>
      </c>
    </row>
    <row r="82" ht="22.5" customHeight="1">
      <c r="A82" s="1" t="s">
        <v>40</v>
      </c>
      <c r="B82" s="1" t="s">
        <v>1065</v>
      </c>
      <c r="C82" s="213" t="s">
        <v>621</v>
      </c>
      <c r="D82" s="223">
        <v>588468.0</v>
      </c>
      <c r="E82" s="32">
        <v>3.64783074648E7</v>
      </c>
      <c r="F82" s="16">
        <v>61.9886</v>
      </c>
      <c r="G82" s="230">
        <v>1.1076377502347485E11</v>
      </c>
      <c r="H82" s="65">
        <v>3.387271407445714E10</v>
      </c>
      <c r="I82" s="230">
        <v>928.5714285714286</v>
      </c>
      <c r="J82" s="1">
        <v>1.0</v>
      </c>
    </row>
    <row r="83" ht="22.5" customHeight="1">
      <c r="A83" s="1" t="s">
        <v>40</v>
      </c>
      <c r="B83" s="1" t="s">
        <v>1065</v>
      </c>
      <c r="C83" s="213" t="s">
        <v>797</v>
      </c>
      <c r="D83" s="221">
        <v>214130.0</v>
      </c>
      <c r="E83" s="36">
        <v>9975074.746000001</v>
      </c>
      <c r="F83" s="16">
        <v>46.5842</v>
      </c>
      <c r="G83" s="236">
        <v>2.784154195772445E10</v>
      </c>
      <c r="H83" s="65">
        <v>8.866733107555557E9</v>
      </c>
      <c r="I83" s="236">
        <v>888.8888888888889</v>
      </c>
      <c r="J83" s="1">
        <v>1.0</v>
      </c>
    </row>
    <row r="84" ht="22.5" customHeight="1">
      <c r="A84" s="1" t="s">
        <v>40</v>
      </c>
      <c r="B84" s="1" t="s">
        <v>1065</v>
      </c>
      <c r="C84" s="213" t="s">
        <v>762</v>
      </c>
      <c r="D84" s="223">
        <v>197284.0</v>
      </c>
      <c r="E84" s="32">
        <v>7898975.162400001</v>
      </c>
      <c r="F84" s="16">
        <v>40.0386</v>
      </c>
      <c r="G84" s="236">
        <v>4.059383640403867E10</v>
      </c>
      <c r="H84" s="65">
        <v>1.3854551673733335E10</v>
      </c>
      <c r="I84" s="236">
        <v>1753.968253968254</v>
      </c>
      <c r="J84" s="1">
        <v>1.0</v>
      </c>
    </row>
    <row r="85" ht="22.5" customHeight="1">
      <c r="A85" s="1" t="s">
        <v>40</v>
      </c>
      <c r="B85" s="1" t="s">
        <v>1066</v>
      </c>
      <c r="C85" s="4" t="s">
        <v>246</v>
      </c>
      <c r="D85" s="221">
        <v>1399717.0</v>
      </c>
      <c r="E85" s="36">
        <v>8.89139430476E7</v>
      </c>
      <c r="F85" s="16">
        <v>63.5228</v>
      </c>
      <c r="G85" s="233">
        <v>2.7384435959338803E11</v>
      </c>
      <c r="H85" s="65">
        <v>4.339847220180476E10</v>
      </c>
      <c r="I85" s="233">
        <v>488.0952380952381</v>
      </c>
      <c r="J85" s="1">
        <v>1.0</v>
      </c>
    </row>
    <row r="86" ht="22.5" customHeight="1">
      <c r="A86" s="1" t="s">
        <v>40</v>
      </c>
      <c r="B86" s="1" t="s">
        <v>1066</v>
      </c>
      <c r="C86" s="213" t="s">
        <v>206</v>
      </c>
      <c r="D86" s="223">
        <v>1028181.0</v>
      </c>
      <c r="E86" s="32">
        <v>9.50014567656E7</v>
      </c>
      <c r="F86" s="219">
        <v>92.3976</v>
      </c>
      <c r="G86" s="233">
        <v>1.005624348955578E12</v>
      </c>
      <c r="H86" s="65">
        <v>3.132786133818E11</v>
      </c>
      <c r="I86" s="233">
        <v>3297.6190476190477</v>
      </c>
      <c r="J86" s="1">
        <v>1.0</v>
      </c>
    </row>
    <row r="87" ht="22.5" customHeight="1">
      <c r="A87" s="1" t="s">
        <v>40</v>
      </c>
      <c r="B87" s="1" t="s">
        <v>1066</v>
      </c>
      <c r="C87" s="4" t="s">
        <v>768</v>
      </c>
      <c r="D87" s="225">
        <v>563506.0</v>
      </c>
      <c r="E87" s="25">
        <v>9106538.713</v>
      </c>
      <c r="F87" s="219">
        <v>16.1605</v>
      </c>
      <c r="G87" s="233">
        <v>3.569148845503456E10</v>
      </c>
      <c r="H87" s="65">
        <v>1.2611833376337301E10</v>
      </c>
      <c r="I87" s="233">
        <v>1384.920634920635</v>
      </c>
      <c r="J87" s="1">
        <v>1.0</v>
      </c>
    </row>
    <row r="88" ht="22.5" customHeight="1">
      <c r="A88" s="1" t="s">
        <v>40</v>
      </c>
      <c r="B88" s="1" t="s">
        <v>1066</v>
      </c>
      <c r="C88" s="213" t="s">
        <v>573</v>
      </c>
      <c r="D88" s="218">
        <v>452426.0</v>
      </c>
      <c r="E88" s="12">
        <v>2.50836737476E7</v>
      </c>
      <c r="F88" s="219">
        <v>55.4426</v>
      </c>
      <c r="G88" s="236">
        <v>1.2628534809649841E11</v>
      </c>
      <c r="H88" s="65">
        <v>4.36973522825254E10</v>
      </c>
      <c r="I88" s="236">
        <v>1742.063492063492</v>
      </c>
      <c r="J88" s="1">
        <v>1.0</v>
      </c>
    </row>
    <row r="89" ht="22.5" customHeight="1">
      <c r="A89" s="1" t="s">
        <v>40</v>
      </c>
      <c r="B89" s="1" t="s">
        <v>1066</v>
      </c>
      <c r="C89" s="213" t="s">
        <v>660</v>
      </c>
      <c r="D89" s="225">
        <v>409984.0</v>
      </c>
      <c r="E89" s="25">
        <v>2051969.92</v>
      </c>
      <c r="F89" s="16">
        <v>5.005</v>
      </c>
      <c r="G89" s="236">
        <v>3.1343840527999992E10</v>
      </c>
      <c r="H89" s="65">
        <v>2.6789607288888885E10</v>
      </c>
      <c r="I89" s="236">
        <v>13055.555555555555</v>
      </c>
      <c r="J89" s="1">
        <v>1.0</v>
      </c>
    </row>
    <row r="90" ht="22.5" customHeight="1">
      <c r="A90" s="1" t="s">
        <v>40</v>
      </c>
      <c r="B90" s="1" t="s">
        <v>1066</v>
      </c>
      <c r="C90" s="213" t="s">
        <v>885</v>
      </c>
      <c r="D90" s="218">
        <v>363049.0</v>
      </c>
      <c r="E90" s="12">
        <v>2236563.3645</v>
      </c>
      <c r="F90" s="219">
        <v>6.1605</v>
      </c>
      <c r="G90" s="236">
        <v>9.902384296323751E9</v>
      </c>
      <c r="H90" s="65">
        <v>4.2867464486250005E9</v>
      </c>
      <c r="I90" s="236">
        <v>1916.6666666666667</v>
      </c>
      <c r="J90" s="1">
        <v>1.0</v>
      </c>
    </row>
    <row r="91" ht="22.5" customHeight="1">
      <c r="A91" s="1" t="s">
        <v>40</v>
      </c>
      <c r="B91" s="1" t="s">
        <v>1066</v>
      </c>
      <c r="C91" s="4" t="s">
        <v>515</v>
      </c>
      <c r="D91" s="221">
        <v>250357.0</v>
      </c>
      <c r="E91" s="36">
        <v>3.59567980897E7</v>
      </c>
      <c r="F91" s="16">
        <v>143.6221</v>
      </c>
      <c r="G91" s="236">
        <v>2.93781532932654E11</v>
      </c>
      <c r="H91" s="65">
        <v>5.364982572113968E10</v>
      </c>
      <c r="I91" s="236">
        <v>1492.063492063492</v>
      </c>
      <c r="J91" s="1">
        <v>1.0</v>
      </c>
    </row>
    <row r="92" ht="22.5" customHeight="1">
      <c r="A92" s="1" t="s">
        <v>40</v>
      </c>
      <c r="B92" s="1" t="s">
        <v>1066</v>
      </c>
      <c r="C92" s="4" t="s">
        <v>672</v>
      </c>
      <c r="D92" s="218">
        <v>241076.0</v>
      </c>
      <c r="E92" s="32">
        <v>1.60573973472E7</v>
      </c>
      <c r="F92" s="219">
        <v>66.6072</v>
      </c>
      <c r="G92" s="236">
        <v>7.512568044582857E10</v>
      </c>
      <c r="H92" s="65">
        <v>2.5041893481942856E10</v>
      </c>
      <c r="I92" s="236">
        <v>1559.5238095238094</v>
      </c>
      <c r="J92" s="1">
        <v>1.0</v>
      </c>
    </row>
    <row r="93" ht="22.5" customHeight="1">
      <c r="A93" s="1" t="s">
        <v>40</v>
      </c>
      <c r="B93" s="1" t="s">
        <v>1066</v>
      </c>
      <c r="C93" s="213" t="s">
        <v>437</v>
      </c>
      <c r="D93" s="225">
        <v>200464.0</v>
      </c>
      <c r="E93" s="25">
        <v>2.16118634688E7</v>
      </c>
      <c r="F93" s="16">
        <v>107.8092</v>
      </c>
      <c r="G93" s="236">
        <v>3.021887385661257E11</v>
      </c>
      <c r="H93" s="65">
        <v>7.890045393371428E10</v>
      </c>
      <c r="I93" s="236">
        <v>3650.7936507936506</v>
      </c>
      <c r="J93" s="1">
        <v>1.0</v>
      </c>
    </row>
    <row r="94" ht="22.5" customHeight="1">
      <c r="A94" s="1" t="s">
        <v>40</v>
      </c>
      <c r="B94" s="1" t="s">
        <v>1066</v>
      </c>
      <c r="C94" s="213" t="s">
        <v>649</v>
      </c>
      <c r="D94" s="218">
        <v>193698.0</v>
      </c>
      <c r="E94" s="12">
        <v>2162676.9096</v>
      </c>
      <c r="F94" s="16">
        <v>11.1652</v>
      </c>
      <c r="G94" s="236">
        <v>4.40119035345E10</v>
      </c>
      <c r="H94" s="65">
        <v>2.8578230591142853E10</v>
      </c>
      <c r="I94" s="236">
        <v>13214.285714285714</v>
      </c>
      <c r="J94" s="1">
        <v>1.0</v>
      </c>
    </row>
    <row r="95" ht="22.5" customHeight="1">
      <c r="A95" s="1" t="s">
        <v>40</v>
      </c>
      <c r="B95" s="1" t="s">
        <v>1066</v>
      </c>
      <c r="C95" s="4" t="s">
        <v>1038</v>
      </c>
      <c r="D95" s="225">
        <v>230.0</v>
      </c>
      <c r="E95" s="25">
        <v>3983.8070000000002</v>
      </c>
      <c r="F95" s="219">
        <v>17.3209</v>
      </c>
      <c r="G95" s="236">
        <v>2.2273907582222223E7</v>
      </c>
      <c r="H95" s="65">
        <v>7524968.777777778</v>
      </c>
      <c r="I95" s="236">
        <v>1888.888888888889</v>
      </c>
      <c r="J95" s="1">
        <v>1.0</v>
      </c>
    </row>
    <row r="96" ht="22.5" customHeight="1">
      <c r="A96" s="1" t="s">
        <v>40</v>
      </c>
      <c r="B96" s="1" t="s">
        <v>1067</v>
      </c>
      <c r="C96" s="213" t="s">
        <v>431</v>
      </c>
      <c r="D96" s="223">
        <v>1328657.0</v>
      </c>
      <c r="E96" s="32">
        <v>2.19951194408E7</v>
      </c>
      <c r="F96" s="16">
        <v>16.5544</v>
      </c>
      <c r="G96" s="230">
        <v>2.019570919321455E11</v>
      </c>
      <c r="H96" s="65">
        <v>8.14343112629619E10</v>
      </c>
      <c r="I96" s="230">
        <v>3702.3809523809523</v>
      </c>
      <c r="J96" s="1">
        <v>1.0</v>
      </c>
    </row>
    <row r="97" ht="22.5" customHeight="1">
      <c r="A97" s="1" t="s">
        <v>40</v>
      </c>
      <c r="B97" s="1" t="s">
        <v>1067</v>
      </c>
      <c r="C97" s="213" t="s">
        <v>690</v>
      </c>
      <c r="D97" s="221">
        <v>942386.0</v>
      </c>
      <c r="E97" s="36">
        <v>1.12476596258E7</v>
      </c>
      <c r="F97" s="16">
        <v>11.9353</v>
      </c>
      <c r="G97" s="230">
        <v>6.092303763028559E10</v>
      </c>
      <c r="H97" s="65">
        <v>2.0040472904699207E10</v>
      </c>
      <c r="I97" s="230">
        <v>1781.7460317460318</v>
      </c>
      <c r="J97" s="1">
        <v>1.0</v>
      </c>
    </row>
    <row r="98" ht="22.5" customHeight="1">
      <c r="A98" s="1" t="s">
        <v>40</v>
      </c>
      <c r="B98" s="1" t="s">
        <v>1067</v>
      </c>
      <c r="C98" s="213" t="s">
        <v>94</v>
      </c>
      <c r="D98" s="223">
        <v>877397.0</v>
      </c>
      <c r="E98" s="32">
        <v>7.19573459831E7</v>
      </c>
      <c r="F98" s="219">
        <v>82.0123</v>
      </c>
      <c r="G98" s="233">
        <v>1.47909466848357E12</v>
      </c>
      <c r="H98" s="65">
        <v>7.90959715766615E11</v>
      </c>
      <c r="I98" s="233">
        <v>10992.063492063491</v>
      </c>
      <c r="J98" s="1">
        <v>1.0</v>
      </c>
    </row>
    <row r="99" ht="22.5" customHeight="1">
      <c r="A99" s="1" t="s">
        <v>40</v>
      </c>
      <c r="B99" s="1" t="s">
        <v>1067</v>
      </c>
      <c r="C99" s="213" t="s">
        <v>177</v>
      </c>
      <c r="D99" s="221">
        <v>382656.0</v>
      </c>
      <c r="E99" s="36">
        <v>2.78441934336E7</v>
      </c>
      <c r="F99" s="16">
        <v>72.7656</v>
      </c>
      <c r="G99" s="236">
        <v>6.7701474817664E11</v>
      </c>
      <c r="H99" s="65">
        <v>4.320269695451429E11</v>
      </c>
      <c r="I99" s="236">
        <v>15515.873015873016</v>
      </c>
      <c r="J99" s="1">
        <v>1.0</v>
      </c>
    </row>
    <row r="100" ht="22.5" customHeight="1">
      <c r="A100" s="1" t="s">
        <v>40</v>
      </c>
      <c r="B100" s="1" t="s">
        <v>1067</v>
      </c>
      <c r="C100" s="213" t="s">
        <v>281</v>
      </c>
      <c r="D100" s="218">
        <v>84476.0</v>
      </c>
      <c r="E100" s="12">
        <v>1.3815052983199999E7</v>
      </c>
      <c r="F100" s="219">
        <v>163.5382</v>
      </c>
      <c r="G100" s="236">
        <v>2.899516477307333E11</v>
      </c>
      <c r="H100" s="65">
        <v>2.2476871917111108E11</v>
      </c>
      <c r="I100" s="236">
        <v>16269.84126984127</v>
      </c>
      <c r="J100" s="1">
        <v>1.0</v>
      </c>
    </row>
    <row r="101" ht="22.5" customHeight="1">
      <c r="A101" s="1" t="s">
        <v>33</v>
      </c>
      <c r="B101" s="1" t="s">
        <v>1068</v>
      </c>
      <c r="C101" s="213" t="s">
        <v>926</v>
      </c>
      <c r="D101" s="225">
        <v>1011994.0</v>
      </c>
      <c r="E101" s="25">
        <v>6231859.052</v>
      </c>
      <c r="F101" s="16">
        <v>6.158</v>
      </c>
      <c r="G101" s="230">
        <v>1.1766343400561905E10</v>
      </c>
      <c r="H101" s="65">
        <v>1.9289087541904762E9</v>
      </c>
      <c r="I101" s="230">
        <v>309.5238095238095</v>
      </c>
      <c r="J101" s="1">
        <v>1.0</v>
      </c>
    </row>
    <row r="102" ht="22.5" customHeight="1">
      <c r="A102" s="1" t="s">
        <v>33</v>
      </c>
      <c r="B102" s="1" t="s">
        <v>1068</v>
      </c>
      <c r="C102" s="213" t="s">
        <v>897</v>
      </c>
      <c r="D102" s="218">
        <v>774542.0</v>
      </c>
      <c r="E102" s="12">
        <v>1.9674606067199998E7</v>
      </c>
      <c r="F102" s="16">
        <v>25.4016</v>
      </c>
      <c r="G102" s="233">
        <v>1.6248413953497599E10</v>
      </c>
      <c r="H102" s="65">
        <v>3.8412326131199994E9</v>
      </c>
      <c r="I102" s="233">
        <v>195.23809523809524</v>
      </c>
      <c r="J102" s="1">
        <v>1.0</v>
      </c>
    </row>
    <row r="103" ht="22.5" customHeight="1">
      <c r="A103" s="1" t="s">
        <v>33</v>
      </c>
      <c r="B103" s="1" t="s">
        <v>1068</v>
      </c>
      <c r="C103" s="213" t="s">
        <v>347</v>
      </c>
      <c r="D103" s="221">
        <v>739599.0</v>
      </c>
      <c r="E103" s="36">
        <v>1.70791159476E7</v>
      </c>
      <c r="F103" s="219">
        <v>23.0924</v>
      </c>
      <c r="G103" s="233">
        <v>2.69505318040933E11</v>
      </c>
      <c r="H103" s="65">
        <v>1.592695336383333E11</v>
      </c>
      <c r="I103" s="233">
        <v>9325.396825396825</v>
      </c>
      <c r="J103" s="1">
        <v>1.0</v>
      </c>
    </row>
    <row r="104" ht="22.5" customHeight="1">
      <c r="A104" s="1" t="s">
        <v>33</v>
      </c>
      <c r="B104" s="1" t="s">
        <v>1068</v>
      </c>
      <c r="C104" s="213" t="s">
        <v>520</v>
      </c>
      <c r="D104" s="218">
        <v>619575.0</v>
      </c>
      <c r="E104" s="12">
        <v>3.0764253134999998E7</v>
      </c>
      <c r="F104" s="16">
        <v>49.6538</v>
      </c>
      <c r="G104" s="237">
        <v>1.63804998299525E11</v>
      </c>
      <c r="H104" s="65">
        <v>5.102959448583333E10</v>
      </c>
      <c r="I104" s="237">
        <v>1658.7301587301588</v>
      </c>
      <c r="J104" s="1">
        <v>1.0</v>
      </c>
    </row>
    <row r="105" ht="22.5" customHeight="1">
      <c r="A105" s="1" t="s">
        <v>33</v>
      </c>
      <c r="B105" s="1" t="s">
        <v>1068</v>
      </c>
      <c r="C105" s="213" t="s">
        <v>684</v>
      </c>
      <c r="D105" s="225">
        <v>541922.0</v>
      </c>
      <c r="E105" s="25">
        <v>6257139.7964</v>
      </c>
      <c r="F105" s="16">
        <v>11.5462</v>
      </c>
      <c r="G105" s="236">
        <v>5.557010547038529E10</v>
      </c>
      <c r="H105" s="65">
        <v>2.286835616065238E10</v>
      </c>
      <c r="I105" s="236">
        <v>3654.7619047619046</v>
      </c>
      <c r="J105" s="1">
        <v>1.0</v>
      </c>
    </row>
    <row r="106" ht="22.5" customHeight="1">
      <c r="A106" s="1" t="s">
        <v>33</v>
      </c>
      <c r="B106" s="1" t="s">
        <v>1068</v>
      </c>
      <c r="C106" s="213" t="s">
        <v>626</v>
      </c>
      <c r="D106" s="223">
        <v>497086.0</v>
      </c>
      <c r="E106" s="32">
        <v>2.23866656788E7</v>
      </c>
      <c r="F106" s="16">
        <v>45.0358</v>
      </c>
      <c r="G106" s="236">
        <v>1.1575505203488086E11</v>
      </c>
      <c r="H106" s="65">
        <v>3.384650644294762E10</v>
      </c>
      <c r="I106" s="236">
        <v>1511.904761904762</v>
      </c>
      <c r="J106" s="1">
        <v>1.0</v>
      </c>
    </row>
    <row r="107" ht="22.5" customHeight="1">
      <c r="A107" s="1" t="s">
        <v>33</v>
      </c>
      <c r="B107" s="1" t="s">
        <v>1068</v>
      </c>
      <c r="C107" s="213" t="s">
        <v>732</v>
      </c>
      <c r="D107" s="221">
        <v>494101.0</v>
      </c>
      <c r="E107" s="36">
        <v>3.1948027148900002E7</v>
      </c>
      <c r="F107" s="16">
        <v>64.6589</v>
      </c>
      <c r="G107" s="236">
        <v>5.612203435823434E10</v>
      </c>
      <c r="H107" s="65">
        <v>1.5720457803426985E10</v>
      </c>
      <c r="I107" s="236">
        <v>492.06349206349205</v>
      </c>
      <c r="J107" s="1">
        <v>1.0</v>
      </c>
    </row>
    <row r="108" ht="22.5" customHeight="1">
      <c r="A108" s="1" t="s">
        <v>33</v>
      </c>
      <c r="B108" s="1" t="s">
        <v>1068</v>
      </c>
      <c r="C108" s="213" t="s">
        <v>643</v>
      </c>
      <c r="D108" s="223">
        <v>404675.0</v>
      </c>
      <c r="E108" s="32">
        <v>1.183820058E7</v>
      </c>
      <c r="F108" s="16">
        <v>29.2536</v>
      </c>
      <c r="G108" s="236">
        <v>9.298859578603572E10</v>
      </c>
      <c r="H108" s="65">
        <v>3.1521557893571426E10</v>
      </c>
      <c r="I108" s="236">
        <v>2662.6984126984125</v>
      </c>
      <c r="J108" s="1">
        <v>1.0</v>
      </c>
    </row>
    <row r="109" ht="22.5" customHeight="1">
      <c r="A109" s="1" t="s">
        <v>33</v>
      </c>
      <c r="B109" s="1" t="s">
        <v>1068</v>
      </c>
      <c r="C109" s="213" t="s">
        <v>182</v>
      </c>
      <c r="D109" s="225">
        <v>345341.0</v>
      </c>
      <c r="E109" s="25">
        <v>4.45295463017E7</v>
      </c>
      <c r="F109" s="16">
        <v>128.9437</v>
      </c>
      <c r="G109" s="236">
        <v>1.01299979317866E12</v>
      </c>
      <c r="H109" s="229">
        <v>4.735681908276032E11</v>
      </c>
      <c r="I109" s="236">
        <v>10634.920634920634</v>
      </c>
      <c r="J109" s="1">
        <v>1.0</v>
      </c>
    </row>
    <row r="110" ht="22.5" customHeight="1">
      <c r="A110" s="1" t="s">
        <v>33</v>
      </c>
      <c r="B110" s="1" t="s">
        <v>1068</v>
      </c>
      <c r="C110" s="213" t="s">
        <v>992</v>
      </c>
      <c r="D110" s="223">
        <v>212955.0</v>
      </c>
      <c r="E110" s="32">
        <v>2950683.1845</v>
      </c>
      <c r="F110" s="16">
        <v>13.8559</v>
      </c>
      <c r="G110" s="236">
        <v>1.6274774121555893E9</v>
      </c>
      <c r="H110" s="65">
        <v>3.758608342160714E8</v>
      </c>
      <c r="I110" s="236">
        <v>127.38095238095238</v>
      </c>
      <c r="J110" s="1">
        <v>1.0</v>
      </c>
    </row>
    <row r="111" ht="22.5" customHeight="1">
      <c r="A111" s="1" t="s">
        <v>33</v>
      </c>
      <c r="B111" s="1" t="s">
        <v>1068</v>
      </c>
      <c r="C111" s="213" t="s">
        <v>862</v>
      </c>
      <c r="D111" s="225">
        <v>143234.0</v>
      </c>
      <c r="E111" s="25">
        <v>3307616.8216000004</v>
      </c>
      <c r="F111" s="16">
        <v>23.0924</v>
      </c>
      <c r="G111" s="236">
        <v>1.7399245773338E10</v>
      </c>
      <c r="H111" s="65">
        <v>5.630823874866667E9</v>
      </c>
      <c r="I111" s="236">
        <v>1702.3809523809523</v>
      </c>
      <c r="J111" s="1">
        <v>1.0</v>
      </c>
    </row>
    <row r="112" ht="22.5" customHeight="1">
      <c r="A112" s="1" t="s">
        <v>33</v>
      </c>
      <c r="B112" s="1" t="s">
        <v>1068</v>
      </c>
      <c r="C112" s="213" t="s">
        <v>850</v>
      </c>
      <c r="D112" s="223">
        <v>5418.0</v>
      </c>
      <c r="E112" s="32">
        <v>759042.8369999999</v>
      </c>
      <c r="F112" s="219">
        <v>140.0965</v>
      </c>
      <c r="G112" s="236">
        <v>1.2891679929999998E10</v>
      </c>
      <c r="H112" s="65">
        <v>6.445839964999999E9</v>
      </c>
      <c r="I112" s="236">
        <v>8492.063492063491</v>
      </c>
      <c r="J112" s="1">
        <v>1.0</v>
      </c>
    </row>
    <row r="113" ht="22.5" customHeight="1">
      <c r="A113" s="1" t="s">
        <v>33</v>
      </c>
      <c r="B113" s="1" t="s">
        <v>1069</v>
      </c>
      <c r="C113" s="4" t="s">
        <v>165</v>
      </c>
      <c r="D113" s="221">
        <v>2530444.0</v>
      </c>
      <c r="E113" s="36">
        <v>1.2175307219319999E8</v>
      </c>
      <c r="F113" s="16">
        <v>48.1153</v>
      </c>
      <c r="G113" s="233">
        <v>1.0603194831980898E12</v>
      </c>
      <c r="H113" s="65">
        <v>3.7733789437654443E11</v>
      </c>
      <c r="I113" s="233">
        <v>3099.2063492063494</v>
      </c>
      <c r="J113" s="1">
        <v>1.0</v>
      </c>
    </row>
    <row r="114" ht="22.5" customHeight="1">
      <c r="A114" s="1" t="s">
        <v>33</v>
      </c>
      <c r="B114" s="1" t="s">
        <v>1069</v>
      </c>
      <c r="C114" s="4" t="s">
        <v>135</v>
      </c>
      <c r="D114" s="223">
        <v>2524560.0</v>
      </c>
      <c r="E114" s="32">
        <v>2.1374692152E7</v>
      </c>
      <c r="F114" s="219">
        <v>8.4667</v>
      </c>
      <c r="G114" s="230">
        <v>4.600478384683237E11</v>
      </c>
      <c r="H114" s="65">
        <v>4.8941259411523804E11</v>
      </c>
      <c r="I114" s="230">
        <v>22896.825396825396</v>
      </c>
      <c r="J114" s="1">
        <v>1.0</v>
      </c>
    </row>
    <row r="115" ht="22.5" customHeight="1">
      <c r="A115" s="1" t="s">
        <v>33</v>
      </c>
      <c r="B115" s="1" t="s">
        <v>1069</v>
      </c>
      <c r="C115" s="4" t="s">
        <v>491</v>
      </c>
      <c r="D115" s="225">
        <v>992110.0</v>
      </c>
      <c r="E115" s="25">
        <v>9164020.859000001</v>
      </c>
      <c r="F115" s="16">
        <v>9.2369</v>
      </c>
      <c r="G115" s="233">
        <v>1.5729387231555002E11</v>
      </c>
      <c r="H115" s="65">
        <v>5.891156266500001E10</v>
      </c>
      <c r="I115" s="233">
        <v>6428.571428571428</v>
      </c>
      <c r="J115" s="1">
        <v>1.0</v>
      </c>
    </row>
    <row r="116" ht="22.5" customHeight="1">
      <c r="A116" s="1" t="s">
        <v>33</v>
      </c>
      <c r="B116" s="1" t="s">
        <v>1069</v>
      </c>
      <c r="C116" s="4" t="s">
        <v>808</v>
      </c>
      <c r="D116" s="223">
        <v>125915.0</v>
      </c>
      <c r="E116" s="32">
        <v>4070554.9370000004</v>
      </c>
      <c r="F116" s="219">
        <v>32.3278</v>
      </c>
      <c r="G116" s="236">
        <v>2.4920841892077785E10</v>
      </c>
      <c r="H116" s="65">
        <v>8.593393755888891E9</v>
      </c>
      <c r="I116" s="236">
        <v>2111.1111111111113</v>
      </c>
      <c r="J116" s="1">
        <v>1.0</v>
      </c>
    </row>
    <row r="117" ht="22.5" customHeight="1">
      <c r="A117" s="1" t="s">
        <v>33</v>
      </c>
      <c r="B117" s="1" t="s">
        <v>1070</v>
      </c>
      <c r="C117" s="213" t="s">
        <v>30</v>
      </c>
      <c r="D117" s="225">
        <v>4429149.0</v>
      </c>
      <c r="E117" s="25">
        <v>8.906013222177E8</v>
      </c>
      <c r="F117" s="219">
        <v>201.0773</v>
      </c>
      <c r="G117" s="230">
        <v>1.80266089684552E13</v>
      </c>
      <c r="H117" s="65">
        <v>9.578388947393557E12</v>
      </c>
      <c r="I117" s="230">
        <v>10754.9682539683</v>
      </c>
      <c r="J117" s="1">
        <v>1.0</v>
      </c>
    </row>
    <row r="118" ht="22.5" customHeight="1">
      <c r="A118" s="1" t="s">
        <v>33</v>
      </c>
      <c r="B118" s="1" t="s">
        <v>1070</v>
      </c>
      <c r="C118" s="4" t="s">
        <v>638</v>
      </c>
      <c r="D118" s="223">
        <v>664569.0</v>
      </c>
      <c r="E118" s="32">
        <v>4348274.967</v>
      </c>
      <c r="F118" s="16">
        <v>6.543</v>
      </c>
      <c r="G118" s="233">
        <v>7.66124637042857E10</v>
      </c>
      <c r="H118" s="65">
        <v>3.1921859876785713E10</v>
      </c>
      <c r="I118" s="233">
        <v>7341.269841269841</v>
      </c>
      <c r="J118" s="1">
        <v>1.0</v>
      </c>
    </row>
    <row r="119" ht="22.5" customHeight="1">
      <c r="A119" s="1" t="s">
        <v>33</v>
      </c>
      <c r="B119" s="1" t="s">
        <v>1070</v>
      </c>
      <c r="C119" s="4" t="s">
        <v>276</v>
      </c>
      <c r="D119" s="221">
        <v>288915.0</v>
      </c>
      <c r="E119" s="36">
        <v>5.47056218775E7</v>
      </c>
      <c r="F119" s="16">
        <v>189.3485</v>
      </c>
      <c r="G119" s="236">
        <v>8.088616949030355E11</v>
      </c>
      <c r="H119" s="65">
        <v>3.516789977839285E11</v>
      </c>
      <c r="I119" s="236">
        <v>6428.571428571428</v>
      </c>
      <c r="J119" s="1">
        <v>1.0</v>
      </c>
    </row>
    <row r="120" ht="22.5" customHeight="1">
      <c r="A120" s="1" t="s">
        <v>33</v>
      </c>
      <c r="B120" s="1" t="s">
        <v>1070</v>
      </c>
      <c r="C120" s="4" t="s">
        <v>252</v>
      </c>
      <c r="D120" s="218">
        <v>209781.0</v>
      </c>
      <c r="E120" s="12">
        <v>3.14917573113E7</v>
      </c>
      <c r="F120" s="219">
        <v>150.1173</v>
      </c>
      <c r="G120" s="236">
        <v>5.758617732785775E11</v>
      </c>
      <c r="H120" s="65">
        <v>2.5368360056325E11</v>
      </c>
      <c r="I120" s="236">
        <v>8055.555555555556</v>
      </c>
      <c r="J120" s="1">
        <v>1.0</v>
      </c>
    </row>
    <row r="121" ht="22.5" customHeight="1">
      <c r="A121" s="1" t="s">
        <v>33</v>
      </c>
      <c r="B121" s="1" t="s">
        <v>1070</v>
      </c>
      <c r="C121" s="4" t="s">
        <v>188</v>
      </c>
      <c r="D121" s="221">
        <v>113626.0</v>
      </c>
      <c r="E121" s="36">
        <v>3.87922913658E7</v>
      </c>
      <c r="F121" s="219">
        <v>341.4033</v>
      </c>
      <c r="G121" s="236">
        <v>9.77889011512875E11</v>
      </c>
      <c r="H121" s="65">
        <v>5.926600069775E11</v>
      </c>
      <c r="I121" s="236">
        <v>15277.777777777777</v>
      </c>
      <c r="J121" s="1">
        <v>1.0</v>
      </c>
    </row>
    <row r="122" ht="22.5" customHeight="1">
      <c r="A122" s="1" t="s">
        <v>33</v>
      </c>
      <c r="B122" s="1" t="s">
        <v>1070</v>
      </c>
      <c r="C122" s="213" t="s">
        <v>383</v>
      </c>
      <c r="D122" s="223">
        <v>57100.0</v>
      </c>
      <c r="E122" s="32">
        <v>1.096749963E7</v>
      </c>
      <c r="F122" s="16">
        <v>192.0753</v>
      </c>
      <c r="G122" s="236">
        <v>2.09498875174107E11</v>
      </c>
      <c r="H122" s="65">
        <v>1.153328334107143E11</v>
      </c>
      <c r="I122" s="236">
        <v>10515.873015873016</v>
      </c>
      <c r="J122" s="1">
        <v>1.0</v>
      </c>
    </row>
    <row r="123" ht="22.5" customHeight="1">
      <c r="A123" s="1" t="s">
        <v>33</v>
      </c>
      <c r="B123" s="1" t="s">
        <v>1070</v>
      </c>
      <c r="C123" s="4" t="s">
        <v>814</v>
      </c>
      <c r="D123" s="225">
        <v>2001.0</v>
      </c>
      <c r="E123" s="25">
        <v>345037.0323</v>
      </c>
      <c r="F123" s="16">
        <v>172.4323</v>
      </c>
      <c r="G123" s="236">
        <v>1.01182109721975E10</v>
      </c>
      <c r="H123" s="65">
        <v>8.502698295964286E9</v>
      </c>
      <c r="I123" s="236">
        <v>24642.85714285714</v>
      </c>
      <c r="J123" s="1">
        <v>1.0</v>
      </c>
    </row>
    <row r="124" ht="22.5" customHeight="1">
      <c r="A124" s="1" t="s">
        <v>33</v>
      </c>
      <c r="B124" s="1" t="s">
        <v>1070</v>
      </c>
      <c r="C124" s="213" t="s">
        <v>980</v>
      </c>
      <c r="D124" s="223">
        <v>1325.0</v>
      </c>
      <c r="E124" s="32">
        <v>47933.0675</v>
      </c>
      <c r="F124" s="219">
        <v>36.1759</v>
      </c>
      <c r="G124" s="236">
        <v>1.2208476208015873E9</v>
      </c>
      <c r="H124" s="65">
        <v>5.401980623015873E8</v>
      </c>
      <c r="I124" s="236">
        <v>11269.84126984127</v>
      </c>
      <c r="J124" s="1">
        <v>1.0</v>
      </c>
    </row>
    <row r="125" ht="22.5" customHeight="1">
      <c r="A125" s="1" t="s">
        <v>33</v>
      </c>
      <c r="B125" s="1" t="s">
        <v>1070</v>
      </c>
      <c r="C125" s="4" t="s">
        <v>395</v>
      </c>
      <c r="D125" s="225">
        <v>614.0</v>
      </c>
      <c r="E125" s="25">
        <v>2646839.9188</v>
      </c>
      <c r="F125" s="16">
        <v>4310.8142</v>
      </c>
      <c r="G125" s="236">
        <v>8.302884745283333E10</v>
      </c>
      <c r="H125" s="65">
        <v>1.0713399671333333E11</v>
      </c>
      <c r="I125" s="236">
        <v>40476.19047619047</v>
      </c>
      <c r="J125" s="1">
        <v>1.0</v>
      </c>
    </row>
    <row r="126" ht="22.5" customHeight="1">
      <c r="A126" s="1" t="s">
        <v>33</v>
      </c>
      <c r="B126" s="1" t="s">
        <v>1070</v>
      </c>
      <c r="C126" s="4" t="s">
        <v>526</v>
      </c>
      <c r="D126" s="218">
        <v>609.0</v>
      </c>
      <c r="E126" s="12">
        <v>1640803.6701</v>
      </c>
      <c r="F126" s="16">
        <v>2694.2589</v>
      </c>
      <c r="G126" s="236">
        <v>4.881781586088E10</v>
      </c>
      <c r="H126" s="65">
        <v>5.085189152175E10</v>
      </c>
      <c r="I126" s="236">
        <v>30992.06349206349</v>
      </c>
      <c r="J126" s="1">
        <v>1.0</v>
      </c>
    </row>
    <row r="127" ht="22.5" customHeight="1">
      <c r="A127" s="1" t="s">
        <v>121</v>
      </c>
      <c r="B127" s="1" t="s">
        <v>1050</v>
      </c>
      <c r="C127" s="213" t="s">
        <v>455</v>
      </c>
      <c r="D127" s="221">
        <v>1461132.0</v>
      </c>
      <c r="E127" s="36">
        <v>2.25014328E7</v>
      </c>
      <c r="F127" s="16">
        <v>15.4</v>
      </c>
      <c r="G127" s="230">
        <v>1.976911596E11</v>
      </c>
      <c r="H127" s="65">
        <v>7.3218948E10</v>
      </c>
      <c r="I127" s="230">
        <v>3253.968253968254</v>
      </c>
      <c r="J127" s="1">
        <v>1.0</v>
      </c>
    </row>
    <row r="128" ht="22.5" customHeight="1">
      <c r="A128" s="1" t="s">
        <v>121</v>
      </c>
      <c r="B128" s="1" t="s">
        <v>1050</v>
      </c>
      <c r="C128" s="213" t="s">
        <v>118</v>
      </c>
      <c r="D128" s="218">
        <v>1262717.0</v>
      </c>
      <c r="E128" s="12">
        <v>9.383250027E7</v>
      </c>
      <c r="F128" s="219">
        <v>74.31</v>
      </c>
      <c r="G128" s="233">
        <v>2.12153867402104E12</v>
      </c>
      <c r="H128" s="65">
        <v>9.569425622773809E11</v>
      </c>
      <c r="I128" s="233">
        <v>10198.412698412698</v>
      </c>
      <c r="J128" s="1">
        <v>1.0</v>
      </c>
    </row>
    <row r="129" ht="22.5" customHeight="1">
      <c r="A129" s="1" t="s">
        <v>121</v>
      </c>
      <c r="B129" s="1" t="s">
        <v>1050</v>
      </c>
      <c r="C129" s="213" t="s">
        <v>229</v>
      </c>
      <c r="D129" s="225">
        <v>654175.0</v>
      </c>
      <c r="E129" s="25">
        <v>3.32451735E7</v>
      </c>
      <c r="F129" s="16">
        <v>50.82</v>
      </c>
      <c r="G129" s="238">
        <v>5.772786912750001E11</v>
      </c>
      <c r="H129" s="229">
        <v>2.915548945833334E11</v>
      </c>
      <c r="I129" s="238">
        <v>8769.84126984127</v>
      </c>
      <c r="J129" s="1">
        <v>1.0</v>
      </c>
    </row>
    <row r="130" ht="22.5" customHeight="1">
      <c r="A130" s="1" t="s">
        <v>121</v>
      </c>
      <c r="B130" s="1" t="s">
        <v>1050</v>
      </c>
      <c r="C130" s="213" t="s">
        <v>335</v>
      </c>
      <c r="D130" s="223">
        <v>529951.0</v>
      </c>
      <c r="E130" s="32">
        <v>4.42771940696E7</v>
      </c>
      <c r="F130" s="219">
        <v>83.5496</v>
      </c>
      <c r="G130" s="236">
        <v>4.0077010243275446E11</v>
      </c>
      <c r="H130" s="65">
        <v>1.6357963364602222E11</v>
      </c>
      <c r="I130" s="236">
        <v>3694.4444444444443</v>
      </c>
      <c r="J130" s="1">
        <v>1.0</v>
      </c>
    </row>
    <row r="131" ht="22.5" customHeight="1">
      <c r="A131" s="1" t="s">
        <v>121</v>
      </c>
      <c r="B131" s="1" t="s">
        <v>1050</v>
      </c>
      <c r="C131" s="213" t="s">
        <v>543</v>
      </c>
      <c r="D131" s="221">
        <v>300940.0</v>
      </c>
      <c r="E131" s="36">
        <v>6835852.1</v>
      </c>
      <c r="F131" s="16">
        <v>22.715</v>
      </c>
      <c r="G131" s="236">
        <v>1.0219598889499997E11</v>
      </c>
      <c r="H131" s="229">
        <v>4.9370042944444435E10</v>
      </c>
      <c r="I131" s="236">
        <v>7222.222222222222</v>
      </c>
      <c r="J131" s="1">
        <v>1.0</v>
      </c>
    </row>
    <row r="132" ht="22.5" customHeight="1">
      <c r="A132" s="1" t="s">
        <v>121</v>
      </c>
      <c r="B132" s="1" t="s">
        <v>1050</v>
      </c>
      <c r="C132" s="4" t="s">
        <v>938</v>
      </c>
      <c r="D132" s="223">
        <v>179350.0</v>
      </c>
      <c r="E132" s="32">
        <v>828597.0</v>
      </c>
      <c r="F132" s="16">
        <v>4.62</v>
      </c>
      <c r="G132" s="236">
        <v>3.8932221899999995E9</v>
      </c>
      <c r="H132" s="65">
        <v>1.41058775E9</v>
      </c>
      <c r="I132" s="236">
        <v>1702.3809523809523</v>
      </c>
      <c r="J132" s="1">
        <v>1.0</v>
      </c>
    </row>
    <row r="133" ht="22.5" customHeight="1">
      <c r="A133" s="1" t="s">
        <v>121</v>
      </c>
      <c r="B133" s="1" t="s">
        <v>1050</v>
      </c>
      <c r="C133" s="4" t="s">
        <v>838</v>
      </c>
      <c r="D133" s="225">
        <v>36234.0</v>
      </c>
      <c r="E133" s="25">
        <v>376608.94920000003</v>
      </c>
      <c r="F133" s="219">
        <v>10.3938</v>
      </c>
      <c r="G133" s="236">
        <v>1.4858717525897144E10</v>
      </c>
      <c r="H133" s="65">
        <v>7.143614195142858E9</v>
      </c>
      <c r="I133" s="236">
        <v>18968.25396825397</v>
      </c>
      <c r="J133" s="1">
        <v>1.0</v>
      </c>
    </row>
    <row r="134" ht="22.5" customHeight="1">
      <c r="A134" s="1" t="s">
        <v>121</v>
      </c>
      <c r="B134" s="1" t="s">
        <v>1050</v>
      </c>
      <c r="C134" s="213" t="s">
        <v>950</v>
      </c>
      <c r="D134" s="218">
        <v>11432.0</v>
      </c>
      <c r="E134" s="12">
        <v>495291.4</v>
      </c>
      <c r="F134" s="219">
        <v>43.325</v>
      </c>
      <c r="G134" s="236">
        <v>3.0808304345238094E9</v>
      </c>
      <c r="H134" s="65">
        <v>1.1203019761904762E9</v>
      </c>
      <c r="I134" s="236">
        <v>2261.904761904762</v>
      </c>
      <c r="J134" s="1">
        <v>1.0</v>
      </c>
    </row>
    <row r="135" ht="22.5" customHeight="1">
      <c r="A135" s="1" t="s">
        <v>121</v>
      </c>
      <c r="B135" s="1" t="s">
        <v>1050</v>
      </c>
      <c r="C135" s="4" t="s">
        <v>726</v>
      </c>
      <c r="D135" s="225">
        <v>3310.0</v>
      </c>
      <c r="E135" s="25">
        <v>730202.5499999999</v>
      </c>
      <c r="F135" s="16">
        <v>220.605</v>
      </c>
      <c r="G135" s="236">
        <v>2.1917667016666664E10</v>
      </c>
      <c r="H135" s="65">
        <v>1.7965300833333332E10</v>
      </c>
      <c r="I135" s="236">
        <v>24603.174603174604</v>
      </c>
      <c r="J135" s="1">
        <v>1.0</v>
      </c>
    </row>
    <row r="136" ht="22.5" customHeight="1">
      <c r="A136" s="1" t="s">
        <v>121</v>
      </c>
      <c r="B136" s="1" t="s">
        <v>1050</v>
      </c>
      <c r="C136" s="213" t="s">
        <v>780</v>
      </c>
      <c r="D136" s="218">
        <v>2106.0</v>
      </c>
      <c r="E136" s="12">
        <v>945980.451</v>
      </c>
      <c r="F136" s="219">
        <v>449.1835</v>
      </c>
      <c r="G136" s="236">
        <v>1.9238201721890285E10</v>
      </c>
      <c r="H136" s="65">
        <v>1.125041036367853E10</v>
      </c>
      <c r="I136" s="236">
        <v>11892.8571428571</v>
      </c>
      <c r="J136" s="1">
        <v>1.0</v>
      </c>
    </row>
    <row r="137" ht="22.5" customHeight="1">
      <c r="A137" s="1" t="s">
        <v>121</v>
      </c>
      <c r="B137" s="1" t="s">
        <v>1050</v>
      </c>
      <c r="C137" s="4" t="s">
        <v>920</v>
      </c>
      <c r="D137" s="225">
        <v>1428.0</v>
      </c>
      <c r="E137" s="25">
        <v>189681.24000000002</v>
      </c>
      <c r="F137" s="16">
        <v>132.83</v>
      </c>
      <c r="G137" s="236">
        <v>3.875669463333334E9</v>
      </c>
      <c r="H137" s="229">
        <v>2.0398260333333337E9</v>
      </c>
      <c r="I137" s="236">
        <v>10753.968253968254</v>
      </c>
      <c r="J137" s="1">
        <v>1.0</v>
      </c>
    </row>
    <row r="138" ht="22.5" customHeight="1">
      <c r="A138" s="1" t="s">
        <v>121</v>
      </c>
      <c r="B138" s="1" t="s">
        <v>1050</v>
      </c>
      <c r="C138" s="4" t="s">
        <v>986</v>
      </c>
      <c r="D138" s="218">
        <v>1344.0</v>
      </c>
      <c r="E138" s="12">
        <v>82798.06079999999</v>
      </c>
      <c r="F138" s="16">
        <v>61.6057</v>
      </c>
      <c r="G138" s="236">
        <v>9.054887926933333E8</v>
      </c>
      <c r="H138" s="229">
        <v>4.172759413333333E8</v>
      </c>
      <c r="I138" s="236">
        <v>5039.68253968254</v>
      </c>
      <c r="J138" s="1">
        <v>1.0</v>
      </c>
    </row>
    <row r="139" ht="22.5" customHeight="1">
      <c r="A139" s="1" t="s">
        <v>121</v>
      </c>
      <c r="B139" s="1" t="s">
        <v>1050</v>
      </c>
      <c r="C139" s="4" t="s">
        <v>1026</v>
      </c>
      <c r="D139" s="225">
        <v>129.0</v>
      </c>
      <c r="E139" s="25">
        <v>5165.16</v>
      </c>
      <c r="F139" s="16">
        <v>40.04</v>
      </c>
      <c r="G139" s="236">
        <v>9.440764666666666E7</v>
      </c>
      <c r="H139" s="229">
        <v>4.8167166666666664E7</v>
      </c>
      <c r="I139" s="236">
        <v>9325.396825396825</v>
      </c>
      <c r="J139" s="1">
        <v>1.0</v>
      </c>
    </row>
    <row r="140" ht="22.5" customHeight="1">
      <c r="A140" s="1" t="s">
        <v>121</v>
      </c>
      <c r="B140" s="1" t="s">
        <v>1071</v>
      </c>
      <c r="C140" s="213" t="s">
        <v>708</v>
      </c>
      <c r="D140" s="223">
        <v>2043164.0</v>
      </c>
      <c r="E140" s="32">
        <v>3146472.56</v>
      </c>
      <c r="F140" s="219">
        <v>1.54</v>
      </c>
      <c r="G140" s="230">
        <v>4.095658448933333E10</v>
      </c>
      <c r="H140" s="65">
        <v>1.922844342222222E10</v>
      </c>
      <c r="I140" s="230">
        <v>6111.111111111111</v>
      </c>
      <c r="J140" s="1">
        <v>1.0</v>
      </c>
    </row>
    <row r="141" ht="22.5" customHeight="1">
      <c r="A141" s="1" t="s">
        <v>121</v>
      </c>
      <c r="B141" s="1" t="s">
        <v>1071</v>
      </c>
      <c r="C141" s="213" t="s">
        <v>509</v>
      </c>
      <c r="D141" s="221">
        <v>1693814.0</v>
      </c>
      <c r="E141" s="36">
        <v>1.630295975E7</v>
      </c>
      <c r="F141" s="16">
        <v>9.625</v>
      </c>
      <c r="G141" s="233">
        <v>1.468236791770833E11</v>
      </c>
      <c r="H141" s="65">
        <v>5.4990142013888885E10</v>
      </c>
      <c r="I141" s="233">
        <v>3373.015873015873</v>
      </c>
      <c r="J141" s="1">
        <v>1.0</v>
      </c>
    </row>
    <row r="142" ht="22.5" customHeight="1">
      <c r="A142" s="1" t="s">
        <v>121</v>
      </c>
      <c r="B142" s="1" t="s">
        <v>1071</v>
      </c>
      <c r="C142" s="213" t="s">
        <v>449</v>
      </c>
      <c r="D142" s="218">
        <v>426225.0</v>
      </c>
      <c r="E142" s="12">
        <v>1.2307246875E7</v>
      </c>
      <c r="F142" s="16">
        <v>28.875</v>
      </c>
      <c r="G142" s="236">
        <v>1.5886116125E11</v>
      </c>
      <c r="H142" s="65">
        <v>7.42341875E10</v>
      </c>
      <c r="I142" s="236">
        <v>6031.746031746032</v>
      </c>
      <c r="J142" s="1">
        <v>1.0</v>
      </c>
    </row>
    <row r="143" ht="22.5" customHeight="1">
      <c r="A143" s="1" t="s">
        <v>121</v>
      </c>
      <c r="B143" s="1" t="s">
        <v>1071</v>
      </c>
      <c r="C143" s="213" t="s">
        <v>461</v>
      </c>
      <c r="D143" s="225">
        <v>344798.0</v>
      </c>
      <c r="E143" s="25">
        <v>1.1019226883E7</v>
      </c>
      <c r="F143" s="16">
        <v>31.9585</v>
      </c>
      <c r="G143" s="236">
        <v>1.4739527768736667E11</v>
      </c>
      <c r="H143" s="65">
        <v>6.952607438083333E10</v>
      </c>
      <c r="I143" s="236">
        <v>6309.523809523809</v>
      </c>
      <c r="J143" s="1">
        <v>1.0</v>
      </c>
    </row>
    <row r="144" ht="22.5" customHeight="1">
      <c r="A144" s="1" t="s">
        <v>121</v>
      </c>
      <c r="B144" s="1" t="s">
        <v>1071</v>
      </c>
      <c r="C144" s="213" t="s">
        <v>503</v>
      </c>
      <c r="D144" s="223">
        <v>326950.0</v>
      </c>
      <c r="E144" s="32">
        <v>1.510509E7</v>
      </c>
      <c r="F144" s="16">
        <v>46.2</v>
      </c>
      <c r="G144" s="236">
        <v>1.529714043E11</v>
      </c>
      <c r="H144" s="65">
        <v>5.5025685E10</v>
      </c>
      <c r="I144" s="236">
        <v>3642.8571428571427</v>
      </c>
      <c r="J144" s="1">
        <v>1.0</v>
      </c>
    </row>
    <row r="145" ht="22.5" customHeight="1">
      <c r="A145" s="1" t="s">
        <v>121</v>
      </c>
      <c r="B145" s="1" t="s">
        <v>1071</v>
      </c>
      <c r="C145" s="213" t="s">
        <v>425</v>
      </c>
      <c r="D145" s="225">
        <v>193050.0</v>
      </c>
      <c r="E145" s="25">
        <v>1.2783095325E7</v>
      </c>
      <c r="F145" s="16">
        <v>66.2165</v>
      </c>
      <c r="G145" s="236">
        <v>1.9018405155749997E11</v>
      </c>
      <c r="H145" s="65">
        <v>9.232235512499998E10</v>
      </c>
      <c r="I145" s="236">
        <v>7222.222222222222</v>
      </c>
      <c r="J145" s="1">
        <v>1.0</v>
      </c>
    </row>
    <row r="146" ht="22.5" customHeight="1">
      <c r="A146" s="1" t="s">
        <v>121</v>
      </c>
      <c r="B146" s="1" t="s">
        <v>1071</v>
      </c>
      <c r="C146" s="4" t="s">
        <v>956</v>
      </c>
      <c r="D146" s="223">
        <v>4782.0</v>
      </c>
      <c r="E146" s="32">
        <v>324028.32</v>
      </c>
      <c r="F146" s="16">
        <v>67.76</v>
      </c>
      <c r="G146" s="236">
        <v>2.0750156416000001E9</v>
      </c>
      <c r="H146" s="65">
        <v>8.435022933333334E8</v>
      </c>
      <c r="I146" s="236">
        <v>2603.1746031746034</v>
      </c>
      <c r="J146" s="1">
        <v>1.0</v>
      </c>
    </row>
    <row r="147" ht="22.5" customHeight="1">
      <c r="A147" s="1" t="s">
        <v>121</v>
      </c>
      <c r="B147" s="1" t="s">
        <v>1071</v>
      </c>
      <c r="C147" s="213" t="s">
        <v>974</v>
      </c>
      <c r="D147" s="221">
        <v>3881.0</v>
      </c>
      <c r="E147" s="36">
        <v>239091.7217</v>
      </c>
      <c r="F147" s="16">
        <v>61.6057</v>
      </c>
      <c r="G147" s="236">
        <v>1.7494682836391425E9</v>
      </c>
      <c r="H147" s="65">
        <v>7.476360186492063E8</v>
      </c>
      <c r="I147" s="236">
        <v>3126.9841269841268</v>
      </c>
      <c r="J147" s="1">
        <v>1.0</v>
      </c>
    </row>
    <row r="148" ht="22.5" customHeight="1">
      <c r="A148" s="1" t="s">
        <v>121</v>
      </c>
      <c r="B148" s="1" t="s">
        <v>1071</v>
      </c>
      <c r="C148" s="213" t="s">
        <v>1010</v>
      </c>
      <c r="D148" s="223">
        <v>2562.0</v>
      </c>
      <c r="E148" s="32">
        <v>37482.060000000005</v>
      </c>
      <c r="F148" s="16">
        <v>14.63</v>
      </c>
      <c r="G148" s="236">
        <v>4.2595683900000006E8</v>
      </c>
      <c r="H148" s="65">
        <v>1.6509955000000003E8</v>
      </c>
      <c r="I148" s="236">
        <v>4404.761904761905</v>
      </c>
      <c r="J148" s="1">
        <v>1.0</v>
      </c>
    </row>
    <row r="149" ht="22.5" customHeight="1">
      <c r="A149" s="1" t="s">
        <v>121</v>
      </c>
      <c r="B149" s="1" t="s">
        <v>1071</v>
      </c>
      <c r="C149" s="213" t="s">
        <v>820</v>
      </c>
      <c r="D149" s="221">
        <v>2551.0</v>
      </c>
      <c r="E149" s="36">
        <v>447879.07</v>
      </c>
      <c r="F149" s="16">
        <v>175.57</v>
      </c>
      <c r="G149" s="236">
        <v>1.2257668134825397E10</v>
      </c>
      <c r="H149" s="65">
        <v>8.282208199206349E9</v>
      </c>
      <c r="I149" s="236">
        <v>18492.06349206349</v>
      </c>
      <c r="J149" s="1">
        <v>1.0</v>
      </c>
    </row>
    <row r="150" ht="22.5" customHeight="1">
      <c r="A150" s="1" t="s">
        <v>84</v>
      </c>
      <c r="B150" s="1" t="s">
        <v>1048</v>
      </c>
      <c r="C150" s="4" t="s">
        <v>914</v>
      </c>
      <c r="D150" s="218">
        <v>5310404.0</v>
      </c>
      <c r="E150" s="12">
        <v>7354909.54</v>
      </c>
      <c r="F150" s="16">
        <v>1.385</v>
      </c>
      <c r="G150" s="233">
        <v>3.714521179189683E9</v>
      </c>
      <c r="H150" s="65">
        <v>2.5975672581746035E9</v>
      </c>
      <c r="I150" s="233">
        <v>353.1746031746032</v>
      </c>
      <c r="J150" s="1">
        <v>1.0</v>
      </c>
    </row>
    <row r="151" ht="22.5" customHeight="1">
      <c r="A151" s="1" t="s">
        <v>84</v>
      </c>
      <c r="B151" s="1" t="s">
        <v>1048</v>
      </c>
      <c r="C151" s="213" t="s">
        <v>371</v>
      </c>
      <c r="D151" s="221">
        <v>1542246.0</v>
      </c>
      <c r="E151" s="36">
        <v>1.721917659E7</v>
      </c>
      <c r="F151" s="16">
        <v>11.165</v>
      </c>
      <c r="G151" s="233">
        <v>2.266313806965E11</v>
      </c>
      <c r="H151" s="65">
        <v>1.2709392245E11</v>
      </c>
      <c r="I151" s="233">
        <v>7380.952380952381</v>
      </c>
      <c r="J151" s="1">
        <v>1.0</v>
      </c>
    </row>
    <row r="152" ht="22.5" customHeight="1">
      <c r="A152" s="1" t="s">
        <v>84</v>
      </c>
      <c r="B152" s="1" t="s">
        <v>1048</v>
      </c>
      <c r="C152" s="213" t="s">
        <v>212</v>
      </c>
      <c r="D152" s="218">
        <v>440878.0</v>
      </c>
      <c r="E152" s="12">
        <v>3.1745420389999997E7</v>
      </c>
      <c r="F152" s="219">
        <v>72.005</v>
      </c>
      <c r="G152" s="236">
        <v>6.26063516049016E11</v>
      </c>
      <c r="H152" s="65">
        <v>3.426489819873015E11</v>
      </c>
      <c r="I152" s="236">
        <v>10793.650793650793</v>
      </c>
      <c r="J152" s="1">
        <v>1.0</v>
      </c>
    </row>
    <row r="153" ht="22.5" customHeight="1">
      <c r="A153" s="1" t="s">
        <v>84</v>
      </c>
      <c r="B153" s="1" t="s">
        <v>1048</v>
      </c>
      <c r="C153" s="213" t="s">
        <v>311</v>
      </c>
      <c r="D153" s="221">
        <v>431272.0</v>
      </c>
      <c r="E153" s="36">
        <v>4.267220804E7</v>
      </c>
      <c r="F153" s="16">
        <v>98.945</v>
      </c>
      <c r="G153" s="236">
        <v>7.24141172136111E11</v>
      </c>
      <c r="H153" s="65">
        <v>3.132681939444444E11</v>
      </c>
      <c r="I153" s="236">
        <v>7341.269841269841</v>
      </c>
      <c r="J153" s="1">
        <v>1.0</v>
      </c>
    </row>
    <row r="154" ht="22.5" customHeight="1">
      <c r="A154" s="1" t="s">
        <v>84</v>
      </c>
      <c r="B154" s="1" t="s">
        <v>1048</v>
      </c>
      <c r="C154" s="213" t="s">
        <v>567</v>
      </c>
      <c r="D154" s="223">
        <v>266831.0</v>
      </c>
      <c r="E154" s="32">
        <v>1.2224862264999999E7</v>
      </c>
      <c r="F154" s="16">
        <v>45.815</v>
      </c>
      <c r="G154" s="236">
        <v>1.271278950571972E11</v>
      </c>
      <c r="H154" s="65">
        <v>4.492151768805555E10</v>
      </c>
      <c r="I154" s="236">
        <v>3674.6031746031745</v>
      </c>
      <c r="J154" s="1">
        <v>1.0</v>
      </c>
    </row>
    <row r="155" ht="22.5" customHeight="1">
      <c r="A155" s="1" t="s">
        <v>84</v>
      </c>
      <c r="B155" s="1" t="s">
        <v>1048</v>
      </c>
      <c r="C155" s="213" t="s">
        <v>591</v>
      </c>
      <c r="D155" s="221">
        <v>255572.0</v>
      </c>
      <c r="E155" s="36">
        <v>1.0233102879999999E7</v>
      </c>
      <c r="F155" s="16">
        <v>40.04</v>
      </c>
      <c r="G155" s="236">
        <v>1.0043059540799998E11</v>
      </c>
      <c r="H155" s="65">
        <v>3.719651681777777E10</v>
      </c>
      <c r="I155" s="236">
        <v>3634.9206349206347</v>
      </c>
      <c r="J155" s="1">
        <v>1.0</v>
      </c>
    </row>
    <row r="156" ht="22.5" customHeight="1">
      <c r="A156" s="1" t="s">
        <v>84</v>
      </c>
      <c r="B156" s="1" t="s">
        <v>1048</v>
      </c>
      <c r="C156" s="4" t="s">
        <v>891</v>
      </c>
      <c r="D156" s="218">
        <v>154449.0</v>
      </c>
      <c r="E156" s="12">
        <v>1724423.085</v>
      </c>
      <c r="F156" s="16">
        <v>11.165</v>
      </c>
      <c r="G156" s="236">
        <v>1.1381192361E10</v>
      </c>
      <c r="H156" s="65">
        <v>4.2152564299999995E9</v>
      </c>
      <c r="I156" s="236">
        <v>2444.4444444444443</v>
      </c>
      <c r="J156" s="1">
        <v>1.0</v>
      </c>
    </row>
    <row r="157" ht="22.5" customHeight="1">
      <c r="A157" s="1" t="s">
        <v>84</v>
      </c>
      <c r="B157" s="1" t="s">
        <v>1072</v>
      </c>
      <c r="C157" s="1" t="s">
        <v>750</v>
      </c>
      <c r="D157" s="221">
        <v>1886209.0</v>
      </c>
      <c r="E157" s="36">
        <v>8714285.58</v>
      </c>
      <c r="F157" s="16">
        <v>4.62</v>
      </c>
      <c r="G157" s="230">
        <v>4.7136677278166664E10</v>
      </c>
      <c r="H157" s="65">
        <v>1.4869614283333332E10</v>
      </c>
      <c r="I157" s="230">
        <v>1706.3492063492063</v>
      </c>
      <c r="J157" s="1">
        <v>1.0</v>
      </c>
    </row>
    <row r="158" ht="22.5" customHeight="1">
      <c r="A158" s="1" t="s">
        <v>84</v>
      </c>
      <c r="B158" s="1" t="s">
        <v>1072</v>
      </c>
      <c r="C158" s="213" t="s">
        <v>81</v>
      </c>
      <c r="D158" s="223">
        <v>1682296.0</v>
      </c>
      <c r="E158" s="32">
        <v>4.2514143364E8</v>
      </c>
      <c r="F158" s="219">
        <v>252.715</v>
      </c>
      <c r="G158" s="230">
        <v>4.2171499613316333E12</v>
      </c>
      <c r="H158" s="65">
        <v>1.4491924265744443E12</v>
      </c>
      <c r="I158" s="230">
        <v>3408.7301587301586</v>
      </c>
      <c r="J158" s="1">
        <v>1.0</v>
      </c>
    </row>
    <row r="159" ht="22.5" customHeight="1">
      <c r="A159" s="1" t="s">
        <v>84</v>
      </c>
      <c r="B159" s="1" t="s">
        <v>1072</v>
      </c>
      <c r="C159" s="213" t="s">
        <v>258</v>
      </c>
      <c r="D159" s="221">
        <v>509719.0</v>
      </c>
      <c r="E159" s="36">
        <v>1.4008097557999998E8</v>
      </c>
      <c r="F159" s="16">
        <v>274.82</v>
      </c>
      <c r="G159" s="236">
        <v>1.1132935534220498E12</v>
      </c>
      <c r="H159" s="65">
        <v>3.118469337316666E11</v>
      </c>
      <c r="I159" s="236">
        <v>2226.190476190476</v>
      </c>
      <c r="J159" s="1">
        <v>1.0</v>
      </c>
    </row>
    <row r="160" ht="22.5" customHeight="1">
      <c r="A160" s="1" t="s">
        <v>84</v>
      </c>
      <c r="B160" s="1" t="s">
        <v>1072</v>
      </c>
      <c r="C160" s="213" t="s">
        <v>270</v>
      </c>
      <c r="D160" s="218">
        <v>500370.0</v>
      </c>
      <c r="E160" s="12">
        <v>2.176859685E7</v>
      </c>
      <c r="F160" s="219">
        <v>43.505</v>
      </c>
      <c r="G160" s="236">
        <v>4.45794662494167E11</v>
      </c>
      <c r="H160" s="65">
        <v>2.3409879945833337E11</v>
      </c>
      <c r="I160" s="236">
        <v>10753.968253968254</v>
      </c>
      <c r="J160" s="1">
        <v>1.0</v>
      </c>
    </row>
    <row r="161" ht="22.5" customHeight="1">
      <c r="A161" s="1" t="s">
        <v>84</v>
      </c>
      <c r="B161" s="1" t="s">
        <v>1072</v>
      </c>
      <c r="C161" s="213" t="s">
        <v>944</v>
      </c>
      <c r="D161" s="225">
        <v>42776.0</v>
      </c>
      <c r="E161" s="25">
        <v>2898501.7600000002</v>
      </c>
      <c r="F161" s="16">
        <v>67.76</v>
      </c>
      <c r="G161" s="236">
        <v>2.7949838400000005E9</v>
      </c>
      <c r="H161" s="65">
        <v>1.1501991111111112E9</v>
      </c>
      <c r="I161" s="236">
        <v>396.8253968253968</v>
      </c>
      <c r="J161" s="1">
        <v>1.0</v>
      </c>
    </row>
    <row r="162" ht="22.5" customHeight="1">
      <c r="A162" s="1" t="s">
        <v>84</v>
      </c>
      <c r="B162" s="1" t="s">
        <v>1072</v>
      </c>
      <c r="C162" s="213" t="s">
        <v>738</v>
      </c>
      <c r="D162" s="218">
        <v>15195.0</v>
      </c>
      <c r="E162" s="12">
        <v>1638021.0</v>
      </c>
      <c r="F162" s="219">
        <v>107.8</v>
      </c>
      <c r="G162" s="236">
        <v>2.912920165E10</v>
      </c>
      <c r="H162" s="65">
        <v>1.54051975E10</v>
      </c>
      <c r="I162" s="236">
        <v>9404.761904761905</v>
      </c>
      <c r="J162" s="1">
        <v>1.0</v>
      </c>
    </row>
    <row r="163" ht="22.5" customHeight="1">
      <c r="A163" s="239" t="s">
        <v>84</v>
      </c>
      <c r="B163" s="1" t="s">
        <v>1072</v>
      </c>
      <c r="C163" s="60" t="s">
        <v>1021</v>
      </c>
      <c r="D163" s="221">
        <v>1646.0</v>
      </c>
      <c r="E163" s="240">
        <v>76045.20000000001</v>
      </c>
      <c r="F163" s="63">
        <v>46.2</v>
      </c>
      <c r="G163" s="236">
        <v>3.2830402733333343E8</v>
      </c>
      <c r="H163" s="65">
        <v>1.2342256666666669E8</v>
      </c>
      <c r="I163" s="236">
        <v>1623.015873015873</v>
      </c>
      <c r="J163" s="1">
        <v>1.0</v>
      </c>
    </row>
    <row r="164" ht="22.5" customHeight="1">
      <c r="A164" s="1" t="s">
        <v>84</v>
      </c>
      <c r="B164" s="1" t="s">
        <v>1073</v>
      </c>
      <c r="C164" s="4" t="s">
        <v>329</v>
      </c>
      <c r="D164" s="218">
        <v>4156962.0</v>
      </c>
      <c r="E164" s="12">
        <v>8002151.850000001</v>
      </c>
      <c r="F164" s="16">
        <v>1.925</v>
      </c>
      <c r="G164" s="233">
        <v>2.3117327566666666E11</v>
      </c>
      <c r="H164" s="65">
        <v>1.6512376833333334E11</v>
      </c>
      <c r="I164" s="233">
        <v>20634.920634920636</v>
      </c>
      <c r="J164" s="1">
        <v>1.0</v>
      </c>
    </row>
    <row r="165" ht="22.5" customHeight="1">
      <c r="A165" s="1" t="s">
        <v>84</v>
      </c>
      <c r="B165" s="1" t="s">
        <v>1073</v>
      </c>
      <c r="C165" s="4" t="s">
        <v>323</v>
      </c>
      <c r="D165" s="225">
        <v>2808911.0</v>
      </c>
      <c r="E165" s="25">
        <v>3.3524352785E7</v>
      </c>
      <c r="F165" s="16">
        <v>11.935</v>
      </c>
      <c r="G165" s="230">
        <v>2.3299425185575003E11</v>
      </c>
      <c r="H165" s="65">
        <v>5.547482187041667E10</v>
      </c>
      <c r="I165" s="230">
        <v>1654.7619047619048</v>
      </c>
      <c r="J165" s="1">
        <v>1.0</v>
      </c>
    </row>
    <row r="166" ht="22.5" customHeight="1">
      <c r="A166" s="1" t="s">
        <v>84</v>
      </c>
      <c r="B166" s="1" t="s">
        <v>1073</v>
      </c>
      <c r="C166" s="4" t="s">
        <v>549</v>
      </c>
      <c r="D166" s="223">
        <v>2660845.0</v>
      </c>
      <c r="E166" s="32">
        <v>2048850.6500000001</v>
      </c>
      <c r="F166" s="16">
        <v>0.77</v>
      </c>
      <c r="G166" s="233">
        <v>6.198504948625001E10</v>
      </c>
      <c r="H166" s="65">
        <v>4.8050425958333336E10</v>
      </c>
      <c r="I166" s="233">
        <v>23452.38095238095</v>
      </c>
      <c r="J166" s="1">
        <v>1.0</v>
      </c>
    </row>
    <row r="167" ht="22.5" customHeight="1">
      <c r="A167" s="1" t="s">
        <v>84</v>
      </c>
      <c r="B167" s="1" t="s">
        <v>1073</v>
      </c>
      <c r="C167" s="4" t="s">
        <v>141</v>
      </c>
      <c r="D167" s="221">
        <v>2445136.0</v>
      </c>
      <c r="E167" s="36">
        <v>2.918269816E7</v>
      </c>
      <c r="F167" s="219">
        <v>11.935</v>
      </c>
      <c r="G167" s="233">
        <v>5.452300772893333E11</v>
      </c>
      <c r="H167" s="65">
        <v>4.099474265333333E11</v>
      </c>
      <c r="I167" s="233">
        <v>14047.619047619048</v>
      </c>
      <c r="J167" s="1">
        <v>1.0</v>
      </c>
    </row>
    <row r="168" ht="22.5" customHeight="1">
      <c r="A168" s="1" t="s">
        <v>84</v>
      </c>
      <c r="B168" s="1" t="s">
        <v>1073</v>
      </c>
      <c r="C168" s="4" t="s">
        <v>1004</v>
      </c>
      <c r="D168" s="223">
        <v>1836884.0</v>
      </c>
      <c r="E168" s="32">
        <v>1441953.94</v>
      </c>
      <c r="F168" s="219">
        <v>0.785</v>
      </c>
      <c r="G168" s="230">
        <v>5.467408689166666E8</v>
      </c>
      <c r="H168" s="65">
        <v>2.231595383333333E8</v>
      </c>
      <c r="I168" s="230">
        <v>154.76190476190476</v>
      </c>
      <c r="J168" s="1">
        <v>1.0</v>
      </c>
    </row>
    <row r="169" ht="22.5" customHeight="1">
      <c r="A169" s="1" t="s">
        <v>84</v>
      </c>
      <c r="B169" s="1" t="s">
        <v>1074</v>
      </c>
      <c r="C169" s="4" t="s">
        <v>106</v>
      </c>
      <c r="D169" s="221">
        <v>1193527.0</v>
      </c>
      <c r="E169" s="36">
        <v>5.330291581999999E7</v>
      </c>
      <c r="F169" s="219">
        <v>44.66</v>
      </c>
      <c r="G169" s="233">
        <v>9.96030852295833E11</v>
      </c>
      <c r="H169" s="65">
        <v>5.3937474341666656E11</v>
      </c>
      <c r="I169" s="233">
        <v>10119.047619047618</v>
      </c>
      <c r="J169" s="1">
        <v>1.0</v>
      </c>
    </row>
    <row r="170" ht="22.5" customHeight="1">
      <c r="A170" s="1" t="s">
        <v>84</v>
      </c>
      <c r="B170" s="1" t="s">
        <v>1074</v>
      </c>
      <c r="C170" s="213" t="s">
        <v>171</v>
      </c>
      <c r="D170" s="223">
        <v>663041.0</v>
      </c>
      <c r="E170" s="32">
        <v>1.4397272273999998E8</v>
      </c>
      <c r="F170" s="16">
        <v>217.14</v>
      </c>
      <c r="G170" s="230">
        <v>1.9508303931269998E12</v>
      </c>
      <c r="H170" s="65">
        <v>7.198636136999999E11</v>
      </c>
      <c r="I170" s="230">
        <v>5000.0</v>
      </c>
      <c r="J170" s="1">
        <v>1.0</v>
      </c>
    </row>
    <row r="171" ht="22.5" customHeight="1">
      <c r="A171" s="1" t="s">
        <v>84</v>
      </c>
      <c r="B171" s="1" t="s">
        <v>1074</v>
      </c>
      <c r="C171" s="213" t="s">
        <v>305</v>
      </c>
      <c r="D171" s="221">
        <v>522616.0</v>
      </c>
      <c r="E171" s="36">
        <v>9.094563632000001E7</v>
      </c>
      <c r="F171" s="219">
        <v>174.02</v>
      </c>
      <c r="G171" s="236">
        <v>5.867798019551111E11</v>
      </c>
      <c r="H171" s="65">
        <v>1.6529008505777777E11</v>
      </c>
      <c r="I171" s="236">
        <v>1817.4603174603174</v>
      </c>
      <c r="J171" s="1">
        <v>1.0</v>
      </c>
    </row>
    <row r="172" ht="22.5" customHeight="1">
      <c r="A172" s="1" t="s">
        <v>84</v>
      </c>
      <c r="B172" s="1" t="s">
        <v>1074</v>
      </c>
      <c r="C172" s="213" t="s">
        <v>100</v>
      </c>
      <c r="D172" s="241">
        <v>422225.0</v>
      </c>
      <c r="E172" s="12">
        <v>6.226552075E7</v>
      </c>
      <c r="F172" s="219">
        <v>147.47</v>
      </c>
      <c r="G172" s="236">
        <v>1.16592187604375E12</v>
      </c>
      <c r="H172" s="65">
        <v>7.931441333630952E11</v>
      </c>
      <c r="I172" s="236">
        <v>12738.095238095239</v>
      </c>
      <c r="J172" s="1">
        <v>1.0</v>
      </c>
    </row>
    <row r="173" ht="22.5" customHeight="1">
      <c r="A173" s="1" t="s">
        <v>84</v>
      </c>
      <c r="B173" s="1" t="s">
        <v>1074</v>
      </c>
      <c r="C173" s="213" t="s">
        <v>241</v>
      </c>
      <c r="D173" s="225">
        <v>168631.0</v>
      </c>
      <c r="E173" s="25">
        <v>2.071294573E7</v>
      </c>
      <c r="F173" s="219">
        <v>122.83</v>
      </c>
      <c r="G173" s="236">
        <v>6.336188731881904E11</v>
      </c>
      <c r="H173" s="65">
        <v>4.8001429786984125E11</v>
      </c>
      <c r="I173" s="236">
        <v>23174.603174603173</v>
      </c>
      <c r="J173" s="1">
        <v>1.0</v>
      </c>
    </row>
    <row r="174" ht="22.5" customHeight="1">
      <c r="A174" s="242"/>
      <c r="B174" s="242"/>
      <c r="C174" s="6"/>
      <c r="D174" s="243"/>
      <c r="E174" s="67"/>
      <c r="F174" s="69"/>
      <c r="G174" s="236"/>
      <c r="H174" s="65"/>
      <c r="I174" s="236"/>
      <c r="J174" s="242"/>
    </row>
    <row r="175" ht="22.5" customHeight="1">
      <c r="A175" s="244"/>
      <c r="B175" s="242"/>
      <c r="C175" s="6"/>
      <c r="D175" s="245"/>
      <c r="E175" s="246"/>
      <c r="F175" s="16"/>
      <c r="G175" s="236"/>
      <c r="H175" s="65"/>
      <c r="I175" s="236"/>
      <c r="J175" s="242"/>
    </row>
    <row r="176" ht="22.5" customHeight="1">
      <c r="A176" s="213"/>
      <c r="B176" s="242"/>
      <c r="C176" s="6"/>
      <c r="D176" s="247"/>
      <c r="E176" s="248"/>
      <c r="F176" s="4"/>
      <c r="G176" s="236"/>
      <c r="H176" s="65"/>
      <c r="I176" s="236"/>
      <c r="J176" s="242"/>
    </row>
    <row r="177" ht="22.5" customHeight="1">
      <c r="A177" s="213"/>
      <c r="B177" s="242"/>
      <c r="C177" s="6"/>
      <c r="D177" s="247"/>
      <c r="E177" s="248"/>
      <c r="F177" s="4"/>
      <c r="G177" s="236"/>
      <c r="H177" s="65"/>
      <c r="I177" s="236"/>
      <c r="J177" s="242"/>
    </row>
    <row r="178" ht="22.5" customHeight="1">
      <c r="A178" s="249"/>
      <c r="B178" s="242"/>
      <c r="C178" s="4"/>
      <c r="D178" s="247"/>
      <c r="E178" s="248"/>
      <c r="F178" s="4"/>
      <c r="G178" s="236"/>
      <c r="H178" s="65"/>
      <c r="I178" s="236"/>
      <c r="J178" s="242"/>
    </row>
    <row r="179" ht="22.5" customHeight="1">
      <c r="A179" s="213"/>
      <c r="B179" s="242"/>
      <c r="C179" s="4"/>
      <c r="D179" s="247"/>
      <c r="E179" s="248"/>
      <c r="F179" s="4"/>
      <c r="G179" s="236"/>
      <c r="H179" s="65"/>
      <c r="I179" s="236"/>
      <c r="J179" s="242"/>
    </row>
    <row r="180" ht="22.5" customHeight="1">
      <c r="A180" s="213"/>
      <c r="B180" s="242"/>
      <c r="C180" s="4"/>
      <c r="D180" s="247"/>
      <c r="E180" s="248"/>
      <c r="F180" s="4"/>
      <c r="G180" s="236"/>
      <c r="H180" s="65"/>
      <c r="I180" s="236"/>
      <c r="J180" s="242"/>
    </row>
    <row r="181" ht="22.5" customHeight="1">
      <c r="A181" s="213"/>
      <c r="B181" s="242"/>
      <c r="C181" s="4"/>
      <c r="D181" s="247"/>
      <c r="E181" s="248"/>
      <c r="F181" s="4"/>
      <c r="G181" s="236"/>
      <c r="H181" s="65"/>
      <c r="I181" s="236"/>
      <c r="J181" s="242"/>
    </row>
    <row r="182" ht="22.5" customHeight="1">
      <c r="A182" s="213"/>
      <c r="B182" s="242"/>
      <c r="C182" s="4"/>
      <c r="D182" s="247"/>
      <c r="E182" s="248"/>
      <c r="F182" s="4"/>
      <c r="G182" s="236"/>
      <c r="H182" s="65"/>
      <c r="I182" s="236"/>
      <c r="J182" s="242"/>
    </row>
    <row r="183" ht="22.5" customHeight="1">
      <c r="A183" s="213"/>
      <c r="B183" s="242"/>
      <c r="C183" s="4"/>
      <c r="D183" s="247"/>
      <c r="E183" s="248"/>
      <c r="F183" s="4"/>
      <c r="G183" s="236"/>
      <c r="H183" s="65"/>
      <c r="I183" s="236"/>
      <c r="J183" s="242"/>
    </row>
    <row r="184" ht="22.5" customHeight="1">
      <c r="A184" s="213"/>
      <c r="B184" s="242"/>
      <c r="C184" s="4"/>
      <c r="D184" s="247"/>
      <c r="E184" s="248"/>
      <c r="F184" s="4"/>
      <c r="G184" s="236"/>
      <c r="H184" s="65"/>
      <c r="I184" s="236"/>
      <c r="J184" s="242"/>
    </row>
    <row r="185" ht="22.5" customHeight="1">
      <c r="A185" s="213"/>
      <c r="B185" s="242"/>
      <c r="C185" s="4"/>
      <c r="D185" s="247"/>
      <c r="E185" s="248"/>
      <c r="F185" s="4"/>
      <c r="G185" s="236"/>
      <c r="H185" s="65"/>
      <c r="I185" s="236"/>
      <c r="J185" s="242"/>
    </row>
    <row r="186" ht="22.5" customHeight="1">
      <c r="A186" s="242"/>
      <c r="B186" s="242"/>
      <c r="C186" s="247"/>
      <c r="D186" s="22"/>
      <c r="E186" s="2" t="s">
        <v>1</v>
      </c>
      <c r="F186" s="5" t="s">
        <v>9</v>
      </c>
      <c r="G186" s="250"/>
      <c r="H186" s="251"/>
      <c r="I186" s="236"/>
      <c r="J186" s="242"/>
    </row>
    <row r="187" ht="22.5" customHeight="1">
      <c r="A187" s="242"/>
      <c r="B187" s="242"/>
      <c r="C187" s="247"/>
      <c r="D187" s="247"/>
      <c r="E187" s="12">
        <v>1.120325637E7</v>
      </c>
      <c r="F187" s="219">
        <v>28.874</v>
      </c>
      <c r="G187" s="250"/>
      <c r="H187" s="251"/>
      <c r="I187" s="236"/>
      <c r="J187" s="242"/>
    </row>
    <row r="188" ht="22.5" customHeight="1">
      <c r="A188" s="242"/>
      <c r="B188" s="242"/>
      <c r="C188" s="247"/>
      <c r="D188" s="247"/>
      <c r="E188" s="25">
        <v>1.4469041128E7</v>
      </c>
      <c r="F188" s="219">
        <v>109.727</v>
      </c>
      <c r="G188" s="250"/>
      <c r="H188" s="251"/>
      <c r="I188" s="236"/>
      <c r="J188" s="242"/>
    </row>
    <row r="189" ht="22.5" customHeight="1">
      <c r="A189" s="242"/>
      <c r="B189" s="242"/>
      <c r="C189" s="247"/>
      <c r="D189" s="247"/>
      <c r="E189" s="12">
        <v>1405386.7674</v>
      </c>
      <c r="F189" s="219">
        <v>55.0506</v>
      </c>
      <c r="G189" s="250"/>
      <c r="H189" s="251"/>
      <c r="I189" s="236"/>
      <c r="J189" s="242"/>
    </row>
    <row r="190" ht="22.5" customHeight="1">
      <c r="A190" s="242"/>
      <c r="B190" s="242"/>
      <c r="C190" s="247"/>
      <c r="D190" s="247"/>
      <c r="E190" s="25">
        <v>2.071294573E7</v>
      </c>
      <c r="F190" s="219">
        <v>122.83</v>
      </c>
      <c r="G190" s="250"/>
      <c r="H190" s="251"/>
      <c r="I190" s="236"/>
      <c r="J190" s="242"/>
    </row>
    <row r="191" ht="22.5" customHeight="1">
      <c r="A191" s="242"/>
      <c r="B191" s="242"/>
      <c r="C191" s="247"/>
      <c r="D191" s="247"/>
      <c r="E191" s="12">
        <v>2236563.3645</v>
      </c>
      <c r="F191" s="219">
        <v>6.1605</v>
      </c>
      <c r="G191" s="250"/>
      <c r="H191" s="251"/>
      <c r="I191" s="236"/>
      <c r="J191" s="242"/>
    </row>
    <row r="192" ht="22.5" customHeight="1">
      <c r="A192" s="242"/>
      <c r="B192" s="242"/>
      <c r="C192" s="247"/>
      <c r="D192" s="247"/>
      <c r="E192" s="25">
        <v>3146472.56</v>
      </c>
      <c r="F192" s="219">
        <v>1.54</v>
      </c>
      <c r="G192" s="250"/>
      <c r="H192" s="251"/>
      <c r="I192" s="236"/>
      <c r="J192" s="242"/>
    </row>
    <row r="193" ht="22.5" customHeight="1">
      <c r="A193" s="242"/>
      <c r="B193" s="242"/>
      <c r="C193" s="247"/>
      <c r="D193" s="247"/>
      <c r="E193" s="12">
        <v>2.176859685E7</v>
      </c>
      <c r="F193" s="219">
        <v>43.505</v>
      </c>
      <c r="G193" s="250"/>
      <c r="H193" s="251"/>
      <c r="I193" s="236"/>
      <c r="J193" s="242"/>
    </row>
    <row r="194" ht="22.5" customHeight="1">
      <c r="A194" s="242"/>
      <c r="B194" s="242"/>
      <c r="C194" s="247"/>
      <c r="D194" s="247"/>
      <c r="E194" s="25">
        <v>376608.94920000003</v>
      </c>
      <c r="F194" s="219">
        <v>10.3938</v>
      </c>
      <c r="G194" s="250"/>
      <c r="H194" s="251"/>
      <c r="I194" s="236"/>
      <c r="J194" s="242"/>
    </row>
    <row r="195" ht="22.5" customHeight="1">
      <c r="A195" s="242"/>
      <c r="B195" s="242"/>
      <c r="C195" s="247"/>
      <c r="D195" s="247"/>
      <c r="E195" s="12">
        <v>6585929.990999999</v>
      </c>
      <c r="F195" s="219">
        <v>11.9346</v>
      </c>
      <c r="G195" s="250"/>
      <c r="H195" s="251"/>
      <c r="I195" s="236"/>
      <c r="J195" s="242"/>
    </row>
    <row r="196" ht="22.5" customHeight="1">
      <c r="A196" s="242"/>
      <c r="B196" s="242"/>
      <c r="C196" s="247"/>
      <c r="D196" s="247"/>
      <c r="E196" s="25">
        <v>5.790874372060001E8</v>
      </c>
      <c r="F196" s="219">
        <v>98.918</v>
      </c>
      <c r="G196" s="250"/>
      <c r="H196" s="251"/>
      <c r="I196" s="236"/>
      <c r="J196" s="242"/>
    </row>
    <row r="197" ht="22.5" customHeight="1">
      <c r="A197" s="242"/>
      <c r="B197" s="242"/>
      <c r="C197" s="247"/>
      <c r="D197" s="247"/>
      <c r="E197" s="12">
        <v>6.226552075E7</v>
      </c>
      <c r="F197" s="219">
        <v>147.47</v>
      </c>
      <c r="G197" s="250"/>
      <c r="H197" s="251"/>
      <c r="I197" s="236"/>
      <c r="J197" s="242"/>
    </row>
    <row r="198" ht="22.5" customHeight="1">
      <c r="A198" s="242"/>
      <c r="B198" s="242"/>
      <c r="C198" s="247"/>
      <c r="D198" s="247"/>
      <c r="E198" s="25">
        <v>4.42771940696E7</v>
      </c>
      <c r="F198" s="219">
        <v>83.5496</v>
      </c>
      <c r="G198" s="250"/>
      <c r="H198" s="251"/>
      <c r="I198" s="236"/>
      <c r="J198" s="242"/>
    </row>
    <row r="199" ht="22.5" customHeight="1">
      <c r="A199" s="242"/>
      <c r="B199" s="242"/>
      <c r="C199" s="247"/>
      <c r="D199" s="247"/>
      <c r="E199" s="12">
        <v>1638021.0</v>
      </c>
      <c r="F199" s="219">
        <v>107.8</v>
      </c>
      <c r="G199" s="250"/>
      <c r="H199" s="251"/>
      <c r="I199" s="236"/>
      <c r="J199" s="242"/>
    </row>
    <row r="200" ht="22.5" customHeight="1">
      <c r="A200" s="242"/>
      <c r="B200" s="242"/>
      <c r="C200" s="247"/>
      <c r="D200" s="247"/>
      <c r="E200" s="25">
        <v>9106538.713</v>
      </c>
      <c r="F200" s="219">
        <v>16.1605</v>
      </c>
      <c r="G200" s="250"/>
      <c r="H200" s="251"/>
      <c r="I200" s="236"/>
      <c r="J200" s="242"/>
    </row>
    <row r="201" ht="22.5" customHeight="1">
      <c r="A201" s="242"/>
      <c r="B201" s="242"/>
      <c r="C201" s="247"/>
      <c r="D201" s="247"/>
      <c r="E201" s="12">
        <v>2.73325206E7</v>
      </c>
      <c r="F201" s="219">
        <v>46.2</v>
      </c>
      <c r="G201" s="250"/>
      <c r="H201" s="251"/>
      <c r="I201" s="236"/>
      <c r="J201" s="242"/>
    </row>
    <row r="202" ht="22.5" customHeight="1">
      <c r="A202" s="242"/>
      <c r="B202" s="242"/>
      <c r="C202" s="247"/>
      <c r="D202" s="247"/>
      <c r="E202" s="25">
        <v>759042.8369999999</v>
      </c>
      <c r="F202" s="219">
        <v>140.0965</v>
      </c>
      <c r="G202" s="250"/>
      <c r="H202" s="251"/>
      <c r="I202" s="236"/>
      <c r="J202" s="242"/>
    </row>
    <row r="203" ht="22.5" customHeight="1">
      <c r="A203" s="242"/>
      <c r="B203" s="242"/>
      <c r="C203" s="247"/>
      <c r="D203" s="247"/>
      <c r="E203" s="12">
        <v>1.3815052983199999E7</v>
      </c>
      <c r="F203" s="219">
        <v>163.5382</v>
      </c>
      <c r="G203" s="250"/>
      <c r="H203" s="251"/>
      <c r="I203" s="236"/>
      <c r="J203" s="242"/>
    </row>
    <row r="204" ht="22.5" customHeight="1">
      <c r="A204" s="242"/>
      <c r="B204" s="242"/>
      <c r="C204" s="247"/>
      <c r="D204" s="247"/>
      <c r="E204" s="25">
        <v>47933.0675</v>
      </c>
      <c r="F204" s="219">
        <v>36.1759</v>
      </c>
      <c r="G204" s="250"/>
      <c r="H204" s="251"/>
      <c r="I204" s="236"/>
      <c r="J204" s="242"/>
    </row>
    <row r="205" ht="22.5" customHeight="1">
      <c r="A205" s="242"/>
      <c r="B205" s="242"/>
      <c r="C205" s="247"/>
      <c r="D205" s="247"/>
      <c r="E205" s="12">
        <v>945980.451</v>
      </c>
      <c r="F205" s="219">
        <v>449.1835</v>
      </c>
      <c r="G205" s="250"/>
      <c r="H205" s="251"/>
      <c r="I205" s="236"/>
      <c r="J205" s="242"/>
    </row>
    <row r="206" ht="22.5" customHeight="1">
      <c r="A206" s="242"/>
      <c r="B206" s="242"/>
      <c r="C206" s="247"/>
      <c r="D206" s="247"/>
      <c r="E206" s="25">
        <v>3983.8070000000002</v>
      </c>
      <c r="F206" s="219">
        <v>17.3209</v>
      </c>
      <c r="G206" s="250"/>
      <c r="H206" s="251"/>
      <c r="I206" s="236"/>
      <c r="J206" s="242"/>
    </row>
    <row r="207" ht="22.5" customHeight="1">
      <c r="A207" s="242"/>
      <c r="B207" s="242"/>
      <c r="C207" s="247"/>
      <c r="D207" s="247"/>
      <c r="E207" s="12">
        <v>4523612.8124</v>
      </c>
      <c r="F207" s="219">
        <v>47.7406</v>
      </c>
      <c r="G207" s="250"/>
      <c r="H207" s="251"/>
      <c r="I207" s="236"/>
      <c r="J207" s="242"/>
    </row>
    <row r="208" ht="22.5" customHeight="1">
      <c r="A208" s="242"/>
      <c r="B208" s="242"/>
      <c r="C208" s="247"/>
      <c r="D208" s="247"/>
      <c r="E208" s="25">
        <v>8.906013222177E8</v>
      </c>
      <c r="F208" s="219">
        <v>201.0773</v>
      </c>
      <c r="G208" s="250"/>
      <c r="H208" s="251"/>
      <c r="I208" s="236"/>
      <c r="J208" s="242"/>
    </row>
    <row r="209" ht="22.5" customHeight="1">
      <c r="A209" s="242"/>
      <c r="B209" s="242"/>
      <c r="C209" s="247"/>
      <c r="D209" s="247"/>
      <c r="E209" s="12">
        <v>2020940.075</v>
      </c>
      <c r="F209" s="219">
        <v>2.695</v>
      </c>
      <c r="G209" s="250"/>
      <c r="H209" s="251"/>
      <c r="I209" s="236"/>
      <c r="J209" s="242"/>
    </row>
    <row r="210" ht="22.5" customHeight="1">
      <c r="A210" s="242"/>
      <c r="B210" s="242"/>
      <c r="C210" s="247"/>
      <c r="D210" s="247"/>
      <c r="E210" s="25">
        <v>1.9678479769E7</v>
      </c>
      <c r="F210" s="219">
        <v>28.873</v>
      </c>
      <c r="G210" s="250"/>
      <c r="H210" s="251"/>
      <c r="I210" s="236"/>
      <c r="J210" s="242"/>
    </row>
    <row r="211" ht="22.5" customHeight="1">
      <c r="A211" s="242"/>
      <c r="B211" s="242"/>
      <c r="C211" s="247"/>
      <c r="D211" s="247"/>
      <c r="E211" s="12">
        <v>2.918269816E7</v>
      </c>
      <c r="F211" s="219">
        <v>11.935</v>
      </c>
      <c r="G211" s="250"/>
      <c r="H211" s="251"/>
      <c r="I211" s="236"/>
      <c r="J211" s="242"/>
    </row>
    <row r="212" ht="22.5" customHeight="1">
      <c r="A212" s="242"/>
      <c r="B212" s="242"/>
      <c r="C212" s="247"/>
      <c r="D212" s="247"/>
      <c r="E212" s="25">
        <v>3.0642963185999997E7</v>
      </c>
      <c r="F212" s="219">
        <v>40.038</v>
      </c>
      <c r="G212" s="250"/>
      <c r="H212" s="251"/>
      <c r="I212" s="236"/>
      <c r="J212" s="242"/>
    </row>
    <row r="213" ht="22.5" customHeight="1">
      <c r="A213" s="242"/>
      <c r="B213" s="242"/>
      <c r="C213" s="247"/>
      <c r="D213" s="247"/>
      <c r="E213" s="12">
        <v>7438559.464</v>
      </c>
      <c r="F213" s="219">
        <v>44.2666</v>
      </c>
      <c r="G213" s="250"/>
      <c r="H213" s="251"/>
      <c r="I213" s="236"/>
      <c r="J213" s="242"/>
    </row>
    <row r="214" ht="22.5" customHeight="1">
      <c r="A214" s="242"/>
      <c r="B214" s="242"/>
      <c r="C214" s="247"/>
      <c r="D214" s="247"/>
      <c r="E214" s="25">
        <v>9.50014567656E7</v>
      </c>
      <c r="F214" s="219">
        <v>92.3976</v>
      </c>
      <c r="G214" s="250"/>
      <c r="H214" s="251"/>
      <c r="I214" s="236"/>
      <c r="J214" s="242"/>
    </row>
    <row r="215" ht="22.5" customHeight="1">
      <c r="A215" s="242"/>
      <c r="B215" s="242"/>
      <c r="C215" s="247"/>
      <c r="D215" s="247"/>
      <c r="E215" s="12">
        <v>1.3799263854E8</v>
      </c>
      <c r="F215" s="219">
        <v>88.243</v>
      </c>
      <c r="G215" s="250"/>
      <c r="H215" s="251"/>
      <c r="I215" s="236"/>
      <c r="J215" s="242"/>
    </row>
    <row r="216" ht="22.5" customHeight="1">
      <c r="A216" s="242"/>
      <c r="B216" s="242"/>
      <c r="C216" s="247"/>
      <c r="D216" s="247"/>
      <c r="E216" s="25">
        <v>2.9913649997E7</v>
      </c>
      <c r="F216" s="219">
        <v>273.007</v>
      </c>
      <c r="G216" s="250"/>
      <c r="H216" s="251"/>
      <c r="I216" s="236"/>
      <c r="J216" s="242"/>
    </row>
    <row r="217" ht="22.5" customHeight="1">
      <c r="A217" s="242"/>
      <c r="B217" s="242"/>
      <c r="C217" s="247"/>
      <c r="D217" s="247"/>
      <c r="E217" s="12">
        <v>2.9421789862000003E7</v>
      </c>
      <c r="F217" s="219">
        <v>51.206</v>
      </c>
      <c r="G217" s="250"/>
      <c r="H217" s="251"/>
      <c r="I217" s="236"/>
      <c r="J217" s="242"/>
    </row>
    <row r="218" ht="22.5" customHeight="1">
      <c r="A218" s="242"/>
      <c r="B218" s="242"/>
      <c r="C218" s="247"/>
      <c r="D218" s="247"/>
      <c r="E218" s="25">
        <v>5393380.319999999</v>
      </c>
      <c r="F218" s="219">
        <v>41.196</v>
      </c>
      <c r="G218" s="250"/>
      <c r="H218" s="251"/>
      <c r="I218" s="236"/>
      <c r="J218" s="242"/>
    </row>
    <row r="219" ht="22.5" customHeight="1">
      <c r="A219" s="242"/>
      <c r="B219" s="242"/>
      <c r="C219" s="247"/>
      <c r="D219" s="247"/>
      <c r="E219" s="12">
        <v>495291.4</v>
      </c>
      <c r="F219" s="219">
        <v>43.325</v>
      </c>
      <c r="G219" s="250"/>
      <c r="H219" s="251"/>
      <c r="I219" s="236"/>
      <c r="J219" s="242"/>
    </row>
    <row r="220" ht="22.5" customHeight="1">
      <c r="A220" s="242"/>
      <c r="B220" s="242"/>
      <c r="C220" s="247"/>
      <c r="D220" s="247"/>
      <c r="E220" s="25">
        <v>9.0861039758E7</v>
      </c>
      <c r="F220" s="219">
        <v>211.903</v>
      </c>
      <c r="G220" s="250"/>
      <c r="H220" s="251"/>
      <c r="I220" s="236"/>
      <c r="J220" s="242"/>
    </row>
    <row r="221" ht="22.5" customHeight="1">
      <c r="A221" s="242"/>
      <c r="B221" s="242"/>
      <c r="C221" s="247"/>
      <c r="D221" s="247"/>
      <c r="E221" s="12">
        <v>51690.1</v>
      </c>
      <c r="F221" s="219">
        <v>94.325</v>
      </c>
      <c r="G221" s="250"/>
      <c r="H221" s="251"/>
      <c r="I221" s="236"/>
      <c r="J221" s="242"/>
    </row>
    <row r="222" ht="22.5" customHeight="1">
      <c r="A222" s="242"/>
      <c r="B222" s="242"/>
      <c r="C222" s="247"/>
      <c r="D222" s="247"/>
      <c r="E222" s="25">
        <v>4070554.9370000004</v>
      </c>
      <c r="F222" s="219">
        <v>32.3278</v>
      </c>
      <c r="G222" s="250"/>
      <c r="H222" s="251"/>
      <c r="I222" s="236"/>
      <c r="J222" s="242"/>
    </row>
    <row r="223" ht="22.5" customHeight="1">
      <c r="A223" s="242"/>
      <c r="B223" s="242"/>
      <c r="C223" s="247"/>
      <c r="D223" s="247"/>
      <c r="E223" s="12">
        <v>9.094563632000001E7</v>
      </c>
      <c r="F223" s="219">
        <v>174.02</v>
      </c>
      <c r="G223" s="250"/>
      <c r="H223" s="251"/>
      <c r="I223" s="236"/>
      <c r="J223" s="242"/>
    </row>
    <row r="224" ht="22.5" customHeight="1">
      <c r="A224" s="242"/>
      <c r="B224" s="242"/>
      <c r="C224" s="247"/>
      <c r="D224" s="247"/>
      <c r="E224" s="25">
        <v>2.60844815693E8</v>
      </c>
      <c r="F224" s="219">
        <v>35.873</v>
      </c>
      <c r="G224" s="250"/>
      <c r="H224" s="251"/>
      <c r="I224" s="236"/>
      <c r="J224" s="242"/>
    </row>
    <row r="225" ht="22.5" customHeight="1">
      <c r="A225" s="242"/>
      <c r="B225" s="242"/>
      <c r="C225" s="247"/>
      <c r="D225" s="247"/>
      <c r="E225" s="12">
        <v>7.46674465574E7</v>
      </c>
      <c r="F225" s="219">
        <v>40.0399</v>
      </c>
      <c r="G225" s="250"/>
      <c r="H225" s="251"/>
      <c r="I225" s="236"/>
      <c r="J225" s="242"/>
    </row>
    <row r="226" ht="22.5" customHeight="1">
      <c r="A226" s="242"/>
      <c r="B226" s="242"/>
      <c r="C226" s="247"/>
      <c r="D226" s="247"/>
      <c r="E226" s="25">
        <v>2.1374692152E7</v>
      </c>
      <c r="F226" s="219">
        <v>8.4667</v>
      </c>
      <c r="G226" s="250"/>
      <c r="H226" s="251"/>
      <c r="I226" s="236"/>
      <c r="J226" s="242"/>
    </row>
    <row r="227" ht="22.5" customHeight="1">
      <c r="A227" s="242"/>
      <c r="B227" s="242"/>
      <c r="C227" s="247"/>
      <c r="D227" s="247"/>
      <c r="E227" s="12">
        <v>2.50836737476E7</v>
      </c>
      <c r="F227" s="219">
        <v>55.4426</v>
      </c>
      <c r="G227" s="250"/>
      <c r="H227" s="251"/>
      <c r="I227" s="236"/>
      <c r="J227" s="242"/>
    </row>
    <row r="228" ht="22.5" customHeight="1">
      <c r="A228" s="242"/>
      <c r="B228" s="242"/>
      <c r="C228" s="247"/>
      <c r="D228" s="247"/>
      <c r="E228" s="25">
        <v>1441953.94</v>
      </c>
      <c r="F228" s="219">
        <v>0.785</v>
      </c>
      <c r="G228" s="250"/>
      <c r="H228" s="251"/>
      <c r="I228" s="236"/>
      <c r="J228" s="242"/>
    </row>
    <row r="229" ht="22.5" customHeight="1">
      <c r="A229" s="242"/>
      <c r="B229" s="242"/>
      <c r="C229" s="247"/>
      <c r="D229" s="247"/>
      <c r="E229" s="12">
        <v>7849449.683999999</v>
      </c>
      <c r="F229" s="219">
        <v>34.266</v>
      </c>
      <c r="G229" s="250"/>
      <c r="H229" s="251"/>
      <c r="I229" s="236"/>
      <c r="J229" s="242"/>
    </row>
    <row r="230" ht="22.5" customHeight="1">
      <c r="A230" s="242"/>
      <c r="B230" s="242"/>
      <c r="C230" s="247"/>
      <c r="D230" s="247"/>
      <c r="E230" s="25">
        <v>1.2299327766E7</v>
      </c>
      <c r="F230" s="219">
        <v>57.366</v>
      </c>
      <c r="G230" s="250"/>
      <c r="H230" s="251"/>
      <c r="I230" s="236"/>
      <c r="J230" s="242"/>
    </row>
    <row r="231" ht="22.5" customHeight="1">
      <c r="A231" s="242"/>
      <c r="B231" s="242"/>
      <c r="C231" s="247"/>
      <c r="D231" s="247"/>
      <c r="E231" s="12">
        <v>3.1745420389999997E7</v>
      </c>
      <c r="F231" s="219">
        <v>72.005</v>
      </c>
      <c r="G231" s="250"/>
      <c r="H231" s="251"/>
      <c r="I231" s="236"/>
      <c r="J231" s="242"/>
    </row>
    <row r="232" ht="22.5" customHeight="1">
      <c r="A232" s="242"/>
      <c r="B232" s="242"/>
      <c r="C232" s="247"/>
      <c r="D232" s="247"/>
      <c r="E232" s="25">
        <v>4620319.75</v>
      </c>
      <c r="F232" s="219">
        <v>35.0356</v>
      </c>
      <c r="G232" s="250"/>
      <c r="H232" s="251"/>
      <c r="I232" s="236"/>
      <c r="J232" s="242"/>
    </row>
    <row r="233" ht="22.5" customHeight="1">
      <c r="A233" s="242"/>
      <c r="B233" s="242"/>
      <c r="C233" s="247"/>
      <c r="D233" s="247"/>
      <c r="E233" s="12">
        <v>7181169.023999999</v>
      </c>
      <c r="F233" s="219">
        <v>71.996</v>
      </c>
      <c r="G233" s="250"/>
      <c r="H233" s="251"/>
      <c r="I233" s="236"/>
      <c r="J233" s="242"/>
    </row>
    <row r="234" ht="22.5" customHeight="1">
      <c r="A234" s="242"/>
      <c r="B234" s="242"/>
      <c r="C234" s="247"/>
      <c r="D234" s="247"/>
      <c r="E234" s="36">
        <v>9533899.7226</v>
      </c>
      <c r="F234" s="219">
        <v>2.7099</v>
      </c>
      <c r="G234" s="250"/>
      <c r="H234" s="251"/>
      <c r="I234" s="236"/>
      <c r="J234" s="242"/>
    </row>
    <row r="235" ht="22.5" customHeight="1">
      <c r="A235" s="242"/>
      <c r="B235" s="242"/>
      <c r="C235" s="247"/>
      <c r="D235" s="247"/>
      <c r="E235" s="32">
        <v>1.60573973472E7</v>
      </c>
      <c r="F235" s="219">
        <v>66.6072</v>
      </c>
      <c r="G235" s="250"/>
      <c r="H235" s="251"/>
      <c r="I235" s="236"/>
      <c r="J235" s="242"/>
    </row>
    <row r="236" ht="22.5" customHeight="1">
      <c r="A236" s="242"/>
      <c r="B236" s="242"/>
      <c r="C236" s="247"/>
      <c r="D236" s="247"/>
      <c r="E236" s="25">
        <v>1.5795087263200002E7</v>
      </c>
      <c r="F236" s="219">
        <v>8.8549</v>
      </c>
      <c r="G236" s="250"/>
      <c r="H236" s="251"/>
      <c r="I236" s="236"/>
      <c r="J236" s="242"/>
    </row>
    <row r="237" ht="22.5" customHeight="1">
      <c r="A237" s="242"/>
      <c r="B237" s="242"/>
      <c r="C237" s="247"/>
      <c r="D237" s="247"/>
      <c r="E237" s="12">
        <v>3347590.2158999997</v>
      </c>
      <c r="F237" s="219">
        <v>16.5551</v>
      </c>
      <c r="G237" s="250"/>
      <c r="H237" s="251"/>
      <c r="I237" s="236"/>
      <c r="J237" s="242"/>
    </row>
    <row r="238" ht="22.5" customHeight="1">
      <c r="A238" s="242"/>
      <c r="B238" s="242"/>
      <c r="C238" s="247"/>
      <c r="D238" s="247"/>
      <c r="E238" s="25">
        <v>833491.136</v>
      </c>
      <c r="F238" s="219">
        <v>97.0304</v>
      </c>
      <c r="G238" s="250"/>
      <c r="H238" s="251"/>
      <c r="I238" s="236"/>
      <c r="J238" s="242"/>
    </row>
    <row r="239" ht="22.5" customHeight="1">
      <c r="A239" s="242"/>
      <c r="B239" s="242"/>
      <c r="C239" s="247"/>
      <c r="D239" s="247"/>
      <c r="E239" s="12">
        <v>1.70791159476E7</v>
      </c>
      <c r="F239" s="219">
        <v>23.0924</v>
      </c>
      <c r="G239" s="250"/>
      <c r="H239" s="251"/>
      <c r="I239" s="236"/>
      <c r="J239" s="242"/>
    </row>
    <row r="240" ht="22.5" customHeight="1">
      <c r="A240" s="242"/>
      <c r="B240" s="242"/>
      <c r="C240" s="247"/>
      <c r="D240" s="247"/>
      <c r="E240" s="25">
        <v>2.0605956264E7</v>
      </c>
      <c r="F240" s="219">
        <v>61.596</v>
      </c>
      <c r="G240" s="250"/>
      <c r="H240" s="251"/>
      <c r="I240" s="236"/>
      <c r="J240" s="242"/>
    </row>
    <row r="241" ht="22.5" customHeight="1">
      <c r="A241" s="242"/>
      <c r="B241" s="242"/>
      <c r="C241" s="247"/>
      <c r="D241" s="247"/>
      <c r="E241" s="12">
        <v>239091.7217</v>
      </c>
      <c r="F241" s="16">
        <v>61.6057</v>
      </c>
      <c r="G241" s="250"/>
      <c r="H241" s="251"/>
      <c r="I241" s="236"/>
      <c r="J241" s="242"/>
    </row>
    <row r="242" ht="22.5" customHeight="1">
      <c r="A242" s="242"/>
      <c r="B242" s="242"/>
      <c r="C242" s="247"/>
      <c r="D242" s="247"/>
      <c r="E242" s="25">
        <v>2.2833760391999997E7</v>
      </c>
      <c r="F242" s="16">
        <v>61.596</v>
      </c>
      <c r="G242" s="250"/>
      <c r="H242" s="251"/>
      <c r="I242" s="236"/>
      <c r="J242" s="242"/>
    </row>
    <row r="243" ht="22.5" customHeight="1">
      <c r="A243" s="242"/>
      <c r="B243" s="242"/>
      <c r="C243" s="247"/>
      <c r="D243" s="247"/>
      <c r="E243" s="12">
        <v>1724423.085</v>
      </c>
      <c r="F243" s="16">
        <v>11.165</v>
      </c>
      <c r="G243" s="250"/>
      <c r="H243" s="251"/>
      <c r="I243" s="236"/>
      <c r="J243" s="242"/>
    </row>
    <row r="244" ht="22.5" customHeight="1">
      <c r="A244" s="242"/>
      <c r="B244" s="242"/>
      <c r="C244" s="247"/>
      <c r="D244" s="247"/>
      <c r="E244" s="25">
        <v>1.510509E7</v>
      </c>
      <c r="F244" s="16">
        <v>46.2</v>
      </c>
      <c r="G244" s="250"/>
      <c r="H244" s="251"/>
      <c r="I244" s="236"/>
      <c r="J244" s="242"/>
    </row>
    <row r="245" ht="22.5" customHeight="1">
      <c r="A245" s="242"/>
      <c r="B245" s="242"/>
      <c r="C245" s="247"/>
      <c r="D245" s="247"/>
      <c r="E245" s="12">
        <v>8002151.850000001</v>
      </c>
      <c r="F245" s="16">
        <v>1.925</v>
      </c>
      <c r="G245" s="250"/>
      <c r="H245" s="251"/>
      <c r="I245" s="236"/>
      <c r="J245" s="242"/>
    </row>
    <row r="246" ht="22.5" customHeight="1">
      <c r="A246" s="242"/>
      <c r="B246" s="242"/>
      <c r="C246" s="247"/>
      <c r="D246" s="247"/>
      <c r="E246" s="25">
        <v>6257139.7964</v>
      </c>
      <c r="F246" s="16">
        <v>11.5462</v>
      </c>
      <c r="G246" s="250"/>
      <c r="H246" s="251"/>
      <c r="I246" s="236"/>
      <c r="J246" s="242"/>
    </row>
    <row r="247" ht="22.5" customHeight="1">
      <c r="A247" s="242"/>
      <c r="B247" s="242"/>
      <c r="C247" s="247"/>
      <c r="D247" s="247"/>
      <c r="E247" s="12">
        <v>3103321.7600000002</v>
      </c>
      <c r="F247" s="16">
        <v>1.54</v>
      </c>
      <c r="G247" s="250"/>
      <c r="H247" s="251"/>
      <c r="I247" s="236"/>
      <c r="J247" s="242"/>
    </row>
    <row r="248" ht="22.5" customHeight="1">
      <c r="A248" s="242"/>
      <c r="B248" s="242"/>
      <c r="C248" s="247"/>
      <c r="D248" s="247"/>
      <c r="E248" s="25">
        <v>3254988.167</v>
      </c>
      <c r="F248" s="16">
        <v>118.187</v>
      </c>
      <c r="G248" s="250"/>
      <c r="H248" s="251"/>
      <c r="I248" s="236"/>
      <c r="J248" s="242"/>
    </row>
    <row r="249" ht="22.5" customHeight="1">
      <c r="A249" s="242"/>
      <c r="B249" s="242"/>
      <c r="C249" s="247"/>
      <c r="D249" s="247"/>
      <c r="E249" s="12">
        <v>2.3647556921280003E8</v>
      </c>
      <c r="F249" s="16">
        <v>79.7716</v>
      </c>
      <c r="G249" s="250"/>
      <c r="H249" s="251"/>
      <c r="I249" s="236"/>
      <c r="J249" s="242"/>
    </row>
    <row r="250" ht="22.5" customHeight="1">
      <c r="A250" s="242"/>
      <c r="B250" s="242"/>
      <c r="C250" s="247"/>
      <c r="D250" s="247"/>
      <c r="E250" s="25">
        <v>2051969.92</v>
      </c>
      <c r="F250" s="16">
        <v>5.005</v>
      </c>
      <c r="G250" s="250"/>
      <c r="H250" s="251"/>
      <c r="I250" s="236"/>
      <c r="J250" s="242"/>
    </row>
    <row r="251" ht="22.5" customHeight="1">
      <c r="A251" s="242"/>
      <c r="B251" s="242"/>
      <c r="C251" s="247"/>
      <c r="D251" s="247"/>
      <c r="E251" s="12">
        <v>3.6356117204E7</v>
      </c>
      <c r="F251" s="16">
        <v>74.302</v>
      </c>
      <c r="G251" s="250"/>
      <c r="H251" s="251"/>
      <c r="I251" s="236"/>
      <c r="J251" s="242"/>
    </row>
    <row r="252" ht="22.5" customHeight="1">
      <c r="A252" s="242"/>
      <c r="B252" s="242"/>
      <c r="C252" s="247"/>
      <c r="D252" s="247"/>
      <c r="E252" s="25">
        <v>1.2783095325E7</v>
      </c>
      <c r="F252" s="16">
        <v>66.2165</v>
      </c>
      <c r="G252" s="250"/>
      <c r="H252" s="251"/>
      <c r="I252" s="236"/>
      <c r="J252" s="242"/>
    </row>
    <row r="253" ht="22.5" customHeight="1">
      <c r="A253" s="242"/>
      <c r="B253" s="242"/>
      <c r="C253" s="247"/>
      <c r="D253" s="247"/>
      <c r="E253" s="12">
        <v>3.59567980897E7</v>
      </c>
      <c r="F253" s="16">
        <v>143.6221</v>
      </c>
      <c r="G253" s="250"/>
      <c r="H253" s="251"/>
      <c r="I253" s="236"/>
      <c r="J253" s="242"/>
    </row>
    <row r="254" ht="22.5" customHeight="1">
      <c r="A254" s="242"/>
      <c r="B254" s="242"/>
      <c r="C254" s="247"/>
      <c r="D254" s="247"/>
      <c r="E254" s="25">
        <v>37482.060000000005</v>
      </c>
      <c r="F254" s="16">
        <v>14.63</v>
      </c>
      <c r="G254" s="250"/>
      <c r="H254" s="251"/>
      <c r="I254" s="236"/>
      <c r="J254" s="242"/>
    </row>
    <row r="255" ht="22.5" customHeight="1">
      <c r="A255" s="242"/>
      <c r="B255" s="242"/>
      <c r="C255" s="247"/>
      <c r="D255" s="247"/>
      <c r="E255" s="12">
        <v>1.315300448E7</v>
      </c>
      <c r="F255" s="16">
        <v>12.32</v>
      </c>
      <c r="G255" s="250"/>
      <c r="H255" s="251"/>
      <c r="I255" s="236"/>
      <c r="J255" s="242"/>
    </row>
    <row r="256" ht="22.5" customHeight="1">
      <c r="A256" s="242"/>
      <c r="B256" s="242"/>
      <c r="C256" s="247"/>
      <c r="D256" s="247"/>
      <c r="E256" s="25">
        <v>2.2993720484E7</v>
      </c>
      <c r="F256" s="16">
        <v>11.164</v>
      </c>
      <c r="G256" s="250"/>
      <c r="H256" s="251"/>
      <c r="I256" s="236"/>
      <c r="J256" s="242"/>
    </row>
    <row r="257" ht="22.5" customHeight="1">
      <c r="A257" s="242"/>
      <c r="B257" s="242"/>
      <c r="C257" s="247"/>
      <c r="D257" s="247"/>
      <c r="E257" s="12">
        <v>1.2584519639999999E7</v>
      </c>
      <c r="F257" s="16">
        <v>83.16</v>
      </c>
      <c r="G257" s="250"/>
      <c r="H257" s="251"/>
      <c r="I257" s="236"/>
      <c r="J257" s="242"/>
    </row>
    <row r="258" ht="22.5" customHeight="1">
      <c r="A258" s="242"/>
      <c r="B258" s="242"/>
      <c r="C258" s="247"/>
      <c r="D258" s="247"/>
      <c r="E258" s="25">
        <v>4348274.967</v>
      </c>
      <c r="F258" s="16">
        <v>6.543</v>
      </c>
      <c r="G258" s="250"/>
      <c r="H258" s="251"/>
      <c r="I258" s="236"/>
      <c r="J258" s="242"/>
    </row>
    <row r="259" ht="22.5" customHeight="1">
      <c r="A259" s="242"/>
      <c r="B259" s="242"/>
      <c r="C259" s="247"/>
      <c r="D259" s="247"/>
      <c r="E259" s="12">
        <v>820937.425</v>
      </c>
      <c r="F259" s="16">
        <v>1.925</v>
      </c>
      <c r="G259" s="250"/>
      <c r="H259" s="251"/>
      <c r="I259" s="236"/>
      <c r="J259" s="242"/>
    </row>
    <row r="260" ht="22.5" customHeight="1">
      <c r="A260" s="242"/>
      <c r="B260" s="242"/>
      <c r="C260" s="247"/>
      <c r="D260" s="247"/>
      <c r="E260" s="25">
        <v>9164020.859000001</v>
      </c>
      <c r="F260" s="16">
        <v>9.2369</v>
      </c>
      <c r="G260" s="250"/>
      <c r="H260" s="251"/>
      <c r="I260" s="236"/>
      <c r="J260" s="242"/>
    </row>
    <row r="261" ht="22.5" customHeight="1">
      <c r="A261" s="242"/>
      <c r="B261" s="242"/>
      <c r="C261" s="247"/>
      <c r="D261" s="247"/>
      <c r="E261" s="12">
        <v>6524522.109</v>
      </c>
      <c r="F261" s="16">
        <v>4.0803</v>
      </c>
      <c r="G261" s="250"/>
      <c r="H261" s="251"/>
      <c r="I261" s="236"/>
      <c r="J261" s="242"/>
    </row>
    <row r="262" ht="22.5" customHeight="1">
      <c r="A262" s="242"/>
      <c r="B262" s="242"/>
      <c r="C262" s="247"/>
      <c r="D262" s="247"/>
      <c r="E262" s="25">
        <v>2170549.5501</v>
      </c>
      <c r="F262" s="16">
        <v>52.3617</v>
      </c>
      <c r="G262" s="250"/>
      <c r="H262" s="251"/>
      <c r="I262" s="236"/>
      <c r="J262" s="242"/>
    </row>
    <row r="263" ht="22.5" customHeight="1">
      <c r="A263" s="242"/>
      <c r="B263" s="242"/>
      <c r="C263" s="247"/>
      <c r="D263" s="247"/>
      <c r="E263" s="59">
        <v>76045.20000000001</v>
      </c>
      <c r="F263" s="63">
        <v>46.2</v>
      </c>
      <c r="G263" s="236"/>
      <c r="H263" s="251"/>
      <c r="I263" s="236"/>
      <c r="J263" s="242"/>
    </row>
    <row r="264" ht="22.5" customHeight="1">
      <c r="A264" s="242"/>
      <c r="B264" s="242"/>
      <c r="C264" s="247"/>
      <c r="D264" s="247"/>
      <c r="E264" s="25">
        <v>3.64783074648E7</v>
      </c>
      <c r="F264" s="16">
        <v>61.9886</v>
      </c>
      <c r="G264" s="250"/>
      <c r="H264" s="251"/>
      <c r="I264" s="236"/>
      <c r="J264" s="242"/>
    </row>
    <row r="265" ht="22.5" customHeight="1">
      <c r="A265" s="242"/>
      <c r="B265" s="242"/>
      <c r="C265" s="247"/>
      <c r="D265" s="247"/>
      <c r="E265" s="12">
        <v>8.1313729316E7</v>
      </c>
      <c r="F265" s="219">
        <v>164.407</v>
      </c>
      <c r="G265" s="250"/>
      <c r="H265" s="251"/>
      <c r="I265" s="236"/>
      <c r="J265" s="242"/>
    </row>
    <row r="266" ht="22.5" customHeight="1">
      <c r="A266" s="242"/>
      <c r="B266" s="242"/>
      <c r="C266" s="247"/>
      <c r="D266" s="247"/>
      <c r="E266" s="25">
        <v>1.8995781441E7</v>
      </c>
      <c r="F266" s="16">
        <v>70.833</v>
      </c>
      <c r="G266" s="250"/>
      <c r="H266" s="251"/>
      <c r="I266" s="236"/>
      <c r="J266" s="242"/>
    </row>
    <row r="267" ht="22.5" customHeight="1">
      <c r="A267" s="242"/>
      <c r="B267" s="242"/>
      <c r="C267" s="247"/>
      <c r="D267" s="247"/>
      <c r="E267" s="12">
        <v>2.25014328E7</v>
      </c>
      <c r="F267" s="16">
        <v>15.4</v>
      </c>
      <c r="G267" s="250"/>
      <c r="H267" s="251"/>
      <c r="I267" s="236"/>
      <c r="J267" s="242"/>
    </row>
    <row r="268" ht="22.5" customHeight="1">
      <c r="A268" s="242"/>
      <c r="B268" s="242"/>
      <c r="C268" s="247"/>
      <c r="D268" s="247"/>
      <c r="E268" s="25">
        <v>1.1019226883E7</v>
      </c>
      <c r="F268" s="16">
        <v>31.9585</v>
      </c>
      <c r="G268" s="250"/>
      <c r="H268" s="251"/>
      <c r="I268" s="236"/>
      <c r="J268" s="242"/>
    </row>
    <row r="269" ht="22.5" customHeight="1">
      <c r="A269" s="242"/>
      <c r="B269" s="242"/>
      <c r="C269" s="247"/>
      <c r="D269" s="247"/>
      <c r="E269" s="12">
        <v>2.3361656734E7</v>
      </c>
      <c r="F269" s="16">
        <v>137.449</v>
      </c>
      <c r="G269" s="250"/>
      <c r="H269" s="251"/>
      <c r="I269" s="236"/>
      <c r="J269" s="242"/>
    </row>
    <row r="270" ht="22.5" customHeight="1">
      <c r="A270" s="242"/>
      <c r="B270" s="242"/>
      <c r="C270" s="247"/>
      <c r="D270" s="247"/>
      <c r="E270" s="25">
        <v>2048850.6500000001</v>
      </c>
      <c r="F270" s="16">
        <v>0.77</v>
      </c>
      <c r="G270" s="250"/>
      <c r="H270" s="251"/>
      <c r="I270" s="236"/>
      <c r="J270" s="242"/>
    </row>
    <row r="271" ht="22.5" customHeight="1">
      <c r="A271" s="242"/>
      <c r="B271" s="242"/>
      <c r="C271" s="247"/>
      <c r="D271" s="247"/>
      <c r="E271" s="12">
        <v>635532.1569</v>
      </c>
      <c r="F271" s="16">
        <v>34.6509</v>
      </c>
      <c r="G271" s="250"/>
      <c r="H271" s="251"/>
      <c r="I271" s="236"/>
      <c r="J271" s="242"/>
    </row>
    <row r="272" ht="22.5" customHeight="1">
      <c r="A272" s="242"/>
      <c r="B272" s="242"/>
      <c r="C272" s="247"/>
      <c r="D272" s="247"/>
      <c r="E272" s="25">
        <v>6231859.052</v>
      </c>
      <c r="F272" s="16">
        <v>6.158</v>
      </c>
      <c r="G272" s="250"/>
      <c r="H272" s="251"/>
      <c r="I272" s="236"/>
      <c r="J272" s="242"/>
    </row>
    <row r="273" ht="22.5" customHeight="1">
      <c r="A273" s="242"/>
      <c r="B273" s="242"/>
      <c r="C273" s="247"/>
      <c r="D273" s="247"/>
      <c r="E273" s="12">
        <v>4.267220804E7</v>
      </c>
      <c r="F273" s="16">
        <v>98.945</v>
      </c>
      <c r="G273" s="250"/>
      <c r="H273" s="251"/>
      <c r="I273" s="236"/>
      <c r="J273" s="242"/>
    </row>
    <row r="274" ht="22.5" customHeight="1">
      <c r="A274" s="242"/>
      <c r="B274" s="242"/>
      <c r="C274" s="247"/>
      <c r="D274" s="247"/>
      <c r="E274" s="25">
        <v>133064.855</v>
      </c>
      <c r="F274" s="16">
        <v>0.385</v>
      </c>
      <c r="G274" s="250"/>
      <c r="H274" s="251"/>
      <c r="I274" s="236"/>
      <c r="J274" s="242"/>
    </row>
    <row r="275" ht="22.5" customHeight="1">
      <c r="A275" s="242"/>
      <c r="B275" s="242"/>
      <c r="C275" s="247"/>
      <c r="D275" s="247"/>
      <c r="E275" s="12">
        <v>5.36371978917E7</v>
      </c>
      <c r="F275" s="16">
        <v>45.8077</v>
      </c>
      <c r="G275" s="250"/>
      <c r="H275" s="251"/>
      <c r="I275" s="236"/>
      <c r="J275" s="242"/>
    </row>
    <row r="276" ht="22.5" customHeight="1">
      <c r="A276" s="242"/>
      <c r="B276" s="242"/>
      <c r="C276" s="247"/>
      <c r="D276" s="247"/>
      <c r="E276" s="25">
        <v>1.2224862264999999E7</v>
      </c>
      <c r="F276" s="16">
        <v>45.815</v>
      </c>
      <c r="G276" s="250"/>
      <c r="H276" s="251"/>
      <c r="I276" s="236"/>
      <c r="J276" s="242"/>
    </row>
    <row r="277" ht="22.5" customHeight="1">
      <c r="A277" s="242"/>
      <c r="B277" s="242"/>
      <c r="C277" s="247"/>
      <c r="D277" s="247"/>
      <c r="E277" s="12">
        <v>1.630295975E7</v>
      </c>
      <c r="F277" s="16">
        <v>9.625</v>
      </c>
      <c r="G277" s="250"/>
      <c r="H277" s="251"/>
      <c r="I277" s="236"/>
      <c r="J277" s="242"/>
    </row>
    <row r="278" ht="22.5" customHeight="1">
      <c r="A278" s="242"/>
      <c r="B278" s="242"/>
      <c r="C278" s="247"/>
      <c r="D278" s="247"/>
      <c r="E278" s="25">
        <v>189681.24000000002</v>
      </c>
      <c r="F278" s="16">
        <v>132.83</v>
      </c>
      <c r="G278" s="250"/>
      <c r="H278" s="251"/>
      <c r="I278" s="236"/>
      <c r="J278" s="242"/>
    </row>
    <row r="279" ht="22.5" customHeight="1">
      <c r="A279" s="242"/>
      <c r="B279" s="242"/>
      <c r="C279" s="247"/>
      <c r="D279" s="247"/>
      <c r="E279" s="12">
        <v>220217.6</v>
      </c>
      <c r="F279" s="16">
        <v>12.16</v>
      </c>
      <c r="G279" s="250"/>
      <c r="H279" s="251"/>
      <c r="I279" s="236"/>
      <c r="J279" s="242"/>
    </row>
    <row r="280" ht="22.5" customHeight="1">
      <c r="A280" s="242"/>
      <c r="B280" s="242"/>
      <c r="C280" s="247"/>
      <c r="D280" s="247"/>
      <c r="E280" s="25">
        <v>1.096749963E7</v>
      </c>
      <c r="F280" s="16">
        <v>192.0753</v>
      </c>
      <c r="G280" s="250"/>
      <c r="H280" s="251"/>
      <c r="I280" s="236"/>
      <c r="J280" s="242"/>
    </row>
    <row r="281" ht="22.5" customHeight="1">
      <c r="A281" s="242"/>
      <c r="B281" s="242"/>
      <c r="C281" s="247"/>
      <c r="D281" s="247"/>
      <c r="E281" s="12">
        <v>8.89139430476E7</v>
      </c>
      <c r="F281" s="16">
        <v>63.5228</v>
      </c>
      <c r="G281" s="250"/>
      <c r="H281" s="251"/>
      <c r="I281" s="236"/>
      <c r="J281" s="242"/>
    </row>
    <row r="282" ht="22.5" customHeight="1">
      <c r="A282" s="242"/>
      <c r="B282" s="242"/>
      <c r="C282" s="247"/>
      <c r="D282" s="247"/>
      <c r="E282" s="25">
        <v>3.32451735E7</v>
      </c>
      <c r="F282" s="16">
        <v>50.82</v>
      </c>
      <c r="G282" s="250"/>
      <c r="H282" s="251"/>
      <c r="I282" s="236"/>
      <c r="J282" s="242"/>
    </row>
    <row r="283" ht="22.5" customHeight="1">
      <c r="A283" s="242"/>
      <c r="B283" s="242"/>
      <c r="C283" s="247"/>
      <c r="D283" s="247"/>
      <c r="E283" s="12">
        <v>1.0233102879999999E7</v>
      </c>
      <c r="F283" s="16">
        <v>40.04</v>
      </c>
      <c r="G283" s="250"/>
      <c r="H283" s="251"/>
      <c r="I283" s="236"/>
      <c r="J283" s="242"/>
    </row>
    <row r="284" ht="22.5" customHeight="1">
      <c r="A284" s="242"/>
      <c r="B284" s="242"/>
      <c r="C284" s="247"/>
      <c r="D284" s="247"/>
      <c r="E284" s="25">
        <v>2.23866656788E7</v>
      </c>
      <c r="F284" s="16">
        <v>45.0358</v>
      </c>
      <c r="G284" s="250"/>
      <c r="H284" s="251"/>
      <c r="I284" s="236"/>
      <c r="J284" s="242"/>
    </row>
    <row r="285" ht="22.5" customHeight="1">
      <c r="A285" s="242"/>
      <c r="B285" s="242"/>
      <c r="C285" s="247"/>
      <c r="D285" s="247"/>
      <c r="E285" s="12">
        <v>3.042169515E7</v>
      </c>
      <c r="F285" s="16">
        <v>65.835</v>
      </c>
      <c r="G285" s="250"/>
      <c r="H285" s="251"/>
      <c r="I285" s="236"/>
      <c r="J285" s="242"/>
    </row>
    <row r="286" ht="22.5" customHeight="1">
      <c r="A286" s="242"/>
      <c r="B286" s="242"/>
      <c r="C286" s="247"/>
      <c r="D286" s="247"/>
      <c r="E286" s="25">
        <v>2.16118634688E7</v>
      </c>
      <c r="F286" s="16">
        <v>107.8092</v>
      </c>
      <c r="G286" s="250"/>
      <c r="H286" s="251"/>
      <c r="I286" s="236"/>
      <c r="J286" s="242"/>
    </row>
    <row r="287" ht="22.5" customHeight="1">
      <c r="A287" s="242"/>
      <c r="B287" s="242"/>
      <c r="C287" s="247"/>
      <c r="D287" s="247"/>
      <c r="E287" s="12">
        <v>3.14917573113E7</v>
      </c>
      <c r="F287" s="219">
        <v>150.1173</v>
      </c>
      <c r="G287" s="250"/>
      <c r="H287" s="251"/>
      <c r="I287" s="236"/>
      <c r="J287" s="242"/>
    </row>
    <row r="288" ht="22.5" customHeight="1">
      <c r="A288" s="242"/>
      <c r="B288" s="242"/>
      <c r="C288" s="247"/>
      <c r="D288" s="247"/>
      <c r="E288" s="25">
        <v>7898975.162400001</v>
      </c>
      <c r="F288" s="16">
        <v>40.0386</v>
      </c>
      <c r="G288" s="250"/>
      <c r="H288" s="251"/>
      <c r="I288" s="236"/>
      <c r="J288" s="242"/>
    </row>
    <row r="289" ht="22.5" customHeight="1">
      <c r="A289" s="242"/>
      <c r="B289" s="242"/>
      <c r="C289" s="247"/>
      <c r="D289" s="247"/>
      <c r="E289" s="12">
        <v>3123402.468</v>
      </c>
      <c r="F289" s="16">
        <v>71.996</v>
      </c>
      <c r="G289" s="250"/>
      <c r="H289" s="251"/>
      <c r="I289" s="236"/>
      <c r="J289" s="242"/>
    </row>
    <row r="290" ht="22.5" customHeight="1">
      <c r="A290" s="242"/>
      <c r="B290" s="242"/>
      <c r="C290" s="247"/>
      <c r="D290" s="247"/>
      <c r="E290" s="25">
        <v>1300163.4511</v>
      </c>
      <c r="F290" s="16">
        <v>38.1179</v>
      </c>
      <c r="G290" s="250"/>
      <c r="H290" s="251"/>
      <c r="I290" s="236"/>
      <c r="J290" s="242"/>
    </row>
    <row r="291" ht="22.5" customHeight="1">
      <c r="A291" s="242"/>
      <c r="B291" s="242"/>
      <c r="C291" s="247"/>
      <c r="D291" s="247"/>
      <c r="E291" s="12">
        <v>1.37055836558E7</v>
      </c>
      <c r="F291" s="16">
        <v>171.2299</v>
      </c>
      <c r="G291" s="250"/>
      <c r="H291" s="251"/>
      <c r="I291" s="236"/>
      <c r="J291" s="242"/>
    </row>
    <row r="292" ht="22.5" customHeight="1">
      <c r="A292" s="242"/>
      <c r="B292" s="242"/>
      <c r="C292" s="247"/>
      <c r="D292" s="247"/>
      <c r="E292" s="25">
        <v>8.805748485000001E7</v>
      </c>
      <c r="F292" s="16">
        <v>118.194</v>
      </c>
      <c r="G292" s="250"/>
      <c r="H292" s="251"/>
      <c r="I292" s="236"/>
      <c r="J292" s="242"/>
    </row>
    <row r="293" ht="22.5" customHeight="1">
      <c r="A293" s="242"/>
      <c r="B293" s="242"/>
      <c r="C293" s="247"/>
      <c r="D293" s="247"/>
      <c r="E293" s="12">
        <v>3.47520586677E8</v>
      </c>
      <c r="F293" s="219">
        <v>134.5993</v>
      </c>
      <c r="G293" s="250"/>
      <c r="H293" s="251"/>
      <c r="I293" s="236"/>
      <c r="J293" s="242"/>
    </row>
    <row r="294" ht="22.5" customHeight="1">
      <c r="A294" s="242"/>
      <c r="B294" s="242"/>
      <c r="C294" s="247"/>
      <c r="D294" s="247"/>
      <c r="E294" s="25">
        <v>2646839.9188</v>
      </c>
      <c r="F294" s="16">
        <v>4310.8142</v>
      </c>
      <c r="G294" s="250"/>
      <c r="H294" s="251"/>
      <c r="I294" s="236"/>
      <c r="J294" s="242"/>
    </row>
    <row r="295" ht="22.5" customHeight="1">
      <c r="A295" s="242"/>
      <c r="B295" s="242"/>
      <c r="C295" s="247"/>
      <c r="D295" s="247"/>
      <c r="E295" s="12">
        <v>2.71204675552E7</v>
      </c>
      <c r="F295" s="16">
        <v>214.0729</v>
      </c>
      <c r="G295" s="250"/>
      <c r="H295" s="251"/>
      <c r="I295" s="236"/>
      <c r="J295" s="242"/>
    </row>
    <row r="296" ht="22.5" customHeight="1">
      <c r="A296" s="242"/>
      <c r="B296" s="242"/>
      <c r="C296" s="247"/>
      <c r="D296" s="247"/>
      <c r="E296" s="25">
        <v>3.922774973E7</v>
      </c>
      <c r="F296" s="16">
        <v>77.41</v>
      </c>
      <c r="G296" s="250"/>
      <c r="H296" s="251"/>
      <c r="I296" s="236"/>
      <c r="J296" s="242"/>
    </row>
    <row r="297" ht="22.5" customHeight="1">
      <c r="A297" s="242"/>
      <c r="B297" s="242"/>
      <c r="C297" s="247"/>
      <c r="D297" s="247"/>
      <c r="E297" s="12">
        <v>6835852.1</v>
      </c>
      <c r="F297" s="16">
        <v>22.715</v>
      </c>
      <c r="G297" s="250"/>
      <c r="H297" s="251"/>
      <c r="I297" s="236"/>
      <c r="J297" s="242"/>
    </row>
    <row r="298" ht="22.5" customHeight="1">
      <c r="A298" s="242"/>
      <c r="B298" s="242"/>
      <c r="C298" s="247"/>
      <c r="D298" s="247"/>
      <c r="E298" s="25">
        <v>3307616.8216000004</v>
      </c>
      <c r="F298" s="16">
        <v>23.0924</v>
      </c>
      <c r="G298" s="250"/>
      <c r="H298" s="251"/>
      <c r="I298" s="236"/>
      <c r="J298" s="242"/>
    </row>
    <row r="299" ht="22.5" customHeight="1">
      <c r="A299" s="242"/>
      <c r="B299" s="242"/>
      <c r="C299" s="247"/>
      <c r="D299" s="247"/>
      <c r="E299" s="12">
        <v>1640803.6701</v>
      </c>
      <c r="F299" s="16">
        <v>2694.2589</v>
      </c>
      <c r="G299" s="250"/>
      <c r="H299" s="251"/>
      <c r="I299" s="236"/>
      <c r="J299" s="242"/>
    </row>
    <row r="300" ht="22.5" customHeight="1">
      <c r="A300" s="242"/>
      <c r="B300" s="242"/>
      <c r="C300" s="247"/>
      <c r="D300" s="247"/>
      <c r="E300" s="25">
        <v>1.4397272273999998E8</v>
      </c>
      <c r="F300" s="16">
        <v>217.14</v>
      </c>
      <c r="G300" s="250"/>
      <c r="H300" s="251"/>
      <c r="I300" s="236"/>
      <c r="J300" s="242"/>
    </row>
    <row r="301" ht="22.5" customHeight="1">
      <c r="A301" s="242"/>
      <c r="B301" s="242"/>
      <c r="C301" s="247"/>
      <c r="D301" s="247"/>
      <c r="E301" s="12">
        <v>3.011152781584E8</v>
      </c>
      <c r="F301" s="219">
        <v>127.8124</v>
      </c>
      <c r="G301" s="250"/>
      <c r="H301" s="251"/>
      <c r="I301" s="236"/>
      <c r="J301" s="242"/>
    </row>
    <row r="302" ht="22.5" customHeight="1">
      <c r="A302" s="242"/>
      <c r="B302" s="242"/>
      <c r="C302" s="247"/>
      <c r="D302" s="247"/>
      <c r="E302" s="25">
        <v>8871251.235</v>
      </c>
      <c r="F302" s="16">
        <v>33.495</v>
      </c>
      <c r="G302" s="250"/>
      <c r="H302" s="251"/>
      <c r="I302" s="236"/>
      <c r="J302" s="242"/>
    </row>
    <row r="303" ht="22.5" customHeight="1">
      <c r="A303" s="242"/>
      <c r="B303" s="242"/>
      <c r="C303" s="247"/>
      <c r="D303" s="247"/>
      <c r="E303" s="12">
        <v>82798.06079999999</v>
      </c>
      <c r="F303" s="16">
        <v>61.6057</v>
      </c>
      <c r="G303" s="250"/>
      <c r="H303" s="251"/>
      <c r="I303" s="236"/>
      <c r="J303" s="242"/>
    </row>
    <row r="304" ht="22.5" customHeight="1">
      <c r="A304" s="242"/>
      <c r="B304" s="242"/>
      <c r="C304" s="247"/>
      <c r="D304" s="247"/>
      <c r="E304" s="25">
        <v>3626297.371</v>
      </c>
      <c r="F304" s="16">
        <v>169.003</v>
      </c>
      <c r="G304" s="250"/>
      <c r="H304" s="251"/>
      <c r="I304" s="236"/>
      <c r="J304" s="242"/>
    </row>
    <row r="305" ht="22.5" customHeight="1">
      <c r="A305" s="242"/>
      <c r="B305" s="242"/>
      <c r="C305" s="247"/>
      <c r="D305" s="247"/>
      <c r="E305" s="12">
        <v>233966.306</v>
      </c>
      <c r="F305" s="16">
        <v>21.946</v>
      </c>
      <c r="G305" s="250"/>
      <c r="H305" s="251"/>
      <c r="I305" s="236"/>
      <c r="J305" s="242"/>
    </row>
    <row r="306" ht="22.5" customHeight="1">
      <c r="A306" s="242"/>
      <c r="B306" s="242"/>
      <c r="C306" s="247"/>
      <c r="D306" s="247"/>
      <c r="E306" s="25">
        <v>324028.32</v>
      </c>
      <c r="F306" s="16">
        <v>67.76</v>
      </c>
      <c r="G306" s="250"/>
      <c r="H306" s="251"/>
      <c r="I306" s="236"/>
      <c r="J306" s="242"/>
    </row>
    <row r="307" ht="22.5" customHeight="1">
      <c r="A307" s="242"/>
      <c r="B307" s="242"/>
      <c r="C307" s="247"/>
      <c r="D307" s="247"/>
      <c r="E307" s="12">
        <v>9975074.746000001</v>
      </c>
      <c r="F307" s="16">
        <v>46.5842</v>
      </c>
      <c r="G307" s="250"/>
      <c r="H307" s="251"/>
      <c r="I307" s="236"/>
      <c r="J307" s="242"/>
    </row>
    <row r="308" ht="22.5" customHeight="1">
      <c r="A308" s="242"/>
      <c r="B308" s="242"/>
      <c r="C308" s="247"/>
      <c r="D308" s="247"/>
      <c r="E308" s="25">
        <v>1.183820058E7</v>
      </c>
      <c r="F308" s="16">
        <v>29.2536</v>
      </c>
      <c r="G308" s="250"/>
      <c r="H308" s="251"/>
      <c r="I308" s="236"/>
      <c r="J308" s="242"/>
    </row>
    <row r="309" ht="22.5" customHeight="1">
      <c r="A309" s="242"/>
      <c r="B309" s="242"/>
      <c r="C309" s="247"/>
      <c r="D309" s="247"/>
      <c r="E309" s="12">
        <v>2549416.0999999996</v>
      </c>
      <c r="F309" s="16">
        <v>10.78</v>
      </c>
      <c r="G309" s="250"/>
      <c r="H309" s="251"/>
      <c r="I309" s="236"/>
      <c r="J309" s="242"/>
    </row>
    <row r="310" ht="22.5" customHeight="1">
      <c r="A310" s="242"/>
      <c r="B310" s="242"/>
      <c r="C310" s="247"/>
      <c r="D310" s="247"/>
      <c r="E310" s="25">
        <v>1.82888435834E7</v>
      </c>
      <c r="F310" s="16">
        <v>164.4074</v>
      </c>
      <c r="G310" s="250"/>
      <c r="H310" s="251"/>
      <c r="I310" s="236"/>
      <c r="J310" s="242"/>
    </row>
    <row r="311" ht="22.5" customHeight="1">
      <c r="A311" s="242"/>
      <c r="B311" s="242"/>
      <c r="C311" s="247"/>
      <c r="D311" s="247"/>
      <c r="E311" s="12">
        <v>3.87922913658E7</v>
      </c>
      <c r="F311" s="219">
        <v>341.4033</v>
      </c>
      <c r="G311" s="250"/>
      <c r="H311" s="251"/>
      <c r="I311" s="236"/>
      <c r="J311" s="242"/>
    </row>
    <row r="312" ht="22.5" customHeight="1">
      <c r="A312" s="242"/>
      <c r="B312" s="242"/>
      <c r="C312" s="247"/>
      <c r="D312" s="247"/>
      <c r="E312" s="25">
        <v>9388939.206</v>
      </c>
      <c r="F312" s="16">
        <v>40.422</v>
      </c>
      <c r="G312" s="250"/>
      <c r="H312" s="251"/>
      <c r="I312" s="236"/>
      <c r="J312" s="242"/>
    </row>
    <row r="313" ht="22.5" customHeight="1">
      <c r="A313" s="242"/>
      <c r="B313" s="242"/>
      <c r="C313" s="247"/>
      <c r="D313" s="247"/>
      <c r="E313" s="12">
        <v>3.1644351648E7</v>
      </c>
      <c r="F313" s="16">
        <v>112.0392</v>
      </c>
      <c r="G313" s="250"/>
      <c r="H313" s="251"/>
      <c r="I313" s="236"/>
      <c r="J313" s="242"/>
    </row>
    <row r="314" ht="22.5" customHeight="1">
      <c r="A314" s="242"/>
      <c r="B314" s="242"/>
      <c r="C314" s="247"/>
      <c r="D314" s="247"/>
      <c r="E314" s="25">
        <v>7.19573459831E7</v>
      </c>
      <c r="F314" s="219">
        <v>82.0123</v>
      </c>
      <c r="G314" s="250"/>
      <c r="H314" s="251"/>
      <c r="I314" s="236"/>
      <c r="J314" s="242"/>
    </row>
    <row r="315" ht="22.5" customHeight="1">
      <c r="A315" s="242"/>
      <c r="B315" s="242"/>
      <c r="C315" s="247"/>
      <c r="D315" s="247"/>
      <c r="E315" s="12">
        <v>3.1948027148900002E7</v>
      </c>
      <c r="F315" s="16">
        <v>64.6589</v>
      </c>
      <c r="G315" s="250"/>
      <c r="H315" s="251"/>
      <c r="I315" s="236"/>
      <c r="J315" s="242"/>
    </row>
    <row r="316" ht="22.5" customHeight="1">
      <c r="A316" s="242"/>
      <c r="B316" s="242"/>
      <c r="C316" s="247"/>
      <c r="D316" s="247"/>
      <c r="E316" s="25">
        <v>2898501.7600000002</v>
      </c>
      <c r="F316" s="16">
        <v>67.76</v>
      </c>
      <c r="G316" s="250"/>
      <c r="H316" s="251"/>
      <c r="I316" s="236"/>
      <c r="J316" s="242"/>
    </row>
    <row r="317" ht="22.5" customHeight="1">
      <c r="A317" s="242"/>
      <c r="B317" s="242"/>
      <c r="C317" s="247"/>
      <c r="D317" s="247"/>
      <c r="E317" s="12">
        <v>3.9335004744E7</v>
      </c>
      <c r="F317" s="219">
        <v>129.738</v>
      </c>
      <c r="G317" s="250"/>
      <c r="H317" s="251"/>
      <c r="I317" s="236"/>
      <c r="J317" s="242"/>
    </row>
    <row r="318" ht="22.5" customHeight="1">
      <c r="A318" s="242"/>
      <c r="B318" s="242"/>
      <c r="C318" s="247"/>
      <c r="D318" s="247"/>
      <c r="E318" s="25">
        <v>2.19951194408E7</v>
      </c>
      <c r="F318" s="16">
        <v>16.5544</v>
      </c>
      <c r="G318" s="250"/>
      <c r="H318" s="251"/>
      <c r="I318" s="236"/>
      <c r="J318" s="242"/>
    </row>
    <row r="319" ht="22.5" customHeight="1">
      <c r="A319" s="242"/>
      <c r="B319" s="242"/>
      <c r="C319" s="247"/>
      <c r="D319" s="247"/>
      <c r="E319" s="12">
        <v>2166682.5574000003</v>
      </c>
      <c r="F319" s="16">
        <v>63.5279</v>
      </c>
      <c r="G319" s="250"/>
      <c r="H319" s="251"/>
      <c r="I319" s="236"/>
      <c r="J319" s="242"/>
    </row>
    <row r="320" ht="22.5" customHeight="1">
      <c r="A320" s="242"/>
      <c r="B320" s="242"/>
      <c r="C320" s="247"/>
      <c r="D320" s="247"/>
      <c r="E320" s="25">
        <v>345037.0323</v>
      </c>
      <c r="F320" s="16">
        <v>172.4323</v>
      </c>
      <c r="G320" s="250"/>
      <c r="H320" s="251"/>
      <c r="I320" s="236"/>
      <c r="J320" s="242"/>
    </row>
    <row r="321" ht="22.5" customHeight="1">
      <c r="A321" s="242"/>
      <c r="B321" s="242"/>
      <c r="C321" s="247"/>
      <c r="D321" s="247"/>
      <c r="E321" s="12">
        <v>5.47056218775E7</v>
      </c>
      <c r="F321" s="16">
        <v>189.3485</v>
      </c>
      <c r="G321" s="250"/>
      <c r="H321" s="251"/>
      <c r="I321" s="236"/>
      <c r="J321" s="242"/>
    </row>
    <row r="322" ht="22.5" customHeight="1">
      <c r="A322" s="242"/>
      <c r="B322" s="242"/>
      <c r="C322" s="247"/>
      <c r="D322" s="247"/>
      <c r="E322" s="25">
        <v>7.955887723200001E7</v>
      </c>
      <c r="F322" s="219">
        <v>107.8092</v>
      </c>
      <c r="G322" s="250"/>
      <c r="H322" s="251"/>
      <c r="I322" s="236"/>
      <c r="J322" s="242"/>
    </row>
    <row r="323" ht="22.5" customHeight="1">
      <c r="A323" s="242"/>
      <c r="B323" s="242"/>
      <c r="C323" s="247"/>
      <c r="D323" s="247"/>
      <c r="E323" s="12">
        <v>2162676.9096</v>
      </c>
      <c r="F323" s="16">
        <v>11.1652</v>
      </c>
      <c r="G323" s="250"/>
      <c r="H323" s="251"/>
      <c r="I323" s="236"/>
      <c r="J323" s="242"/>
    </row>
    <row r="324" ht="22.5" customHeight="1">
      <c r="A324" s="242"/>
      <c r="B324" s="242"/>
      <c r="C324" s="247"/>
      <c r="D324" s="247"/>
      <c r="E324" s="25">
        <v>4.5062542276E7</v>
      </c>
      <c r="F324" s="16">
        <v>25.796</v>
      </c>
      <c r="G324" s="250"/>
      <c r="H324" s="251"/>
      <c r="I324" s="236"/>
      <c r="J324" s="242"/>
    </row>
    <row r="325" ht="22.5" customHeight="1">
      <c r="A325" s="242"/>
      <c r="B325" s="242"/>
      <c r="C325" s="247"/>
      <c r="D325" s="247"/>
      <c r="E325" s="12">
        <v>1.12476596258E7</v>
      </c>
      <c r="F325" s="16">
        <v>11.9353</v>
      </c>
      <c r="G325" s="250"/>
      <c r="H325" s="251"/>
      <c r="I325" s="236"/>
      <c r="J325" s="242"/>
    </row>
    <row r="326" ht="22.5" customHeight="1">
      <c r="A326" s="242"/>
      <c r="B326" s="242"/>
      <c r="C326" s="247"/>
      <c r="D326" s="247"/>
      <c r="E326" s="25">
        <v>4.45295463017E7</v>
      </c>
      <c r="F326" s="16">
        <v>128.9437</v>
      </c>
      <c r="G326" s="250"/>
      <c r="H326" s="251"/>
      <c r="I326" s="236"/>
      <c r="J326" s="242"/>
    </row>
    <row r="327" ht="22.5" customHeight="1">
      <c r="A327" s="242"/>
      <c r="B327" s="242"/>
      <c r="C327" s="247"/>
      <c r="D327" s="247"/>
      <c r="E327" s="12">
        <v>7.409104208399999E7</v>
      </c>
      <c r="F327" s="16">
        <v>66.603</v>
      </c>
      <c r="G327" s="250"/>
      <c r="H327" s="251"/>
      <c r="I327" s="236"/>
      <c r="J327" s="242"/>
    </row>
    <row r="328" ht="22.5" customHeight="1">
      <c r="A328" s="242"/>
      <c r="B328" s="242"/>
      <c r="C328" s="247"/>
      <c r="D328" s="247"/>
      <c r="E328" s="25">
        <v>1158762.78</v>
      </c>
      <c r="F328" s="16">
        <v>175.172</v>
      </c>
      <c r="G328" s="250"/>
      <c r="H328" s="251"/>
      <c r="I328" s="236"/>
      <c r="J328" s="242"/>
    </row>
    <row r="329" ht="22.5" customHeight="1">
      <c r="A329" s="242"/>
      <c r="B329" s="242"/>
      <c r="C329" s="247"/>
      <c r="D329" s="247"/>
      <c r="E329" s="12">
        <v>143924.55</v>
      </c>
      <c r="F329" s="16">
        <v>6.545</v>
      </c>
      <c r="G329" s="250"/>
      <c r="H329" s="251"/>
      <c r="I329" s="236"/>
      <c r="J329" s="242"/>
    </row>
    <row r="330" ht="22.5" customHeight="1">
      <c r="A330" s="242"/>
      <c r="B330" s="242"/>
      <c r="C330" s="247"/>
      <c r="D330" s="247"/>
      <c r="E330" s="25">
        <v>10360.45</v>
      </c>
      <c r="F330" s="16">
        <v>19.01</v>
      </c>
      <c r="G330" s="250"/>
      <c r="H330" s="251"/>
      <c r="I330" s="236"/>
      <c r="J330" s="242"/>
    </row>
    <row r="331" ht="22.5" customHeight="1">
      <c r="A331" s="242"/>
      <c r="B331" s="242"/>
      <c r="C331" s="247"/>
      <c r="D331" s="247"/>
      <c r="E331" s="12">
        <v>2.78441934336E7</v>
      </c>
      <c r="F331" s="16">
        <v>72.7656</v>
      </c>
      <c r="G331" s="250"/>
      <c r="H331" s="251"/>
      <c r="I331" s="236"/>
      <c r="J331" s="242"/>
    </row>
    <row r="332" ht="22.5" customHeight="1">
      <c r="A332" s="242"/>
      <c r="B332" s="242"/>
      <c r="C332" s="247"/>
      <c r="D332" s="247"/>
      <c r="E332" s="25">
        <v>5165.16</v>
      </c>
      <c r="F332" s="16">
        <v>40.04</v>
      </c>
      <c r="G332" s="250"/>
      <c r="H332" s="251"/>
      <c r="I332" s="236"/>
      <c r="J332" s="242"/>
    </row>
    <row r="333" ht="22.5" customHeight="1">
      <c r="A333" s="242"/>
      <c r="B333" s="242"/>
      <c r="C333" s="247"/>
      <c r="D333" s="247"/>
      <c r="E333" s="12">
        <v>3.0764253134999998E7</v>
      </c>
      <c r="F333" s="16">
        <v>49.6538</v>
      </c>
      <c r="G333" s="250"/>
      <c r="H333" s="251"/>
      <c r="I333" s="236"/>
      <c r="J333" s="242"/>
    </row>
    <row r="334" ht="22.5" customHeight="1">
      <c r="A334" s="242"/>
      <c r="B334" s="242"/>
      <c r="C334" s="247"/>
      <c r="D334" s="247"/>
      <c r="E334" s="25">
        <v>8.5678805773E7</v>
      </c>
      <c r="F334" s="16">
        <v>109.339</v>
      </c>
      <c r="G334" s="250"/>
      <c r="H334" s="251"/>
      <c r="I334" s="236"/>
      <c r="J334" s="242"/>
    </row>
    <row r="335" ht="22.5" customHeight="1">
      <c r="A335" s="242"/>
      <c r="B335" s="242"/>
      <c r="C335" s="247"/>
      <c r="D335" s="247"/>
      <c r="E335" s="12">
        <v>1.2307246875E7</v>
      </c>
      <c r="F335" s="16">
        <v>28.875</v>
      </c>
      <c r="G335" s="250"/>
      <c r="H335" s="251"/>
      <c r="I335" s="236"/>
      <c r="J335" s="242"/>
    </row>
    <row r="336" ht="22.5" customHeight="1">
      <c r="A336" s="242"/>
      <c r="B336" s="242"/>
      <c r="C336" s="247"/>
      <c r="D336" s="247"/>
      <c r="E336" s="25">
        <v>7437016.588</v>
      </c>
      <c r="F336" s="16">
        <v>21.946</v>
      </c>
      <c r="G336" s="250"/>
      <c r="H336" s="251"/>
      <c r="I336" s="236"/>
      <c r="J336" s="242"/>
    </row>
    <row r="337" ht="22.5" customHeight="1">
      <c r="A337" s="242"/>
      <c r="B337" s="242"/>
      <c r="C337" s="247"/>
      <c r="D337" s="247"/>
      <c r="E337" s="12">
        <v>9.383250027E7</v>
      </c>
      <c r="F337" s="219">
        <v>74.31</v>
      </c>
      <c r="G337" s="250"/>
      <c r="H337" s="251"/>
      <c r="I337" s="236"/>
      <c r="J337" s="242"/>
    </row>
    <row r="338" ht="22.5" customHeight="1">
      <c r="A338" s="242"/>
      <c r="B338" s="242"/>
      <c r="C338" s="247"/>
      <c r="D338" s="247"/>
      <c r="E338" s="25">
        <v>3.3524352785E7</v>
      </c>
      <c r="F338" s="16">
        <v>11.935</v>
      </c>
      <c r="G338" s="250"/>
      <c r="H338" s="251"/>
      <c r="I338" s="236"/>
      <c r="J338" s="242"/>
    </row>
    <row r="339" ht="22.5" customHeight="1">
      <c r="A339" s="242"/>
      <c r="B339" s="242"/>
      <c r="C339" s="247"/>
      <c r="D339" s="247"/>
      <c r="E339" s="12">
        <v>1914198.44</v>
      </c>
      <c r="F339" s="16">
        <v>1.54</v>
      </c>
      <c r="G339" s="250"/>
      <c r="H339" s="251"/>
      <c r="I339" s="236"/>
      <c r="J339" s="242"/>
    </row>
    <row r="340" ht="22.5" customHeight="1">
      <c r="A340" s="242"/>
      <c r="B340" s="242"/>
      <c r="C340" s="247"/>
      <c r="D340" s="247"/>
      <c r="E340" s="25">
        <v>5001934.245</v>
      </c>
      <c r="F340" s="16">
        <v>41.965</v>
      </c>
      <c r="G340" s="250"/>
      <c r="H340" s="251"/>
      <c r="I340" s="236"/>
      <c r="J340" s="242"/>
    </row>
    <row r="341" ht="22.5" customHeight="1">
      <c r="A341" s="242"/>
      <c r="B341" s="242"/>
      <c r="C341" s="247"/>
      <c r="D341" s="247"/>
      <c r="E341" s="12">
        <v>7.44367609712E7</v>
      </c>
      <c r="F341" s="16">
        <v>128.9788</v>
      </c>
      <c r="G341" s="250"/>
      <c r="H341" s="251"/>
      <c r="I341" s="236"/>
      <c r="J341" s="242"/>
    </row>
    <row r="342" ht="22.5" customHeight="1">
      <c r="A342" s="242"/>
      <c r="B342" s="242"/>
      <c r="C342" s="247"/>
      <c r="D342" s="247"/>
      <c r="E342" s="25">
        <v>828597.0</v>
      </c>
      <c r="F342" s="16">
        <v>4.62</v>
      </c>
      <c r="G342" s="250"/>
      <c r="H342" s="251"/>
      <c r="I342" s="236"/>
      <c r="J342" s="242"/>
    </row>
    <row r="343" ht="22.5" customHeight="1">
      <c r="A343" s="242"/>
      <c r="B343" s="242"/>
      <c r="C343" s="247"/>
      <c r="D343" s="247"/>
      <c r="E343" s="12">
        <v>5.330291581999999E7</v>
      </c>
      <c r="F343" s="219">
        <v>44.66</v>
      </c>
      <c r="G343" s="250"/>
      <c r="H343" s="251"/>
      <c r="I343" s="236"/>
      <c r="J343" s="242"/>
    </row>
    <row r="344" ht="22.5" customHeight="1">
      <c r="A344" s="242"/>
      <c r="B344" s="242"/>
      <c r="C344" s="247"/>
      <c r="D344" s="247"/>
      <c r="E344" s="25">
        <v>6.94806306E7</v>
      </c>
      <c r="F344" s="219">
        <v>95.1</v>
      </c>
      <c r="G344" s="250"/>
      <c r="H344" s="251"/>
      <c r="I344" s="236"/>
      <c r="J344" s="242"/>
    </row>
    <row r="345" ht="22.5" customHeight="1">
      <c r="A345" s="242"/>
      <c r="B345" s="242"/>
      <c r="C345" s="247"/>
      <c r="D345" s="247"/>
      <c r="E345" s="12">
        <v>1.2175307219319999E8</v>
      </c>
      <c r="F345" s="16">
        <v>48.1153</v>
      </c>
      <c r="G345" s="250"/>
      <c r="H345" s="251"/>
      <c r="I345" s="236"/>
      <c r="J345" s="242"/>
    </row>
    <row r="346" ht="22.5" customHeight="1">
      <c r="A346" s="242"/>
      <c r="B346" s="242"/>
      <c r="C346" s="247"/>
      <c r="D346" s="247"/>
      <c r="E346" s="25">
        <v>1.733911102E7</v>
      </c>
      <c r="F346" s="16">
        <v>44.66</v>
      </c>
      <c r="G346" s="250"/>
      <c r="H346" s="251"/>
      <c r="I346" s="236"/>
      <c r="J346" s="242"/>
    </row>
    <row r="347" ht="22.5" customHeight="1">
      <c r="A347" s="242"/>
      <c r="B347" s="242"/>
      <c r="C347" s="247"/>
      <c r="D347" s="247"/>
      <c r="E347" s="12">
        <v>1.721917659E7</v>
      </c>
      <c r="F347" s="16">
        <v>11.165</v>
      </c>
      <c r="G347" s="250"/>
      <c r="H347" s="251"/>
      <c r="I347" s="236"/>
      <c r="J347" s="242"/>
    </row>
    <row r="348" ht="22.5" customHeight="1">
      <c r="A348" s="242"/>
      <c r="B348" s="242"/>
      <c r="C348" s="247"/>
      <c r="D348" s="247"/>
      <c r="E348" s="25">
        <v>730202.5499999999</v>
      </c>
      <c r="F348" s="16">
        <v>220.605</v>
      </c>
      <c r="G348" s="250"/>
      <c r="H348" s="251"/>
      <c r="I348" s="236"/>
      <c r="J348" s="242"/>
    </row>
    <row r="349" ht="22.5" customHeight="1">
      <c r="A349" s="242"/>
      <c r="B349" s="242"/>
      <c r="C349" s="247"/>
      <c r="D349" s="247"/>
      <c r="E349" s="12">
        <v>1.9674606067199998E7</v>
      </c>
      <c r="F349" s="16">
        <v>25.4016</v>
      </c>
      <c r="G349" s="250"/>
      <c r="H349" s="251"/>
      <c r="I349" s="236"/>
      <c r="J349" s="242"/>
    </row>
    <row r="350" ht="22.5" customHeight="1">
      <c r="A350" s="242"/>
      <c r="B350" s="242"/>
      <c r="C350" s="247"/>
      <c r="D350" s="247"/>
      <c r="E350" s="25">
        <v>2950683.1845</v>
      </c>
      <c r="F350" s="16">
        <v>13.8559</v>
      </c>
      <c r="G350" s="250"/>
      <c r="H350" s="251"/>
      <c r="I350" s="236"/>
      <c r="J350" s="242"/>
    </row>
    <row r="351" ht="22.5" customHeight="1">
      <c r="A351" s="242"/>
      <c r="B351" s="242"/>
      <c r="C351" s="247"/>
      <c r="D351" s="247"/>
      <c r="E351" s="12">
        <v>1.4008097557999998E8</v>
      </c>
      <c r="F351" s="16">
        <v>274.82</v>
      </c>
      <c r="G351" s="250"/>
      <c r="H351" s="251"/>
      <c r="I351" s="236"/>
      <c r="J351" s="242"/>
    </row>
    <row r="352" ht="22.5" customHeight="1">
      <c r="A352" s="242"/>
      <c r="B352" s="242"/>
      <c r="C352" s="247"/>
      <c r="D352" s="247"/>
      <c r="E352" s="25">
        <v>1.8401158075E7</v>
      </c>
      <c r="F352" s="16">
        <v>103.175</v>
      </c>
      <c r="G352" s="250"/>
      <c r="H352" s="251"/>
      <c r="I352" s="236"/>
      <c r="J352" s="242"/>
    </row>
    <row r="353" ht="22.5" customHeight="1">
      <c r="A353" s="242"/>
      <c r="B353" s="242"/>
      <c r="C353" s="247"/>
      <c r="D353" s="247"/>
      <c r="E353" s="12">
        <v>8714285.58</v>
      </c>
      <c r="F353" s="16">
        <v>4.62</v>
      </c>
      <c r="G353" s="250"/>
      <c r="H353" s="251"/>
      <c r="I353" s="236"/>
      <c r="J353" s="242"/>
    </row>
    <row r="354" ht="22.5" customHeight="1">
      <c r="A354" s="242"/>
      <c r="B354" s="242"/>
      <c r="C354" s="247"/>
      <c r="D354" s="247"/>
      <c r="E354" s="25">
        <v>5131190.1762</v>
      </c>
      <c r="F354" s="16">
        <v>32.3994</v>
      </c>
      <c r="G354" s="250"/>
      <c r="H354" s="251"/>
      <c r="I354" s="236"/>
      <c r="J354" s="242"/>
    </row>
    <row r="355" ht="22.5" customHeight="1">
      <c r="A355" s="242"/>
      <c r="B355" s="242"/>
      <c r="C355" s="247"/>
      <c r="D355" s="247"/>
      <c r="E355" s="12">
        <v>447879.07</v>
      </c>
      <c r="F355" s="16">
        <v>175.57</v>
      </c>
      <c r="G355" s="250"/>
      <c r="H355" s="251"/>
      <c r="I355" s="236"/>
      <c r="J355" s="242"/>
    </row>
    <row r="356" ht="22.5" customHeight="1">
      <c r="A356" s="242"/>
      <c r="B356" s="242"/>
      <c r="C356" s="247"/>
      <c r="D356" s="247"/>
      <c r="E356" s="25">
        <v>9819272.991</v>
      </c>
      <c r="F356" s="16">
        <v>185.161</v>
      </c>
      <c r="G356" s="250"/>
      <c r="H356" s="251"/>
      <c r="I356" s="236"/>
      <c r="J356" s="242"/>
    </row>
    <row r="357" ht="22.5" customHeight="1">
      <c r="A357" s="242"/>
      <c r="B357" s="242"/>
      <c r="C357" s="247"/>
      <c r="D357" s="247"/>
      <c r="E357" s="12">
        <v>7354909.54</v>
      </c>
      <c r="F357" s="16">
        <v>1.385</v>
      </c>
      <c r="G357" s="250"/>
      <c r="H357" s="251"/>
      <c r="I357" s="236"/>
      <c r="J357" s="242"/>
    </row>
    <row r="358" ht="22.5" customHeight="1">
      <c r="A358" s="242"/>
      <c r="B358" s="242"/>
      <c r="C358" s="247"/>
      <c r="D358" s="247"/>
      <c r="E358" s="25">
        <v>4.2514143364E8</v>
      </c>
      <c r="F358" s="219">
        <v>252.715</v>
      </c>
      <c r="G358" s="250"/>
      <c r="H358" s="251"/>
      <c r="I358" s="236"/>
      <c r="J358" s="242"/>
    </row>
    <row r="359" ht="22.5" customHeight="1">
      <c r="A359" s="242"/>
      <c r="B359" s="242"/>
      <c r="C359" s="247"/>
      <c r="D359" s="247"/>
      <c r="E359" s="67">
        <v>6.750557645168598E9</v>
      </c>
      <c r="F359" s="69">
        <f>sum(ALL[[#TOTALS],[Population]]/ALL[[#TOTALS],[Area (Km)]])</f>
        <v>53.72462378</v>
      </c>
      <c r="G359" s="236"/>
      <c r="H359" s="251"/>
      <c r="I359" s="236"/>
      <c r="J359" s="242"/>
    </row>
    <row r="360" ht="22.5" customHeight="1">
      <c r="A360" s="242"/>
      <c r="B360" s="242"/>
      <c r="C360" s="247"/>
      <c r="D360" s="247"/>
      <c r="E360" s="246"/>
      <c r="F360" s="16"/>
      <c r="G360" s="250"/>
      <c r="H360" s="251"/>
      <c r="I360" s="236"/>
      <c r="J360" s="242"/>
    </row>
    <row r="361" ht="22.5" customHeight="1">
      <c r="A361" s="242"/>
      <c r="B361" s="242"/>
      <c r="C361" s="247"/>
      <c r="D361" s="247"/>
      <c r="E361" s="248"/>
      <c r="F361" s="4"/>
      <c r="G361" s="250"/>
      <c r="H361" s="251"/>
      <c r="I361" s="236"/>
      <c r="J361" s="242"/>
    </row>
    <row r="362" ht="22.5" customHeight="1">
      <c r="A362" s="242"/>
      <c r="B362" s="242"/>
      <c r="C362" s="247"/>
      <c r="D362" s="247"/>
      <c r="E362" s="248"/>
      <c r="F362" s="4"/>
      <c r="G362" s="250"/>
      <c r="H362" s="251"/>
      <c r="I362" s="236"/>
      <c r="J362" s="242"/>
    </row>
    <row r="363" ht="22.5" customHeight="1">
      <c r="A363" s="242"/>
      <c r="B363" s="242"/>
      <c r="C363" s="247"/>
      <c r="D363" s="247"/>
      <c r="E363" s="248"/>
      <c r="F363" s="4"/>
      <c r="G363" s="250"/>
      <c r="H363" s="251"/>
      <c r="I363" s="236"/>
      <c r="J363" s="242"/>
    </row>
    <row r="364" ht="22.5" customHeight="1">
      <c r="A364" s="242"/>
      <c r="B364" s="242"/>
      <c r="C364" s="247"/>
      <c r="D364" s="247"/>
      <c r="E364" s="248"/>
      <c r="F364" s="4"/>
      <c r="G364" s="250"/>
      <c r="H364" s="251"/>
      <c r="I364" s="236"/>
      <c r="J364" s="242"/>
    </row>
    <row r="365" ht="22.5" customHeight="1">
      <c r="A365" s="242"/>
      <c r="B365" s="242"/>
      <c r="C365" s="247"/>
      <c r="D365" s="247"/>
      <c r="E365" s="248"/>
      <c r="F365" s="4"/>
      <c r="G365" s="250"/>
      <c r="H365" s="251"/>
      <c r="I365" s="236"/>
      <c r="J365" s="242"/>
    </row>
    <row r="366" ht="22.5" customHeight="1">
      <c r="A366" s="242"/>
      <c r="B366" s="242"/>
      <c r="C366" s="247"/>
      <c r="D366" s="247"/>
      <c r="E366" s="248"/>
      <c r="F366" s="4"/>
      <c r="G366" s="250"/>
      <c r="H366" s="251"/>
      <c r="I366" s="236"/>
      <c r="J366" s="242"/>
    </row>
    <row r="367" ht="22.5" customHeight="1">
      <c r="A367" s="242"/>
      <c r="B367" s="242"/>
      <c r="C367" s="247"/>
      <c r="D367" s="247"/>
      <c r="E367" s="248"/>
      <c r="F367" s="4"/>
      <c r="G367" s="250"/>
      <c r="H367" s="251"/>
      <c r="I367" s="236"/>
      <c r="J367" s="242"/>
    </row>
    <row r="368" ht="22.5" customHeight="1">
      <c r="A368" s="242"/>
      <c r="B368" s="242"/>
      <c r="C368" s="247"/>
      <c r="D368" s="247"/>
      <c r="E368" s="248"/>
      <c r="F368" s="4"/>
      <c r="G368" s="250"/>
      <c r="H368" s="251"/>
      <c r="I368" s="236"/>
      <c r="J368" s="242"/>
    </row>
    <row r="369" ht="22.5" customHeight="1">
      <c r="A369" s="242"/>
      <c r="B369" s="242"/>
      <c r="C369" s="247"/>
      <c r="D369" s="247"/>
      <c r="E369" s="248"/>
      <c r="F369" s="4"/>
      <c r="G369" s="250"/>
      <c r="H369" s="251"/>
      <c r="I369" s="236"/>
      <c r="J369" s="242"/>
    </row>
    <row r="370" ht="22.5" customHeight="1">
      <c r="A370" s="242"/>
      <c r="B370" s="242"/>
      <c r="C370" s="247"/>
      <c r="D370" s="247"/>
      <c r="E370" s="248"/>
      <c r="F370" s="4"/>
      <c r="G370" s="250"/>
      <c r="H370" s="251"/>
      <c r="I370" s="236"/>
      <c r="J370" s="242"/>
    </row>
    <row r="371" ht="22.5" customHeight="1">
      <c r="A371" s="242"/>
      <c r="B371" s="242"/>
      <c r="C371" s="247"/>
      <c r="D371" s="247"/>
      <c r="E371" s="2" t="s">
        <v>1</v>
      </c>
      <c r="F371" s="5" t="s">
        <v>9</v>
      </c>
      <c r="G371" s="250"/>
      <c r="H371" s="251"/>
      <c r="I371" s="236"/>
      <c r="J371" s="242"/>
    </row>
    <row r="372" ht="22.5" customHeight="1">
      <c r="A372" s="242"/>
      <c r="B372" s="242"/>
      <c r="C372" s="247"/>
      <c r="D372" s="247"/>
      <c r="E372" s="12">
        <v>1.120325637E7</v>
      </c>
      <c r="F372" s="219">
        <v>28.874</v>
      </c>
      <c r="G372" s="250"/>
      <c r="H372" s="251"/>
      <c r="I372" s="236"/>
      <c r="J372" s="242"/>
    </row>
    <row r="373" ht="22.5" customHeight="1">
      <c r="A373" s="242"/>
      <c r="B373" s="242"/>
      <c r="C373" s="247"/>
      <c r="D373" s="247"/>
      <c r="E373" s="25">
        <v>1.4469041128E7</v>
      </c>
      <c r="F373" s="219">
        <v>109.727</v>
      </c>
      <c r="G373" s="250"/>
      <c r="H373" s="251"/>
      <c r="I373" s="236"/>
      <c r="J373" s="242"/>
    </row>
    <row r="374" ht="22.5" customHeight="1">
      <c r="A374" s="242"/>
      <c r="B374" s="242"/>
      <c r="C374" s="247"/>
      <c r="D374" s="247"/>
      <c r="E374" s="12">
        <v>1405386.7674</v>
      </c>
      <c r="F374" s="219">
        <v>55.0506</v>
      </c>
      <c r="G374" s="250"/>
      <c r="H374" s="251"/>
      <c r="I374" s="236"/>
      <c r="J374" s="242"/>
    </row>
    <row r="375" ht="22.5" customHeight="1">
      <c r="A375" s="242"/>
      <c r="B375" s="242"/>
      <c r="C375" s="247"/>
      <c r="D375" s="247"/>
      <c r="E375" s="25">
        <v>2.071294573E7</v>
      </c>
      <c r="F375" s="219">
        <v>122.83</v>
      </c>
      <c r="G375" s="250"/>
      <c r="H375" s="251"/>
      <c r="I375" s="236"/>
      <c r="J375" s="242"/>
    </row>
    <row r="376" ht="22.5" customHeight="1">
      <c r="A376" s="242"/>
      <c r="B376" s="242"/>
      <c r="C376" s="247"/>
      <c r="D376" s="247"/>
      <c r="E376" s="12">
        <v>2236563.3645</v>
      </c>
      <c r="F376" s="219">
        <v>6.1605</v>
      </c>
      <c r="G376" s="250"/>
      <c r="H376" s="251"/>
      <c r="I376" s="236"/>
      <c r="J376" s="242"/>
    </row>
    <row r="377" ht="22.5" customHeight="1">
      <c r="A377" s="242"/>
      <c r="B377" s="242"/>
      <c r="C377" s="247"/>
      <c r="D377" s="247"/>
      <c r="E377" s="25">
        <v>3146472.56</v>
      </c>
      <c r="F377" s="219">
        <v>1.54</v>
      </c>
      <c r="G377" s="250"/>
      <c r="H377" s="251"/>
      <c r="I377" s="236"/>
      <c r="J377" s="242"/>
    </row>
    <row r="378" ht="22.5" customHeight="1">
      <c r="A378" s="242"/>
      <c r="B378" s="242"/>
      <c r="C378" s="247"/>
      <c r="D378" s="247"/>
      <c r="E378" s="12">
        <v>2.176859685E7</v>
      </c>
      <c r="F378" s="219">
        <v>43.505</v>
      </c>
      <c r="G378" s="250"/>
      <c r="H378" s="251"/>
      <c r="I378" s="236"/>
      <c r="J378" s="242"/>
    </row>
    <row r="379" ht="22.5" customHeight="1">
      <c r="A379" s="242"/>
      <c r="B379" s="242"/>
      <c r="C379" s="247"/>
      <c r="D379" s="247"/>
      <c r="E379" s="25">
        <v>376608.94920000003</v>
      </c>
      <c r="F379" s="219">
        <v>10.3938</v>
      </c>
      <c r="G379" s="250"/>
      <c r="H379" s="251"/>
      <c r="I379" s="236"/>
      <c r="J379" s="242"/>
    </row>
    <row r="380" ht="22.5" customHeight="1">
      <c r="A380" s="242"/>
      <c r="B380" s="242"/>
      <c r="C380" s="247"/>
      <c r="D380" s="247"/>
      <c r="E380" s="12">
        <v>6585929.990999999</v>
      </c>
      <c r="F380" s="219">
        <v>11.9346</v>
      </c>
      <c r="G380" s="250"/>
      <c r="H380" s="251"/>
      <c r="I380" s="236"/>
      <c r="J380" s="242"/>
    </row>
    <row r="381" ht="22.5" customHeight="1">
      <c r="A381" s="242"/>
      <c r="B381" s="242"/>
      <c r="C381" s="247"/>
      <c r="D381" s="247"/>
      <c r="E381" s="25">
        <v>5.790874372060001E8</v>
      </c>
      <c r="F381" s="219">
        <v>98.918</v>
      </c>
      <c r="G381" s="250"/>
      <c r="H381" s="251"/>
      <c r="I381" s="236"/>
      <c r="J381" s="242"/>
    </row>
    <row r="382" ht="22.5" customHeight="1">
      <c r="A382" s="242"/>
      <c r="B382" s="242"/>
      <c r="C382" s="247"/>
      <c r="D382" s="247"/>
      <c r="E382" s="12">
        <v>6.226552075E7</v>
      </c>
      <c r="F382" s="219">
        <v>147.47</v>
      </c>
      <c r="G382" s="250"/>
      <c r="H382" s="251"/>
      <c r="I382" s="236"/>
      <c r="J382" s="242"/>
    </row>
    <row r="383" ht="22.5" customHeight="1">
      <c r="A383" s="242"/>
      <c r="B383" s="242"/>
      <c r="C383" s="247"/>
      <c r="D383" s="247"/>
      <c r="E383" s="25">
        <v>4.42771940696E7</v>
      </c>
      <c r="F383" s="219">
        <v>83.5496</v>
      </c>
      <c r="G383" s="250"/>
      <c r="H383" s="251"/>
      <c r="I383" s="236"/>
      <c r="J383" s="242"/>
    </row>
    <row r="384" ht="22.5" customHeight="1">
      <c r="A384" s="242"/>
      <c r="B384" s="242"/>
      <c r="C384" s="247"/>
      <c r="D384" s="247"/>
      <c r="E384" s="12">
        <v>1638021.0</v>
      </c>
      <c r="F384" s="219">
        <v>107.8</v>
      </c>
      <c r="G384" s="250"/>
      <c r="H384" s="251"/>
      <c r="I384" s="236"/>
      <c r="J384" s="242"/>
    </row>
    <row r="385" ht="22.5" customHeight="1">
      <c r="A385" s="242"/>
      <c r="B385" s="242"/>
      <c r="C385" s="247"/>
      <c r="D385" s="247"/>
      <c r="E385" s="25">
        <v>9106538.713</v>
      </c>
      <c r="F385" s="219">
        <v>16.1605</v>
      </c>
      <c r="G385" s="250"/>
      <c r="H385" s="251"/>
      <c r="I385" s="236"/>
      <c r="J385" s="242"/>
    </row>
    <row r="386" ht="22.5" customHeight="1">
      <c r="A386" s="242"/>
      <c r="B386" s="242"/>
      <c r="C386" s="247"/>
      <c r="D386" s="247"/>
      <c r="E386" s="12">
        <v>2.73325206E7</v>
      </c>
      <c r="F386" s="219">
        <v>46.2</v>
      </c>
      <c r="G386" s="250"/>
      <c r="H386" s="251"/>
      <c r="I386" s="236"/>
      <c r="J386" s="242"/>
    </row>
    <row r="387" ht="22.5" customHeight="1">
      <c r="A387" s="242"/>
      <c r="B387" s="242"/>
      <c r="C387" s="247"/>
      <c r="D387" s="247"/>
      <c r="E387" s="25">
        <v>759042.8369999999</v>
      </c>
      <c r="F387" s="219">
        <v>140.0965</v>
      </c>
      <c r="G387" s="250"/>
      <c r="H387" s="251"/>
      <c r="I387" s="236"/>
      <c r="J387" s="242"/>
    </row>
    <row r="388" ht="22.5" customHeight="1">
      <c r="A388" s="242"/>
      <c r="B388" s="242"/>
      <c r="C388" s="247"/>
      <c r="D388" s="247"/>
      <c r="E388" s="12">
        <v>1.3815052983199999E7</v>
      </c>
      <c r="F388" s="219">
        <v>163.5382</v>
      </c>
      <c r="G388" s="250"/>
      <c r="H388" s="251"/>
      <c r="I388" s="236"/>
      <c r="J388" s="242"/>
    </row>
    <row r="389" ht="22.5" customHeight="1">
      <c r="A389" s="242"/>
      <c r="B389" s="242"/>
      <c r="C389" s="247"/>
      <c r="D389" s="247"/>
      <c r="E389" s="25">
        <v>47933.0675</v>
      </c>
      <c r="F389" s="219">
        <v>36.1759</v>
      </c>
      <c r="G389" s="250"/>
      <c r="H389" s="251"/>
      <c r="I389" s="236"/>
      <c r="J389" s="242"/>
    </row>
    <row r="390" ht="22.5" customHeight="1">
      <c r="A390" s="242"/>
      <c r="B390" s="242"/>
      <c r="C390" s="247"/>
      <c r="D390" s="247"/>
      <c r="E390" s="12">
        <v>945980.451</v>
      </c>
      <c r="F390" s="219">
        <v>449.1835</v>
      </c>
      <c r="G390" s="250"/>
      <c r="H390" s="251"/>
      <c r="I390" s="236"/>
      <c r="J390" s="242"/>
    </row>
    <row r="391" ht="22.5" customHeight="1">
      <c r="A391" s="242"/>
      <c r="B391" s="242"/>
      <c r="C391" s="247"/>
      <c r="D391" s="247"/>
      <c r="E391" s="25">
        <v>3983.8070000000002</v>
      </c>
      <c r="F391" s="219">
        <v>17.3209</v>
      </c>
      <c r="G391" s="250"/>
      <c r="H391" s="251"/>
      <c r="I391" s="236"/>
      <c r="J391" s="242"/>
    </row>
    <row r="392" ht="22.5" customHeight="1">
      <c r="A392" s="242"/>
      <c r="B392" s="242"/>
      <c r="C392" s="247"/>
      <c r="D392" s="247"/>
      <c r="E392" s="12">
        <v>4523612.8124</v>
      </c>
      <c r="F392" s="219">
        <v>47.7406</v>
      </c>
      <c r="G392" s="250"/>
      <c r="H392" s="251"/>
      <c r="I392" s="236"/>
      <c r="J392" s="242"/>
    </row>
    <row r="393" ht="22.5" customHeight="1">
      <c r="A393" s="242"/>
      <c r="B393" s="242"/>
      <c r="C393" s="247"/>
      <c r="D393" s="247"/>
      <c r="E393" s="25">
        <v>8.906013222177E8</v>
      </c>
      <c r="F393" s="219">
        <v>201.0773</v>
      </c>
      <c r="G393" s="250"/>
      <c r="H393" s="251"/>
      <c r="I393" s="236"/>
      <c r="J393" s="242"/>
    </row>
    <row r="394" ht="22.5" customHeight="1">
      <c r="A394" s="242"/>
      <c r="B394" s="242"/>
      <c r="C394" s="247"/>
      <c r="D394" s="247"/>
      <c r="E394" s="12">
        <v>2020940.075</v>
      </c>
      <c r="F394" s="219">
        <v>2.695</v>
      </c>
      <c r="G394" s="250"/>
      <c r="H394" s="251"/>
      <c r="I394" s="236"/>
      <c r="J394" s="242"/>
    </row>
    <row r="395" ht="22.5" customHeight="1">
      <c r="A395" s="242"/>
      <c r="B395" s="242"/>
      <c r="C395" s="247"/>
      <c r="D395" s="247"/>
      <c r="E395" s="25">
        <v>1.9678479769E7</v>
      </c>
      <c r="F395" s="219">
        <v>28.873</v>
      </c>
      <c r="G395" s="250"/>
      <c r="H395" s="251"/>
      <c r="I395" s="236"/>
      <c r="J395" s="242"/>
    </row>
    <row r="396" ht="22.5" customHeight="1">
      <c r="A396" s="242"/>
      <c r="B396" s="242"/>
      <c r="C396" s="247"/>
      <c r="D396" s="247"/>
      <c r="E396" s="12">
        <v>2.918269816E7</v>
      </c>
      <c r="F396" s="219">
        <v>11.935</v>
      </c>
      <c r="G396" s="250"/>
      <c r="H396" s="251"/>
      <c r="I396" s="236"/>
      <c r="J396" s="242"/>
    </row>
    <row r="397" ht="22.5" customHeight="1">
      <c r="A397" s="242"/>
      <c r="B397" s="242"/>
      <c r="C397" s="247"/>
      <c r="D397" s="247"/>
      <c r="E397" s="25">
        <v>3.0642963185999997E7</v>
      </c>
      <c r="F397" s="219">
        <v>40.038</v>
      </c>
      <c r="G397" s="250"/>
      <c r="H397" s="251"/>
      <c r="I397" s="236"/>
      <c r="J397" s="242"/>
    </row>
    <row r="398" ht="22.5" customHeight="1">
      <c r="A398" s="242"/>
      <c r="B398" s="242"/>
      <c r="C398" s="247"/>
      <c r="D398" s="247"/>
      <c r="E398" s="12">
        <v>7438559.464</v>
      </c>
      <c r="F398" s="219">
        <v>44.2666</v>
      </c>
      <c r="G398" s="250"/>
      <c r="H398" s="251"/>
      <c r="I398" s="236"/>
      <c r="J398" s="242"/>
    </row>
    <row r="399" ht="22.5" customHeight="1">
      <c r="A399" s="242"/>
      <c r="B399" s="242"/>
      <c r="C399" s="247"/>
      <c r="D399" s="247"/>
      <c r="E399" s="25">
        <v>9.50014567656E7</v>
      </c>
      <c r="F399" s="219">
        <v>92.3976</v>
      </c>
      <c r="G399" s="250"/>
      <c r="H399" s="251"/>
      <c r="I399" s="236"/>
      <c r="J399" s="242"/>
    </row>
    <row r="400" ht="22.5" customHeight="1">
      <c r="A400" s="242"/>
      <c r="B400" s="242"/>
      <c r="C400" s="247"/>
      <c r="D400" s="247"/>
      <c r="E400" s="12">
        <v>1.3799263854E8</v>
      </c>
      <c r="F400" s="219">
        <v>88.243</v>
      </c>
      <c r="G400" s="250"/>
      <c r="H400" s="251"/>
      <c r="I400" s="236"/>
      <c r="J400" s="242"/>
    </row>
    <row r="401" ht="22.5" customHeight="1">
      <c r="A401" s="242"/>
      <c r="B401" s="242"/>
      <c r="C401" s="247"/>
      <c r="D401" s="247"/>
      <c r="E401" s="25">
        <v>2.9913649997E7</v>
      </c>
      <c r="F401" s="219">
        <v>273.007</v>
      </c>
      <c r="G401" s="250"/>
      <c r="H401" s="251"/>
      <c r="I401" s="236"/>
      <c r="J401" s="242"/>
    </row>
    <row r="402" ht="22.5" customHeight="1">
      <c r="A402" s="242"/>
      <c r="B402" s="242"/>
      <c r="C402" s="247"/>
      <c r="D402" s="247"/>
      <c r="E402" s="12">
        <v>2.9421789862000003E7</v>
      </c>
      <c r="F402" s="219">
        <v>51.206</v>
      </c>
      <c r="G402" s="250"/>
      <c r="H402" s="251"/>
      <c r="I402" s="236"/>
      <c r="J402" s="242"/>
    </row>
    <row r="403" ht="22.5" customHeight="1">
      <c r="A403" s="242"/>
      <c r="B403" s="242"/>
      <c r="C403" s="247"/>
      <c r="D403" s="247"/>
      <c r="E403" s="25">
        <v>5393380.319999999</v>
      </c>
      <c r="F403" s="219">
        <v>41.196</v>
      </c>
      <c r="G403" s="250"/>
      <c r="H403" s="251"/>
      <c r="I403" s="236"/>
      <c r="J403" s="242"/>
    </row>
    <row r="404" ht="22.5" customHeight="1">
      <c r="A404" s="242"/>
      <c r="B404" s="242"/>
      <c r="C404" s="247"/>
      <c r="D404" s="247"/>
      <c r="E404" s="12">
        <v>495291.4</v>
      </c>
      <c r="F404" s="219">
        <v>43.325</v>
      </c>
      <c r="G404" s="250"/>
      <c r="H404" s="251"/>
      <c r="I404" s="236"/>
      <c r="J404" s="242"/>
    </row>
    <row r="405" ht="22.5" customHeight="1">
      <c r="A405" s="242"/>
      <c r="B405" s="242"/>
      <c r="C405" s="247"/>
      <c r="D405" s="247"/>
      <c r="E405" s="25">
        <v>9.0861039758E7</v>
      </c>
      <c r="F405" s="219">
        <v>211.903</v>
      </c>
      <c r="G405" s="250"/>
      <c r="H405" s="251"/>
      <c r="I405" s="236"/>
      <c r="J405" s="242"/>
    </row>
    <row r="406" ht="22.5" customHeight="1">
      <c r="A406" s="242"/>
      <c r="B406" s="242"/>
      <c r="C406" s="247"/>
      <c r="D406" s="247"/>
      <c r="E406" s="12">
        <v>51690.1</v>
      </c>
      <c r="F406" s="219">
        <v>94.325</v>
      </c>
      <c r="G406" s="250"/>
      <c r="H406" s="251"/>
      <c r="I406" s="236"/>
      <c r="J406" s="242"/>
    </row>
    <row r="407" ht="22.5" customHeight="1">
      <c r="A407" s="242"/>
      <c r="B407" s="242"/>
      <c r="C407" s="247"/>
      <c r="D407" s="247"/>
      <c r="E407" s="25">
        <v>4070554.9370000004</v>
      </c>
      <c r="F407" s="219">
        <v>32.3278</v>
      </c>
      <c r="G407" s="250"/>
      <c r="H407" s="251"/>
      <c r="I407" s="236"/>
      <c r="J407" s="242"/>
    </row>
    <row r="408" ht="22.5" customHeight="1">
      <c r="A408" s="242"/>
      <c r="B408" s="242"/>
      <c r="C408" s="247"/>
      <c r="D408" s="247"/>
      <c r="E408" s="12">
        <v>9.094563632000001E7</v>
      </c>
      <c r="F408" s="219">
        <v>174.02</v>
      </c>
      <c r="G408" s="250"/>
      <c r="H408" s="251"/>
      <c r="I408" s="236"/>
      <c r="J408" s="242"/>
    </row>
    <row r="409" ht="22.5" customHeight="1">
      <c r="A409" s="242"/>
      <c r="B409" s="242"/>
      <c r="C409" s="247"/>
      <c r="D409" s="247"/>
      <c r="E409" s="25">
        <v>2.60844815693E8</v>
      </c>
      <c r="F409" s="219">
        <v>35.873</v>
      </c>
      <c r="G409" s="250"/>
      <c r="H409" s="251"/>
      <c r="I409" s="236"/>
      <c r="J409" s="242"/>
    </row>
    <row r="410" ht="22.5" customHeight="1">
      <c r="A410" s="242"/>
      <c r="B410" s="242"/>
      <c r="C410" s="247"/>
      <c r="D410" s="247"/>
      <c r="E410" s="12">
        <v>7.46674465574E7</v>
      </c>
      <c r="F410" s="219">
        <v>40.0399</v>
      </c>
      <c r="G410" s="250"/>
      <c r="H410" s="251"/>
      <c r="I410" s="236"/>
      <c r="J410" s="242"/>
    </row>
    <row r="411" ht="22.5" customHeight="1">
      <c r="A411" s="242"/>
      <c r="B411" s="242"/>
      <c r="C411" s="247"/>
      <c r="D411" s="247"/>
      <c r="E411" s="25">
        <v>2.1374692152E7</v>
      </c>
      <c r="F411" s="219">
        <v>8.4667</v>
      </c>
      <c r="G411" s="250"/>
      <c r="H411" s="251"/>
      <c r="I411" s="236"/>
      <c r="J411" s="242"/>
    </row>
    <row r="412" ht="22.5" customHeight="1">
      <c r="A412" s="242"/>
      <c r="B412" s="242"/>
      <c r="C412" s="247"/>
      <c r="D412" s="247"/>
      <c r="E412" s="12">
        <v>2.50836737476E7</v>
      </c>
      <c r="F412" s="219">
        <v>55.4426</v>
      </c>
      <c r="G412" s="250"/>
      <c r="H412" s="251"/>
      <c r="I412" s="236"/>
      <c r="J412" s="242"/>
    </row>
    <row r="413" ht="22.5" customHeight="1">
      <c r="A413" s="242"/>
      <c r="B413" s="242"/>
      <c r="C413" s="247"/>
      <c r="D413" s="247"/>
      <c r="E413" s="25">
        <v>1441953.94</v>
      </c>
      <c r="F413" s="219">
        <v>0.785</v>
      </c>
      <c r="G413" s="250"/>
      <c r="H413" s="251"/>
      <c r="I413" s="236"/>
      <c r="J413" s="242"/>
    </row>
    <row r="414" ht="22.5" customHeight="1">
      <c r="A414" s="242"/>
      <c r="B414" s="242"/>
      <c r="C414" s="247"/>
      <c r="D414" s="247"/>
      <c r="E414" s="12">
        <v>7849449.683999999</v>
      </c>
      <c r="F414" s="219">
        <v>34.266</v>
      </c>
      <c r="G414" s="250"/>
      <c r="H414" s="251"/>
      <c r="I414" s="236"/>
      <c r="J414" s="242"/>
    </row>
    <row r="415" ht="22.5" customHeight="1">
      <c r="A415" s="242"/>
      <c r="B415" s="242"/>
      <c r="C415" s="247"/>
      <c r="D415" s="247"/>
      <c r="E415" s="25">
        <v>1.2299327766E7</v>
      </c>
      <c r="F415" s="219">
        <v>57.366</v>
      </c>
      <c r="G415" s="250"/>
      <c r="H415" s="251"/>
      <c r="I415" s="236"/>
      <c r="J415" s="242"/>
    </row>
    <row r="416" ht="22.5" customHeight="1">
      <c r="A416" s="242"/>
      <c r="B416" s="242"/>
      <c r="C416" s="247"/>
      <c r="D416" s="247"/>
      <c r="E416" s="12">
        <v>3.1745420389999997E7</v>
      </c>
      <c r="F416" s="219">
        <v>72.005</v>
      </c>
      <c r="G416" s="250"/>
      <c r="H416" s="251"/>
      <c r="I416" s="236"/>
      <c r="J416" s="242"/>
    </row>
    <row r="417" ht="22.5" customHeight="1">
      <c r="A417" s="242"/>
      <c r="B417" s="242"/>
      <c r="C417" s="247"/>
      <c r="D417" s="247"/>
      <c r="E417" s="25">
        <v>4620319.75</v>
      </c>
      <c r="F417" s="219">
        <v>35.0356</v>
      </c>
      <c r="G417" s="250"/>
      <c r="H417" s="251"/>
      <c r="I417" s="236"/>
      <c r="J417" s="242"/>
    </row>
    <row r="418" ht="22.5" customHeight="1">
      <c r="A418" s="242"/>
      <c r="B418" s="242"/>
      <c r="C418" s="247"/>
      <c r="D418" s="247"/>
      <c r="E418" s="12">
        <v>7181169.023999999</v>
      </c>
      <c r="F418" s="219">
        <v>71.996</v>
      </c>
      <c r="G418" s="250"/>
      <c r="H418" s="251"/>
      <c r="I418" s="236"/>
      <c r="J418" s="242"/>
    </row>
    <row r="419" ht="22.5" customHeight="1">
      <c r="A419" s="242"/>
      <c r="B419" s="242"/>
      <c r="C419" s="247"/>
      <c r="D419" s="247"/>
      <c r="E419" s="36">
        <v>9533899.7226</v>
      </c>
      <c r="F419" s="219">
        <v>2.7099</v>
      </c>
      <c r="G419" s="250"/>
      <c r="H419" s="251"/>
      <c r="I419" s="236"/>
      <c r="J419" s="242"/>
    </row>
    <row r="420" ht="22.5" customHeight="1">
      <c r="A420" s="242"/>
      <c r="B420" s="242"/>
      <c r="C420" s="247"/>
      <c r="D420" s="247"/>
      <c r="E420" s="32">
        <v>1.60573973472E7</v>
      </c>
      <c r="F420" s="219">
        <v>66.6072</v>
      </c>
      <c r="G420" s="250"/>
      <c r="H420" s="251"/>
      <c r="I420" s="236"/>
      <c r="J420" s="242"/>
    </row>
    <row r="421" ht="22.5" customHeight="1">
      <c r="A421" s="242"/>
      <c r="B421" s="242"/>
      <c r="C421" s="247"/>
      <c r="D421" s="247"/>
      <c r="E421" s="25">
        <v>1.5795087263200002E7</v>
      </c>
      <c r="F421" s="219">
        <v>8.8549</v>
      </c>
      <c r="G421" s="250"/>
      <c r="H421" s="251"/>
      <c r="I421" s="236"/>
      <c r="J421" s="242"/>
    </row>
    <row r="422" ht="22.5" customHeight="1">
      <c r="A422" s="242"/>
      <c r="B422" s="242"/>
      <c r="C422" s="247"/>
      <c r="D422" s="247"/>
      <c r="E422" s="12">
        <v>3347590.2158999997</v>
      </c>
      <c r="F422" s="219">
        <v>16.5551</v>
      </c>
      <c r="G422" s="250"/>
      <c r="H422" s="251"/>
      <c r="I422" s="236"/>
      <c r="J422" s="242"/>
    </row>
    <row r="423" ht="22.5" customHeight="1">
      <c r="A423" s="242"/>
      <c r="B423" s="242"/>
      <c r="C423" s="247"/>
      <c r="D423" s="247"/>
      <c r="E423" s="25">
        <v>833491.136</v>
      </c>
      <c r="F423" s="219">
        <v>97.0304</v>
      </c>
      <c r="G423" s="250"/>
      <c r="H423" s="251"/>
      <c r="I423" s="236"/>
      <c r="J423" s="242"/>
    </row>
    <row r="424" ht="22.5" customHeight="1">
      <c r="A424" s="242"/>
      <c r="B424" s="242"/>
      <c r="C424" s="247"/>
      <c r="D424" s="247"/>
      <c r="E424" s="12">
        <v>1.70791159476E7</v>
      </c>
      <c r="F424" s="219">
        <v>23.0924</v>
      </c>
      <c r="G424" s="250"/>
      <c r="H424" s="251"/>
      <c r="I424" s="236"/>
      <c r="J424" s="242"/>
    </row>
    <row r="425" ht="22.5" customHeight="1">
      <c r="A425" s="242"/>
      <c r="B425" s="242"/>
      <c r="C425" s="247"/>
      <c r="D425" s="247"/>
      <c r="E425" s="25">
        <v>2.0605956264E7</v>
      </c>
      <c r="F425" s="219">
        <v>61.596</v>
      </c>
      <c r="G425" s="250"/>
      <c r="H425" s="251"/>
      <c r="I425" s="236"/>
      <c r="J425" s="242"/>
    </row>
    <row r="426" ht="22.5" customHeight="1">
      <c r="A426" s="242"/>
      <c r="B426" s="242"/>
      <c r="C426" s="247"/>
      <c r="D426" s="247"/>
      <c r="E426" s="12">
        <v>239091.7217</v>
      </c>
      <c r="F426" s="16">
        <v>61.6057</v>
      </c>
      <c r="G426" s="250"/>
      <c r="H426" s="251"/>
      <c r="I426" s="236"/>
      <c r="J426" s="242"/>
    </row>
    <row r="427" ht="22.5" customHeight="1">
      <c r="A427" s="242"/>
      <c r="B427" s="242"/>
      <c r="C427" s="247"/>
      <c r="D427" s="247"/>
      <c r="E427" s="25">
        <v>2.2833760391999997E7</v>
      </c>
      <c r="F427" s="16">
        <v>61.596</v>
      </c>
      <c r="G427" s="250"/>
      <c r="H427" s="251"/>
      <c r="I427" s="236"/>
      <c r="J427" s="242"/>
    </row>
    <row r="428" ht="22.5" customHeight="1">
      <c r="A428" s="242"/>
      <c r="B428" s="242"/>
      <c r="C428" s="247"/>
      <c r="D428" s="247"/>
      <c r="E428" s="12">
        <v>1724423.085</v>
      </c>
      <c r="F428" s="16">
        <v>11.165</v>
      </c>
      <c r="G428" s="250"/>
      <c r="H428" s="251"/>
      <c r="I428" s="236"/>
      <c r="J428" s="242"/>
    </row>
    <row r="429" ht="22.5" customHeight="1">
      <c r="A429" s="242"/>
      <c r="B429" s="242"/>
      <c r="C429" s="247"/>
      <c r="D429" s="247"/>
      <c r="E429" s="25">
        <v>1.510509E7</v>
      </c>
      <c r="F429" s="16">
        <v>46.2</v>
      </c>
      <c r="G429" s="250"/>
      <c r="H429" s="251"/>
      <c r="I429" s="236"/>
      <c r="J429" s="242"/>
    </row>
    <row r="430" ht="22.5" customHeight="1">
      <c r="A430" s="242"/>
      <c r="B430" s="242"/>
      <c r="C430" s="247"/>
      <c r="D430" s="247"/>
      <c r="E430" s="12">
        <v>8002151.850000001</v>
      </c>
      <c r="F430" s="16">
        <v>1.925</v>
      </c>
      <c r="G430" s="250"/>
      <c r="H430" s="251"/>
      <c r="I430" s="236"/>
      <c r="J430" s="242"/>
    </row>
    <row r="431" ht="22.5" customHeight="1">
      <c r="A431" s="242"/>
      <c r="B431" s="242"/>
      <c r="C431" s="247"/>
      <c r="D431" s="247"/>
      <c r="E431" s="25">
        <v>6257139.7964</v>
      </c>
      <c r="F431" s="16">
        <v>11.5462</v>
      </c>
      <c r="G431" s="250"/>
      <c r="H431" s="251"/>
      <c r="I431" s="236"/>
      <c r="J431" s="242"/>
    </row>
    <row r="432" ht="22.5" customHeight="1">
      <c r="A432" s="242"/>
      <c r="B432" s="242"/>
      <c r="C432" s="247"/>
      <c r="D432" s="247"/>
      <c r="E432" s="12">
        <v>3103321.7600000002</v>
      </c>
      <c r="F432" s="16">
        <v>1.54</v>
      </c>
      <c r="G432" s="250"/>
      <c r="H432" s="251"/>
      <c r="I432" s="236"/>
      <c r="J432" s="242"/>
    </row>
    <row r="433" ht="22.5" customHeight="1">
      <c r="A433" s="242"/>
      <c r="B433" s="242"/>
      <c r="C433" s="247"/>
      <c r="D433" s="247"/>
      <c r="E433" s="25">
        <v>3254988.167</v>
      </c>
      <c r="F433" s="16">
        <v>118.187</v>
      </c>
      <c r="G433" s="250"/>
      <c r="H433" s="251"/>
      <c r="I433" s="236"/>
      <c r="J433" s="242"/>
    </row>
    <row r="434" ht="22.5" customHeight="1">
      <c r="A434" s="242"/>
      <c r="B434" s="242"/>
      <c r="C434" s="247"/>
      <c r="D434" s="247"/>
      <c r="E434" s="12">
        <v>2.3647556921280003E8</v>
      </c>
      <c r="F434" s="16">
        <v>79.7716</v>
      </c>
      <c r="G434" s="250"/>
      <c r="H434" s="251"/>
      <c r="I434" s="236"/>
      <c r="J434" s="242"/>
    </row>
    <row r="435" ht="22.5" customHeight="1">
      <c r="A435" s="242"/>
      <c r="B435" s="242"/>
      <c r="C435" s="247"/>
      <c r="D435" s="247"/>
      <c r="E435" s="25">
        <v>2051969.92</v>
      </c>
      <c r="F435" s="16">
        <v>5.005</v>
      </c>
      <c r="G435" s="250"/>
      <c r="H435" s="251"/>
      <c r="I435" s="236"/>
      <c r="J435" s="242"/>
    </row>
    <row r="436" ht="22.5" customHeight="1">
      <c r="A436" s="242"/>
      <c r="B436" s="242"/>
      <c r="C436" s="247"/>
      <c r="D436" s="247"/>
      <c r="E436" s="12">
        <v>3.6356117204E7</v>
      </c>
      <c r="F436" s="16">
        <v>74.302</v>
      </c>
      <c r="G436" s="250"/>
      <c r="H436" s="251"/>
      <c r="I436" s="236"/>
      <c r="J436" s="242"/>
    </row>
    <row r="437" ht="22.5" customHeight="1">
      <c r="A437" s="242"/>
      <c r="B437" s="242"/>
      <c r="C437" s="247"/>
      <c r="D437" s="247"/>
      <c r="E437" s="25">
        <v>1.2783095325E7</v>
      </c>
      <c r="F437" s="16">
        <v>66.2165</v>
      </c>
      <c r="G437" s="250"/>
      <c r="H437" s="251"/>
      <c r="I437" s="236"/>
      <c r="J437" s="242"/>
    </row>
    <row r="438" ht="22.5" customHeight="1">
      <c r="A438" s="242"/>
      <c r="B438" s="242"/>
      <c r="C438" s="247"/>
      <c r="D438" s="247"/>
      <c r="E438" s="12">
        <v>3.59567980897E7</v>
      </c>
      <c r="F438" s="16">
        <v>143.6221</v>
      </c>
      <c r="G438" s="250"/>
      <c r="H438" s="251"/>
      <c r="I438" s="236"/>
      <c r="J438" s="242"/>
    </row>
    <row r="439" ht="22.5" customHeight="1">
      <c r="A439" s="242"/>
      <c r="B439" s="242"/>
      <c r="C439" s="247"/>
      <c r="D439" s="247"/>
      <c r="E439" s="25">
        <v>37482.060000000005</v>
      </c>
      <c r="F439" s="16">
        <v>14.63</v>
      </c>
      <c r="G439" s="250"/>
      <c r="H439" s="251"/>
      <c r="I439" s="236"/>
      <c r="J439" s="242"/>
    </row>
    <row r="440" ht="22.5" customHeight="1">
      <c r="A440" s="242"/>
      <c r="B440" s="242"/>
      <c r="C440" s="247"/>
      <c r="D440" s="247"/>
      <c r="E440" s="12">
        <v>1.315300448E7</v>
      </c>
      <c r="F440" s="16">
        <v>12.32</v>
      </c>
      <c r="G440" s="250"/>
      <c r="H440" s="251"/>
      <c r="I440" s="236"/>
      <c r="J440" s="242"/>
    </row>
    <row r="441" ht="22.5" customHeight="1">
      <c r="A441" s="242"/>
      <c r="B441" s="242"/>
      <c r="C441" s="247"/>
      <c r="D441" s="247"/>
      <c r="E441" s="25">
        <v>2.2993720484E7</v>
      </c>
      <c r="F441" s="16">
        <v>11.164</v>
      </c>
      <c r="G441" s="250"/>
      <c r="H441" s="251"/>
      <c r="I441" s="236"/>
      <c r="J441" s="242"/>
    </row>
    <row r="442" ht="22.5" customHeight="1">
      <c r="A442" s="242"/>
      <c r="B442" s="242"/>
      <c r="C442" s="247"/>
      <c r="D442" s="247"/>
      <c r="E442" s="12">
        <v>1.2584519639999999E7</v>
      </c>
      <c r="F442" s="16">
        <v>83.16</v>
      </c>
      <c r="G442" s="250"/>
      <c r="H442" s="251"/>
      <c r="I442" s="236"/>
      <c r="J442" s="242"/>
    </row>
    <row r="443" ht="22.5" customHeight="1">
      <c r="A443" s="242"/>
      <c r="B443" s="242"/>
      <c r="C443" s="247"/>
      <c r="D443" s="247"/>
      <c r="E443" s="25">
        <v>4348274.967</v>
      </c>
      <c r="F443" s="16">
        <v>6.543</v>
      </c>
      <c r="G443" s="250"/>
      <c r="H443" s="251"/>
      <c r="I443" s="236"/>
      <c r="J443" s="242"/>
    </row>
    <row r="444" ht="22.5" customHeight="1">
      <c r="A444" s="242"/>
      <c r="B444" s="242"/>
      <c r="C444" s="247"/>
      <c r="D444" s="247"/>
      <c r="E444" s="12">
        <v>820937.425</v>
      </c>
      <c r="F444" s="16">
        <v>1.925</v>
      </c>
      <c r="G444" s="250"/>
      <c r="H444" s="251"/>
      <c r="I444" s="236"/>
      <c r="J444" s="242"/>
    </row>
    <row r="445" ht="22.5" customHeight="1">
      <c r="A445" s="242"/>
      <c r="B445" s="242"/>
      <c r="C445" s="247"/>
      <c r="D445" s="247"/>
      <c r="E445" s="25">
        <v>9164020.859000001</v>
      </c>
      <c r="F445" s="16">
        <v>9.2369</v>
      </c>
      <c r="G445" s="250"/>
      <c r="H445" s="251"/>
      <c r="I445" s="236"/>
      <c r="J445" s="242"/>
    </row>
    <row r="446" ht="22.5" customHeight="1">
      <c r="A446" s="242"/>
      <c r="B446" s="242"/>
      <c r="C446" s="247"/>
      <c r="D446" s="247"/>
      <c r="E446" s="12">
        <v>6524522.109</v>
      </c>
      <c r="F446" s="16">
        <v>4.0803</v>
      </c>
      <c r="G446" s="250"/>
      <c r="H446" s="251"/>
      <c r="I446" s="236"/>
      <c r="J446" s="242"/>
    </row>
    <row r="447" ht="22.5" customHeight="1">
      <c r="A447" s="242"/>
      <c r="B447" s="242"/>
      <c r="C447" s="247"/>
      <c r="D447" s="247"/>
      <c r="E447" s="25">
        <v>2170549.5501</v>
      </c>
      <c r="F447" s="16">
        <v>52.3617</v>
      </c>
      <c r="G447" s="250"/>
      <c r="H447" s="251"/>
      <c r="I447" s="236"/>
      <c r="J447" s="242"/>
    </row>
    <row r="448" ht="22.5" customHeight="1">
      <c r="A448" s="242"/>
      <c r="B448" s="242"/>
      <c r="C448" s="247"/>
      <c r="D448" s="247"/>
      <c r="E448" s="59">
        <v>76045.20000000001</v>
      </c>
      <c r="F448" s="63">
        <v>46.2</v>
      </c>
      <c r="G448" s="236"/>
      <c r="H448" s="251"/>
      <c r="I448" s="236"/>
      <c r="J448" s="242"/>
    </row>
    <row r="449" ht="22.5" customHeight="1">
      <c r="A449" s="242"/>
      <c r="B449" s="242"/>
      <c r="C449" s="247"/>
      <c r="D449" s="247"/>
      <c r="E449" s="25">
        <v>3.64783074648E7</v>
      </c>
      <c r="F449" s="16">
        <v>61.9886</v>
      </c>
      <c r="G449" s="250"/>
      <c r="H449" s="251"/>
      <c r="I449" s="236"/>
      <c r="J449" s="242"/>
    </row>
    <row r="450" ht="22.5" customHeight="1">
      <c r="A450" s="242"/>
      <c r="B450" s="242"/>
      <c r="C450" s="247"/>
      <c r="D450" s="247"/>
      <c r="E450" s="12">
        <v>8.1313729316E7</v>
      </c>
      <c r="F450" s="219">
        <v>164.407</v>
      </c>
      <c r="G450" s="250"/>
      <c r="H450" s="251"/>
      <c r="I450" s="236"/>
      <c r="J450" s="242"/>
    </row>
    <row r="451" ht="22.5" customHeight="1">
      <c r="A451" s="242"/>
      <c r="B451" s="242"/>
      <c r="C451" s="247"/>
      <c r="D451" s="247"/>
      <c r="E451" s="25">
        <v>1.8995781441E7</v>
      </c>
      <c r="F451" s="16">
        <v>70.833</v>
      </c>
      <c r="G451" s="250"/>
      <c r="H451" s="251"/>
      <c r="I451" s="236"/>
      <c r="J451" s="242"/>
    </row>
    <row r="452" ht="22.5" customHeight="1">
      <c r="A452" s="242"/>
      <c r="B452" s="242"/>
      <c r="C452" s="247"/>
      <c r="D452" s="247"/>
      <c r="E452" s="12">
        <v>2.25014328E7</v>
      </c>
      <c r="F452" s="16">
        <v>15.4</v>
      </c>
      <c r="G452" s="250"/>
      <c r="H452" s="251"/>
      <c r="I452" s="236"/>
      <c r="J452" s="242"/>
    </row>
    <row r="453" ht="22.5" customHeight="1">
      <c r="A453" s="242"/>
      <c r="B453" s="242"/>
      <c r="C453" s="247"/>
      <c r="D453" s="247"/>
      <c r="E453" s="25">
        <v>1.1019226883E7</v>
      </c>
      <c r="F453" s="16">
        <v>31.9585</v>
      </c>
      <c r="G453" s="250"/>
      <c r="H453" s="251"/>
      <c r="I453" s="236"/>
      <c r="J453" s="242"/>
    </row>
    <row r="454" ht="22.5" customHeight="1">
      <c r="A454" s="242"/>
      <c r="B454" s="242"/>
      <c r="C454" s="247"/>
      <c r="D454" s="247"/>
      <c r="E454" s="12">
        <v>2.3361656734E7</v>
      </c>
      <c r="F454" s="16">
        <v>137.449</v>
      </c>
      <c r="G454" s="250"/>
      <c r="H454" s="251"/>
      <c r="I454" s="236"/>
      <c r="J454" s="242"/>
    </row>
    <row r="455" ht="22.5" customHeight="1">
      <c r="A455" s="242"/>
      <c r="B455" s="242"/>
      <c r="C455" s="247"/>
      <c r="D455" s="247"/>
      <c r="E455" s="25">
        <v>2048850.6500000001</v>
      </c>
      <c r="F455" s="16">
        <v>0.77</v>
      </c>
      <c r="G455" s="250"/>
      <c r="H455" s="251"/>
      <c r="I455" s="236"/>
      <c r="J455" s="242"/>
    </row>
    <row r="456" ht="22.5" customHeight="1">
      <c r="A456" s="242"/>
      <c r="B456" s="242"/>
      <c r="C456" s="247"/>
      <c r="D456" s="247"/>
      <c r="E456" s="12">
        <v>635532.1569</v>
      </c>
      <c r="F456" s="16">
        <v>34.6509</v>
      </c>
      <c r="G456" s="250"/>
      <c r="H456" s="251"/>
      <c r="I456" s="236"/>
      <c r="J456" s="242"/>
    </row>
    <row r="457" ht="22.5" customHeight="1">
      <c r="A457" s="242"/>
      <c r="B457" s="242"/>
      <c r="C457" s="247"/>
      <c r="D457" s="247"/>
      <c r="E457" s="25">
        <v>6231859.052</v>
      </c>
      <c r="F457" s="16">
        <v>6.158</v>
      </c>
      <c r="G457" s="250"/>
      <c r="H457" s="251"/>
      <c r="I457" s="236"/>
      <c r="J457" s="242"/>
    </row>
    <row r="458" ht="22.5" customHeight="1">
      <c r="A458" s="242"/>
      <c r="B458" s="242"/>
      <c r="C458" s="247"/>
      <c r="D458" s="247"/>
      <c r="E458" s="12">
        <v>4.267220804E7</v>
      </c>
      <c r="F458" s="16">
        <v>98.945</v>
      </c>
      <c r="G458" s="250"/>
      <c r="H458" s="251"/>
      <c r="I458" s="236"/>
      <c r="J458" s="242"/>
    </row>
    <row r="459" ht="22.5" customHeight="1">
      <c r="A459" s="242"/>
      <c r="B459" s="242"/>
      <c r="C459" s="247"/>
      <c r="D459" s="247"/>
      <c r="E459" s="25">
        <v>133064.855</v>
      </c>
      <c r="F459" s="16">
        <v>0.385</v>
      </c>
      <c r="G459" s="250"/>
      <c r="H459" s="251"/>
      <c r="I459" s="236"/>
      <c r="J459" s="242"/>
    </row>
    <row r="460" ht="22.5" customHeight="1">
      <c r="A460" s="242"/>
      <c r="B460" s="242"/>
      <c r="C460" s="247"/>
      <c r="D460" s="247"/>
      <c r="E460" s="12">
        <v>5.36371978917E7</v>
      </c>
      <c r="F460" s="16">
        <v>45.8077</v>
      </c>
      <c r="G460" s="250"/>
      <c r="H460" s="251"/>
      <c r="I460" s="236"/>
      <c r="J460" s="242"/>
    </row>
    <row r="461" ht="22.5" customHeight="1">
      <c r="A461" s="242"/>
      <c r="B461" s="242"/>
      <c r="C461" s="247"/>
      <c r="D461" s="247"/>
      <c r="E461" s="25">
        <v>1.2224862264999999E7</v>
      </c>
      <c r="F461" s="16">
        <v>45.815</v>
      </c>
      <c r="G461" s="250"/>
      <c r="H461" s="251"/>
      <c r="I461" s="236"/>
      <c r="J461" s="242"/>
    </row>
    <row r="462" ht="22.5" customHeight="1">
      <c r="A462" s="242"/>
      <c r="B462" s="242"/>
      <c r="C462" s="247"/>
      <c r="D462" s="247"/>
      <c r="E462" s="12">
        <v>1.630295975E7</v>
      </c>
      <c r="F462" s="16">
        <v>9.625</v>
      </c>
      <c r="G462" s="250"/>
      <c r="H462" s="251"/>
      <c r="I462" s="236"/>
      <c r="J462" s="242"/>
    </row>
    <row r="463" ht="22.5" customHeight="1">
      <c r="A463" s="242"/>
      <c r="B463" s="242"/>
      <c r="C463" s="247"/>
      <c r="D463" s="247"/>
      <c r="E463" s="25">
        <v>189681.24000000002</v>
      </c>
      <c r="F463" s="16">
        <v>132.83</v>
      </c>
      <c r="G463" s="250"/>
      <c r="H463" s="251"/>
      <c r="I463" s="236"/>
      <c r="J463" s="242"/>
    </row>
    <row r="464" ht="22.5" customHeight="1">
      <c r="A464" s="242"/>
      <c r="B464" s="242"/>
      <c r="C464" s="247"/>
      <c r="D464" s="247"/>
      <c r="E464" s="12">
        <v>220217.6</v>
      </c>
      <c r="F464" s="16">
        <v>12.16</v>
      </c>
      <c r="G464" s="250"/>
      <c r="H464" s="251"/>
      <c r="I464" s="236"/>
      <c r="J464" s="242"/>
    </row>
    <row r="465" ht="22.5" customHeight="1">
      <c r="A465" s="242"/>
      <c r="B465" s="242"/>
      <c r="C465" s="247"/>
      <c r="D465" s="247"/>
      <c r="E465" s="25">
        <v>1.096749963E7</v>
      </c>
      <c r="F465" s="16">
        <v>192.0753</v>
      </c>
      <c r="G465" s="250"/>
      <c r="H465" s="251"/>
      <c r="I465" s="236"/>
      <c r="J465" s="242"/>
    </row>
    <row r="466" ht="22.5" customHeight="1">
      <c r="A466" s="242"/>
      <c r="B466" s="242"/>
      <c r="C466" s="247"/>
      <c r="D466" s="247"/>
      <c r="E466" s="12">
        <v>8.89139430476E7</v>
      </c>
      <c r="F466" s="16">
        <v>63.5228</v>
      </c>
      <c r="G466" s="250"/>
      <c r="H466" s="251"/>
      <c r="I466" s="236"/>
      <c r="J466" s="242"/>
    </row>
    <row r="467" ht="22.5" customHeight="1">
      <c r="A467" s="242"/>
      <c r="B467" s="242"/>
      <c r="C467" s="247"/>
      <c r="D467" s="247"/>
      <c r="E467" s="25">
        <v>3.32451735E7</v>
      </c>
      <c r="F467" s="16">
        <v>50.82</v>
      </c>
      <c r="G467" s="250"/>
      <c r="H467" s="251"/>
      <c r="I467" s="236"/>
      <c r="J467" s="242"/>
    </row>
    <row r="468" ht="22.5" customHeight="1">
      <c r="A468" s="242"/>
      <c r="B468" s="242"/>
      <c r="C468" s="247"/>
      <c r="D468" s="247"/>
      <c r="E468" s="12">
        <v>1.0233102879999999E7</v>
      </c>
      <c r="F468" s="16">
        <v>40.04</v>
      </c>
      <c r="G468" s="250"/>
      <c r="H468" s="251"/>
      <c r="I468" s="236"/>
      <c r="J468" s="242"/>
    </row>
    <row r="469" ht="22.5" customHeight="1">
      <c r="A469" s="242"/>
      <c r="B469" s="242"/>
      <c r="C469" s="247"/>
      <c r="D469" s="247"/>
      <c r="E469" s="25">
        <v>2.23866656788E7</v>
      </c>
      <c r="F469" s="16">
        <v>45.0358</v>
      </c>
      <c r="G469" s="250"/>
      <c r="H469" s="251"/>
      <c r="I469" s="236"/>
      <c r="J469" s="242"/>
    </row>
    <row r="470" ht="22.5" customHeight="1">
      <c r="A470" s="242"/>
      <c r="B470" s="242"/>
      <c r="C470" s="247"/>
      <c r="D470" s="247"/>
      <c r="E470" s="12">
        <v>3.042169515E7</v>
      </c>
      <c r="F470" s="16">
        <v>65.835</v>
      </c>
      <c r="G470" s="250"/>
      <c r="H470" s="251"/>
      <c r="I470" s="236"/>
      <c r="J470" s="242"/>
    </row>
    <row r="471" ht="22.5" customHeight="1">
      <c r="A471" s="242"/>
      <c r="B471" s="242"/>
      <c r="C471" s="247"/>
      <c r="D471" s="247"/>
      <c r="E471" s="25">
        <v>2.16118634688E7</v>
      </c>
      <c r="F471" s="16">
        <v>107.8092</v>
      </c>
      <c r="G471" s="250"/>
      <c r="H471" s="251"/>
      <c r="I471" s="236"/>
      <c r="J471" s="242"/>
    </row>
    <row r="472" ht="22.5" customHeight="1">
      <c r="A472" s="242"/>
      <c r="B472" s="242"/>
      <c r="C472" s="247"/>
      <c r="D472" s="247"/>
      <c r="E472" s="12">
        <v>3.14917573113E7</v>
      </c>
      <c r="F472" s="219">
        <v>150.1173</v>
      </c>
      <c r="G472" s="250"/>
      <c r="H472" s="251"/>
      <c r="I472" s="236"/>
      <c r="J472" s="242"/>
    </row>
    <row r="473" ht="22.5" customHeight="1">
      <c r="A473" s="242"/>
      <c r="B473" s="242"/>
      <c r="C473" s="247"/>
      <c r="D473" s="247"/>
      <c r="E473" s="25">
        <v>7898975.162400001</v>
      </c>
      <c r="F473" s="16">
        <v>40.0386</v>
      </c>
      <c r="G473" s="250"/>
      <c r="H473" s="251"/>
      <c r="I473" s="236"/>
      <c r="J473" s="242"/>
    </row>
    <row r="474" ht="22.5" customHeight="1">
      <c r="A474" s="242"/>
      <c r="B474" s="242"/>
      <c r="C474" s="247"/>
      <c r="D474" s="247"/>
      <c r="E474" s="12">
        <v>3123402.468</v>
      </c>
      <c r="F474" s="16">
        <v>71.996</v>
      </c>
      <c r="G474" s="250"/>
      <c r="H474" s="251"/>
      <c r="I474" s="236"/>
      <c r="J474" s="242"/>
    </row>
    <row r="475" ht="22.5" customHeight="1">
      <c r="A475" s="242"/>
      <c r="B475" s="242"/>
      <c r="C475" s="247"/>
      <c r="D475" s="247"/>
      <c r="E475" s="25">
        <v>1300163.4511</v>
      </c>
      <c r="F475" s="16">
        <v>38.1179</v>
      </c>
      <c r="G475" s="250"/>
      <c r="H475" s="251"/>
      <c r="I475" s="236"/>
      <c r="J475" s="242"/>
    </row>
    <row r="476" ht="22.5" customHeight="1">
      <c r="A476" s="242"/>
      <c r="B476" s="242"/>
      <c r="C476" s="247"/>
      <c r="D476" s="247"/>
      <c r="E476" s="12">
        <v>1.37055836558E7</v>
      </c>
      <c r="F476" s="16">
        <v>171.2299</v>
      </c>
      <c r="G476" s="250"/>
      <c r="H476" s="251"/>
      <c r="I476" s="236"/>
      <c r="J476" s="242"/>
    </row>
    <row r="477" ht="22.5" customHeight="1">
      <c r="A477" s="242"/>
      <c r="B477" s="242"/>
      <c r="C477" s="247"/>
      <c r="D477" s="247"/>
      <c r="E477" s="25">
        <v>8.805748485000001E7</v>
      </c>
      <c r="F477" s="16">
        <v>118.194</v>
      </c>
      <c r="G477" s="250"/>
      <c r="H477" s="251"/>
      <c r="I477" s="236"/>
      <c r="J477" s="242"/>
    </row>
    <row r="478" ht="22.5" customHeight="1">
      <c r="A478" s="242"/>
      <c r="B478" s="242"/>
      <c r="C478" s="247"/>
      <c r="D478" s="247"/>
      <c r="E478" s="12">
        <v>3.47520586677E8</v>
      </c>
      <c r="F478" s="219">
        <v>134.5993</v>
      </c>
      <c r="G478" s="250"/>
      <c r="H478" s="251"/>
      <c r="I478" s="236"/>
      <c r="J478" s="242"/>
    </row>
    <row r="479" ht="22.5" customHeight="1">
      <c r="A479" s="242"/>
      <c r="B479" s="242"/>
      <c r="C479" s="247"/>
      <c r="D479" s="247"/>
      <c r="E479" s="25">
        <v>2646839.9188</v>
      </c>
      <c r="F479" s="16">
        <v>4310.8142</v>
      </c>
      <c r="G479" s="250"/>
      <c r="H479" s="251"/>
      <c r="I479" s="236"/>
      <c r="J479" s="242"/>
    </row>
    <row r="480" ht="22.5" customHeight="1">
      <c r="A480" s="242"/>
      <c r="B480" s="242"/>
      <c r="C480" s="247"/>
      <c r="D480" s="247"/>
      <c r="E480" s="12">
        <v>2.71204675552E7</v>
      </c>
      <c r="F480" s="16">
        <v>214.0729</v>
      </c>
      <c r="G480" s="250"/>
      <c r="H480" s="251"/>
      <c r="I480" s="236"/>
      <c r="J480" s="242"/>
    </row>
    <row r="481" ht="22.5" customHeight="1">
      <c r="A481" s="242"/>
      <c r="B481" s="242"/>
      <c r="C481" s="247"/>
      <c r="D481" s="247"/>
      <c r="E481" s="25">
        <v>3.922774973E7</v>
      </c>
      <c r="F481" s="16">
        <v>77.41</v>
      </c>
      <c r="G481" s="250"/>
      <c r="H481" s="251"/>
      <c r="I481" s="236"/>
      <c r="J481" s="242"/>
    </row>
    <row r="482" ht="22.5" customHeight="1">
      <c r="A482" s="242"/>
      <c r="B482" s="242"/>
      <c r="C482" s="247"/>
      <c r="D482" s="247"/>
      <c r="E482" s="12">
        <v>6835852.1</v>
      </c>
      <c r="F482" s="16">
        <v>22.715</v>
      </c>
      <c r="G482" s="250"/>
      <c r="H482" s="251"/>
      <c r="I482" s="236"/>
      <c r="J482" s="242"/>
    </row>
    <row r="483" ht="22.5" customHeight="1">
      <c r="A483" s="242"/>
      <c r="B483" s="242"/>
      <c r="C483" s="247"/>
      <c r="D483" s="247"/>
      <c r="E483" s="25">
        <v>3307616.8216000004</v>
      </c>
      <c r="F483" s="16">
        <v>23.0924</v>
      </c>
      <c r="G483" s="250"/>
      <c r="H483" s="251"/>
      <c r="I483" s="236"/>
      <c r="J483" s="242"/>
    </row>
    <row r="484" ht="22.5" customHeight="1">
      <c r="A484" s="242"/>
      <c r="B484" s="242"/>
      <c r="C484" s="247"/>
      <c r="D484" s="247"/>
      <c r="E484" s="12">
        <v>1640803.6701</v>
      </c>
      <c r="F484" s="16">
        <v>2694.2589</v>
      </c>
      <c r="G484" s="250"/>
      <c r="H484" s="251"/>
      <c r="I484" s="236"/>
      <c r="J484" s="242"/>
    </row>
    <row r="485" ht="22.5" customHeight="1">
      <c r="A485" s="242"/>
      <c r="B485" s="242"/>
      <c r="C485" s="247"/>
      <c r="D485" s="247"/>
      <c r="E485" s="25">
        <v>1.4397272273999998E8</v>
      </c>
      <c r="F485" s="16">
        <v>217.14</v>
      </c>
      <c r="G485" s="250"/>
      <c r="H485" s="251"/>
      <c r="I485" s="236"/>
      <c r="J485" s="242"/>
    </row>
    <row r="486" ht="22.5" customHeight="1">
      <c r="A486" s="242"/>
      <c r="B486" s="242"/>
      <c r="C486" s="247"/>
      <c r="D486" s="247"/>
      <c r="E486" s="12">
        <v>3.011152781584E8</v>
      </c>
      <c r="F486" s="219">
        <v>127.8124</v>
      </c>
      <c r="G486" s="250"/>
      <c r="H486" s="251"/>
      <c r="I486" s="236"/>
      <c r="J486" s="242"/>
    </row>
    <row r="487" ht="22.5" customHeight="1">
      <c r="A487" s="242"/>
      <c r="B487" s="242"/>
      <c r="C487" s="247"/>
      <c r="D487" s="247"/>
      <c r="E487" s="25">
        <v>8871251.235</v>
      </c>
      <c r="F487" s="16">
        <v>33.495</v>
      </c>
      <c r="G487" s="250"/>
      <c r="H487" s="251"/>
      <c r="I487" s="236"/>
      <c r="J487" s="242"/>
    </row>
    <row r="488" ht="22.5" customHeight="1">
      <c r="A488" s="242"/>
      <c r="B488" s="242"/>
      <c r="C488" s="247"/>
      <c r="D488" s="247"/>
      <c r="E488" s="12">
        <v>82798.06079999999</v>
      </c>
      <c r="F488" s="16">
        <v>61.6057</v>
      </c>
      <c r="G488" s="250"/>
      <c r="H488" s="251"/>
      <c r="I488" s="236"/>
      <c r="J488" s="242"/>
    </row>
    <row r="489" ht="22.5" customHeight="1">
      <c r="A489" s="242"/>
      <c r="B489" s="242"/>
      <c r="C489" s="247"/>
      <c r="D489" s="247"/>
      <c r="E489" s="25">
        <v>3626297.371</v>
      </c>
      <c r="F489" s="16">
        <v>169.003</v>
      </c>
      <c r="G489" s="250"/>
      <c r="H489" s="251"/>
      <c r="I489" s="236"/>
      <c r="J489" s="242"/>
    </row>
    <row r="490" ht="22.5" customHeight="1">
      <c r="A490" s="242"/>
      <c r="B490" s="242"/>
      <c r="C490" s="247"/>
      <c r="D490" s="247"/>
      <c r="E490" s="12">
        <v>233966.306</v>
      </c>
      <c r="F490" s="16">
        <v>21.946</v>
      </c>
      <c r="G490" s="250"/>
      <c r="H490" s="251"/>
      <c r="I490" s="236"/>
      <c r="J490" s="242"/>
    </row>
    <row r="491" ht="22.5" customHeight="1">
      <c r="A491" s="242"/>
      <c r="B491" s="242"/>
      <c r="C491" s="247"/>
      <c r="D491" s="247"/>
      <c r="E491" s="25">
        <v>324028.32</v>
      </c>
      <c r="F491" s="16">
        <v>67.76</v>
      </c>
      <c r="G491" s="250"/>
      <c r="H491" s="251"/>
      <c r="I491" s="236"/>
      <c r="J491" s="242"/>
    </row>
    <row r="492" ht="22.5" customHeight="1">
      <c r="A492" s="242"/>
      <c r="B492" s="242"/>
      <c r="C492" s="247"/>
      <c r="D492" s="247"/>
      <c r="E492" s="12">
        <v>9975074.746000001</v>
      </c>
      <c r="F492" s="16">
        <v>46.5842</v>
      </c>
      <c r="G492" s="250"/>
      <c r="H492" s="251"/>
      <c r="I492" s="236"/>
      <c r="J492" s="242"/>
    </row>
    <row r="493" ht="22.5" customHeight="1">
      <c r="A493" s="242"/>
      <c r="B493" s="242"/>
      <c r="C493" s="247"/>
      <c r="D493" s="247"/>
      <c r="E493" s="25">
        <v>1.183820058E7</v>
      </c>
      <c r="F493" s="16">
        <v>29.2536</v>
      </c>
      <c r="G493" s="250"/>
      <c r="H493" s="251"/>
      <c r="I493" s="236"/>
      <c r="J493" s="242"/>
    </row>
    <row r="494" ht="22.5" customHeight="1">
      <c r="A494" s="242"/>
      <c r="B494" s="242"/>
      <c r="C494" s="247"/>
      <c r="D494" s="247"/>
      <c r="E494" s="12">
        <v>2549416.0999999996</v>
      </c>
      <c r="F494" s="16">
        <v>10.78</v>
      </c>
      <c r="G494" s="250"/>
      <c r="H494" s="251"/>
      <c r="I494" s="236"/>
      <c r="J494" s="242"/>
    </row>
    <row r="495" ht="22.5" customHeight="1">
      <c r="A495" s="242"/>
      <c r="B495" s="242"/>
      <c r="C495" s="247"/>
      <c r="D495" s="247"/>
      <c r="E495" s="25">
        <v>1.82888435834E7</v>
      </c>
      <c r="F495" s="16">
        <v>164.4074</v>
      </c>
      <c r="G495" s="250"/>
      <c r="H495" s="251"/>
      <c r="I495" s="236"/>
      <c r="J495" s="242"/>
    </row>
    <row r="496" ht="22.5" customHeight="1">
      <c r="A496" s="242"/>
      <c r="B496" s="242"/>
      <c r="C496" s="247"/>
      <c r="D496" s="247"/>
      <c r="E496" s="12">
        <v>3.87922913658E7</v>
      </c>
      <c r="F496" s="219">
        <v>341.4033</v>
      </c>
      <c r="G496" s="250"/>
      <c r="H496" s="251"/>
      <c r="I496" s="236"/>
      <c r="J496" s="242"/>
    </row>
    <row r="497" ht="22.5" customHeight="1">
      <c r="A497" s="242"/>
      <c r="B497" s="242"/>
      <c r="C497" s="247"/>
      <c r="D497" s="247"/>
      <c r="E497" s="25">
        <v>9388939.206</v>
      </c>
      <c r="F497" s="16">
        <v>40.422</v>
      </c>
      <c r="G497" s="250"/>
      <c r="H497" s="251"/>
      <c r="I497" s="236"/>
      <c r="J497" s="242"/>
    </row>
    <row r="498" ht="22.5" customHeight="1">
      <c r="A498" s="242"/>
      <c r="B498" s="242"/>
      <c r="C498" s="247"/>
      <c r="D498" s="247"/>
      <c r="E498" s="12">
        <v>3.1644351648E7</v>
      </c>
      <c r="F498" s="16">
        <v>112.0392</v>
      </c>
      <c r="G498" s="250"/>
      <c r="H498" s="251"/>
      <c r="I498" s="236"/>
      <c r="J498" s="242"/>
    </row>
    <row r="499" ht="22.5" customHeight="1">
      <c r="A499" s="242"/>
      <c r="B499" s="242"/>
      <c r="C499" s="247"/>
      <c r="D499" s="247"/>
      <c r="E499" s="25">
        <v>7.19573459831E7</v>
      </c>
      <c r="F499" s="219">
        <v>82.0123</v>
      </c>
      <c r="G499" s="250"/>
      <c r="H499" s="251"/>
      <c r="I499" s="236"/>
      <c r="J499" s="242"/>
    </row>
    <row r="500" ht="22.5" customHeight="1">
      <c r="A500" s="242"/>
      <c r="B500" s="242"/>
      <c r="C500" s="247"/>
      <c r="D500" s="247"/>
      <c r="E500" s="12">
        <v>3.1948027148900002E7</v>
      </c>
      <c r="F500" s="16">
        <v>64.6589</v>
      </c>
      <c r="G500" s="250"/>
      <c r="H500" s="251"/>
      <c r="I500" s="236"/>
      <c r="J500" s="242"/>
    </row>
    <row r="501" ht="22.5" customHeight="1">
      <c r="A501" s="242"/>
      <c r="B501" s="242"/>
      <c r="C501" s="247"/>
      <c r="D501" s="247"/>
      <c r="E501" s="25">
        <v>2898501.7600000002</v>
      </c>
      <c r="F501" s="16">
        <v>67.76</v>
      </c>
      <c r="G501" s="250"/>
      <c r="H501" s="251"/>
      <c r="I501" s="236"/>
      <c r="J501" s="242"/>
    </row>
    <row r="502" ht="22.5" customHeight="1">
      <c r="A502" s="242"/>
      <c r="B502" s="242"/>
      <c r="C502" s="247"/>
      <c r="D502" s="247"/>
      <c r="E502" s="12">
        <v>3.9335004744E7</v>
      </c>
      <c r="F502" s="219">
        <v>129.738</v>
      </c>
      <c r="G502" s="250"/>
      <c r="H502" s="251"/>
      <c r="I502" s="236"/>
      <c r="J502" s="242"/>
    </row>
    <row r="503" ht="22.5" customHeight="1">
      <c r="A503" s="242"/>
      <c r="B503" s="242"/>
      <c r="C503" s="247"/>
      <c r="D503" s="247"/>
      <c r="E503" s="25">
        <v>2.19951194408E7</v>
      </c>
      <c r="F503" s="16">
        <v>16.5544</v>
      </c>
      <c r="G503" s="250"/>
      <c r="H503" s="251"/>
      <c r="I503" s="236"/>
      <c r="J503" s="242"/>
    </row>
    <row r="504" ht="22.5" customHeight="1">
      <c r="A504" s="242"/>
      <c r="B504" s="242"/>
      <c r="C504" s="247"/>
      <c r="D504" s="247"/>
      <c r="E504" s="12">
        <v>2166682.5574000003</v>
      </c>
      <c r="F504" s="16">
        <v>63.5279</v>
      </c>
      <c r="G504" s="250"/>
      <c r="H504" s="251"/>
      <c r="I504" s="236"/>
      <c r="J504" s="242"/>
    </row>
    <row r="505" ht="22.5" customHeight="1">
      <c r="A505" s="242"/>
      <c r="B505" s="242"/>
      <c r="C505" s="247"/>
      <c r="D505" s="247"/>
      <c r="E505" s="25">
        <v>345037.0323</v>
      </c>
      <c r="F505" s="16">
        <v>172.4323</v>
      </c>
      <c r="G505" s="250"/>
      <c r="H505" s="251"/>
      <c r="I505" s="236"/>
      <c r="J505" s="242"/>
    </row>
    <row r="506" ht="22.5" customHeight="1">
      <c r="A506" s="242"/>
      <c r="B506" s="242"/>
      <c r="C506" s="247"/>
      <c r="D506" s="247"/>
      <c r="E506" s="12">
        <v>5.47056218775E7</v>
      </c>
      <c r="F506" s="16">
        <v>189.3485</v>
      </c>
      <c r="G506" s="250"/>
      <c r="H506" s="251"/>
      <c r="I506" s="236"/>
      <c r="J506" s="242"/>
    </row>
    <row r="507" ht="22.5" customHeight="1">
      <c r="A507" s="242"/>
      <c r="B507" s="242"/>
      <c r="C507" s="247"/>
      <c r="D507" s="247"/>
      <c r="E507" s="25">
        <v>7.955887723200001E7</v>
      </c>
      <c r="F507" s="219">
        <v>107.8092</v>
      </c>
      <c r="G507" s="250"/>
      <c r="H507" s="251"/>
      <c r="I507" s="236"/>
      <c r="J507" s="242"/>
    </row>
    <row r="508" ht="22.5" customHeight="1">
      <c r="A508" s="242"/>
      <c r="B508" s="242"/>
      <c r="C508" s="247"/>
      <c r="D508" s="247"/>
      <c r="E508" s="12">
        <v>2162676.9096</v>
      </c>
      <c r="F508" s="16">
        <v>11.1652</v>
      </c>
      <c r="G508" s="250"/>
      <c r="H508" s="251"/>
      <c r="I508" s="236"/>
      <c r="J508" s="242"/>
    </row>
    <row r="509" ht="22.5" customHeight="1">
      <c r="A509" s="242"/>
      <c r="B509" s="242"/>
      <c r="C509" s="247"/>
      <c r="D509" s="247"/>
      <c r="E509" s="25">
        <v>4.5062542276E7</v>
      </c>
      <c r="F509" s="16">
        <v>25.796</v>
      </c>
      <c r="G509" s="250"/>
      <c r="H509" s="251"/>
      <c r="I509" s="236"/>
      <c r="J509" s="242"/>
    </row>
    <row r="510" ht="22.5" customHeight="1">
      <c r="A510" s="242"/>
      <c r="B510" s="242"/>
      <c r="C510" s="247"/>
      <c r="D510" s="247"/>
      <c r="E510" s="12">
        <v>1.12476596258E7</v>
      </c>
      <c r="F510" s="16">
        <v>11.9353</v>
      </c>
      <c r="G510" s="250"/>
      <c r="H510" s="251"/>
      <c r="I510" s="236"/>
      <c r="J510" s="242"/>
    </row>
    <row r="511" ht="22.5" customHeight="1">
      <c r="A511" s="242"/>
      <c r="B511" s="242"/>
      <c r="C511" s="247"/>
      <c r="D511" s="247"/>
      <c r="E511" s="25">
        <v>4.45295463017E7</v>
      </c>
      <c r="F511" s="16">
        <v>128.9437</v>
      </c>
      <c r="G511" s="250"/>
      <c r="H511" s="251"/>
      <c r="I511" s="236"/>
      <c r="J511" s="242"/>
    </row>
    <row r="512" ht="22.5" customHeight="1">
      <c r="A512" s="242"/>
      <c r="B512" s="242"/>
      <c r="C512" s="247"/>
      <c r="D512" s="247"/>
      <c r="E512" s="12">
        <v>7.409104208399999E7</v>
      </c>
      <c r="F512" s="16">
        <v>66.603</v>
      </c>
      <c r="G512" s="250"/>
      <c r="H512" s="251"/>
      <c r="I512" s="236"/>
      <c r="J512" s="242"/>
    </row>
    <row r="513" ht="22.5" customHeight="1">
      <c r="A513" s="242"/>
      <c r="B513" s="242"/>
      <c r="C513" s="247"/>
      <c r="D513" s="247"/>
      <c r="E513" s="25">
        <v>1158762.78</v>
      </c>
      <c r="F513" s="16">
        <v>175.172</v>
      </c>
      <c r="G513" s="250"/>
      <c r="H513" s="251"/>
      <c r="I513" s="236"/>
      <c r="J513" s="242"/>
    </row>
    <row r="514" ht="22.5" customHeight="1">
      <c r="A514" s="242"/>
      <c r="B514" s="242"/>
      <c r="C514" s="247"/>
      <c r="D514" s="247"/>
      <c r="E514" s="12">
        <v>143924.55</v>
      </c>
      <c r="F514" s="16">
        <v>6.545</v>
      </c>
      <c r="G514" s="250"/>
      <c r="H514" s="251"/>
      <c r="I514" s="236"/>
      <c r="J514" s="242"/>
    </row>
    <row r="515" ht="22.5" customHeight="1">
      <c r="A515" s="242"/>
      <c r="B515" s="242"/>
      <c r="C515" s="247"/>
      <c r="D515" s="247"/>
      <c r="E515" s="25">
        <v>10360.45</v>
      </c>
      <c r="F515" s="16">
        <v>19.01</v>
      </c>
      <c r="G515" s="250"/>
      <c r="H515" s="251"/>
      <c r="I515" s="236"/>
      <c r="J515" s="242"/>
    </row>
    <row r="516" ht="22.5" customHeight="1">
      <c r="A516" s="242"/>
      <c r="B516" s="242"/>
      <c r="C516" s="247"/>
      <c r="D516" s="247"/>
      <c r="E516" s="12">
        <v>2.78441934336E7</v>
      </c>
      <c r="F516" s="16">
        <v>72.7656</v>
      </c>
      <c r="G516" s="250"/>
      <c r="H516" s="251"/>
      <c r="I516" s="236"/>
      <c r="J516" s="242"/>
    </row>
    <row r="517" ht="22.5" customHeight="1">
      <c r="A517" s="242"/>
      <c r="B517" s="242"/>
      <c r="C517" s="247"/>
      <c r="D517" s="247"/>
      <c r="E517" s="25">
        <v>5165.16</v>
      </c>
      <c r="F517" s="16">
        <v>40.04</v>
      </c>
      <c r="G517" s="250"/>
      <c r="H517" s="251"/>
      <c r="I517" s="236"/>
      <c r="J517" s="242"/>
    </row>
    <row r="518" ht="22.5" customHeight="1">
      <c r="A518" s="242"/>
      <c r="B518" s="242"/>
      <c r="C518" s="247"/>
      <c r="D518" s="247"/>
      <c r="E518" s="12">
        <v>3.0764253134999998E7</v>
      </c>
      <c r="F518" s="16">
        <v>49.6538</v>
      </c>
      <c r="G518" s="250"/>
      <c r="H518" s="251"/>
      <c r="I518" s="236"/>
      <c r="J518" s="242"/>
    </row>
    <row r="519" ht="22.5" customHeight="1">
      <c r="A519" s="242"/>
      <c r="B519" s="242"/>
      <c r="C519" s="247"/>
      <c r="D519" s="247"/>
      <c r="E519" s="25">
        <v>8.5678805773E7</v>
      </c>
      <c r="F519" s="16">
        <v>109.339</v>
      </c>
      <c r="G519" s="250"/>
      <c r="H519" s="251"/>
      <c r="I519" s="236"/>
      <c r="J519" s="242"/>
    </row>
    <row r="520" ht="22.5" customHeight="1">
      <c r="A520" s="242"/>
      <c r="B520" s="242"/>
      <c r="C520" s="247"/>
      <c r="D520" s="247"/>
      <c r="E520" s="12">
        <v>1.2307246875E7</v>
      </c>
      <c r="F520" s="16">
        <v>28.875</v>
      </c>
      <c r="G520" s="250"/>
      <c r="H520" s="251"/>
      <c r="I520" s="236"/>
      <c r="J520" s="242"/>
    </row>
    <row r="521" ht="22.5" customHeight="1">
      <c r="A521" s="242"/>
      <c r="B521" s="242"/>
      <c r="C521" s="247"/>
      <c r="D521" s="247"/>
      <c r="E521" s="25">
        <v>7437016.588</v>
      </c>
      <c r="F521" s="16">
        <v>21.946</v>
      </c>
      <c r="G521" s="250"/>
      <c r="H521" s="251"/>
      <c r="I521" s="236"/>
      <c r="J521" s="242"/>
    </row>
    <row r="522" ht="22.5" customHeight="1">
      <c r="A522" s="242"/>
      <c r="B522" s="242"/>
      <c r="C522" s="247"/>
      <c r="D522" s="247"/>
      <c r="E522" s="12">
        <v>9.383250027E7</v>
      </c>
      <c r="F522" s="219">
        <v>74.31</v>
      </c>
      <c r="G522" s="250"/>
      <c r="H522" s="251"/>
      <c r="I522" s="236"/>
      <c r="J522" s="242"/>
    </row>
    <row r="523" ht="22.5" customHeight="1">
      <c r="A523" s="242"/>
      <c r="B523" s="242"/>
      <c r="C523" s="247"/>
      <c r="D523" s="247"/>
      <c r="E523" s="25">
        <v>3.3524352785E7</v>
      </c>
      <c r="F523" s="16">
        <v>11.935</v>
      </c>
      <c r="G523" s="250"/>
      <c r="H523" s="251"/>
      <c r="I523" s="236"/>
      <c r="J523" s="242"/>
    </row>
    <row r="524" ht="22.5" customHeight="1">
      <c r="A524" s="242"/>
      <c r="B524" s="242"/>
      <c r="C524" s="247"/>
      <c r="D524" s="247"/>
      <c r="E524" s="12">
        <v>1914198.44</v>
      </c>
      <c r="F524" s="16">
        <v>1.54</v>
      </c>
      <c r="G524" s="250"/>
      <c r="H524" s="251"/>
      <c r="I524" s="236"/>
      <c r="J524" s="242"/>
    </row>
    <row r="525" ht="22.5" customHeight="1">
      <c r="A525" s="242"/>
      <c r="B525" s="242"/>
      <c r="C525" s="247"/>
      <c r="D525" s="247"/>
      <c r="E525" s="25">
        <v>5001934.245</v>
      </c>
      <c r="F525" s="16">
        <v>41.965</v>
      </c>
      <c r="G525" s="250"/>
      <c r="H525" s="251"/>
      <c r="I525" s="236"/>
      <c r="J525" s="242"/>
    </row>
    <row r="526" ht="22.5" customHeight="1">
      <c r="A526" s="242"/>
      <c r="B526" s="242"/>
      <c r="C526" s="247"/>
      <c r="D526" s="247"/>
      <c r="E526" s="12">
        <v>7.44367609712E7</v>
      </c>
      <c r="F526" s="16">
        <v>128.9788</v>
      </c>
      <c r="G526" s="250"/>
      <c r="H526" s="251"/>
      <c r="I526" s="236"/>
      <c r="J526" s="242"/>
    </row>
    <row r="527" ht="22.5" customHeight="1">
      <c r="A527" s="242"/>
      <c r="B527" s="242"/>
      <c r="C527" s="247"/>
      <c r="D527" s="247"/>
      <c r="E527" s="25">
        <v>828597.0</v>
      </c>
      <c r="F527" s="16">
        <v>4.62</v>
      </c>
      <c r="G527" s="250"/>
      <c r="H527" s="251"/>
      <c r="I527" s="236"/>
      <c r="J527" s="242"/>
    </row>
    <row r="528" ht="22.5" customHeight="1">
      <c r="A528" s="242"/>
      <c r="B528" s="242"/>
      <c r="C528" s="247"/>
      <c r="D528" s="247"/>
      <c r="E528" s="12">
        <v>5.330291581999999E7</v>
      </c>
      <c r="F528" s="219">
        <v>44.66</v>
      </c>
      <c r="G528" s="250"/>
      <c r="H528" s="251"/>
      <c r="I528" s="236"/>
      <c r="J528" s="242"/>
    </row>
    <row r="529" ht="22.5" customHeight="1">
      <c r="A529" s="242"/>
      <c r="B529" s="242"/>
      <c r="C529" s="247"/>
      <c r="D529" s="247"/>
      <c r="E529" s="25">
        <v>6.94806306E7</v>
      </c>
      <c r="F529" s="219">
        <v>95.1</v>
      </c>
      <c r="G529" s="250"/>
      <c r="H529" s="251"/>
      <c r="I529" s="236"/>
      <c r="J529" s="242"/>
    </row>
    <row r="530" ht="22.5" customHeight="1">
      <c r="A530" s="242"/>
      <c r="B530" s="242"/>
      <c r="C530" s="247"/>
      <c r="D530" s="247"/>
      <c r="E530" s="12">
        <v>1.2175307219319999E8</v>
      </c>
      <c r="F530" s="16">
        <v>48.1153</v>
      </c>
      <c r="G530" s="250"/>
      <c r="H530" s="251"/>
      <c r="I530" s="236"/>
      <c r="J530" s="242"/>
    </row>
    <row r="531" ht="22.5" customHeight="1">
      <c r="A531" s="242"/>
      <c r="B531" s="242"/>
      <c r="C531" s="247"/>
      <c r="D531" s="247"/>
      <c r="E531" s="25">
        <v>1.733911102E7</v>
      </c>
      <c r="F531" s="16">
        <v>44.66</v>
      </c>
      <c r="G531" s="250"/>
      <c r="H531" s="251"/>
      <c r="I531" s="236"/>
      <c r="J531" s="242"/>
    </row>
    <row r="532" ht="22.5" customHeight="1">
      <c r="A532" s="242"/>
      <c r="B532" s="242"/>
      <c r="C532" s="247"/>
      <c r="D532" s="247"/>
      <c r="E532" s="12">
        <v>1.721917659E7</v>
      </c>
      <c r="F532" s="16">
        <v>11.165</v>
      </c>
      <c r="G532" s="250"/>
      <c r="H532" s="251"/>
      <c r="I532" s="236"/>
      <c r="J532" s="242"/>
    </row>
    <row r="533" ht="22.5" customHeight="1">
      <c r="A533" s="242"/>
      <c r="B533" s="242"/>
      <c r="C533" s="247"/>
      <c r="D533" s="247"/>
      <c r="E533" s="25">
        <v>730202.5499999999</v>
      </c>
      <c r="F533" s="16">
        <v>220.605</v>
      </c>
      <c r="G533" s="250"/>
      <c r="H533" s="251"/>
      <c r="I533" s="236"/>
      <c r="J533" s="242"/>
    </row>
    <row r="534" ht="22.5" customHeight="1">
      <c r="A534" s="242"/>
      <c r="B534" s="242"/>
      <c r="C534" s="247"/>
      <c r="D534" s="247"/>
      <c r="E534" s="12">
        <v>1.9674606067199998E7</v>
      </c>
      <c r="F534" s="16">
        <v>25.4016</v>
      </c>
      <c r="G534" s="250"/>
      <c r="H534" s="251"/>
      <c r="I534" s="236"/>
      <c r="J534" s="242"/>
    </row>
    <row r="535" ht="22.5" customHeight="1">
      <c r="A535" s="242"/>
      <c r="B535" s="242"/>
      <c r="C535" s="247"/>
      <c r="D535" s="247"/>
      <c r="E535" s="25">
        <v>2950683.1845</v>
      </c>
      <c r="F535" s="16">
        <v>13.8559</v>
      </c>
      <c r="G535" s="250"/>
      <c r="H535" s="251"/>
      <c r="I535" s="236"/>
      <c r="J535" s="242"/>
    </row>
    <row r="536" ht="22.5" customHeight="1">
      <c r="A536" s="242"/>
      <c r="B536" s="242"/>
      <c r="C536" s="247"/>
      <c r="D536" s="247"/>
      <c r="E536" s="12">
        <v>1.4008097557999998E8</v>
      </c>
      <c r="F536" s="16">
        <v>274.82</v>
      </c>
      <c r="G536" s="250"/>
      <c r="H536" s="251"/>
      <c r="I536" s="236"/>
      <c r="J536" s="242"/>
    </row>
    <row r="537" ht="22.5" customHeight="1">
      <c r="A537" s="242"/>
      <c r="B537" s="242"/>
      <c r="C537" s="247"/>
      <c r="D537" s="247"/>
      <c r="E537" s="25">
        <v>1.8401158075E7</v>
      </c>
      <c r="F537" s="16">
        <v>103.175</v>
      </c>
      <c r="G537" s="250"/>
      <c r="H537" s="251"/>
      <c r="I537" s="236"/>
      <c r="J537" s="242"/>
    </row>
    <row r="538" ht="22.5" customHeight="1">
      <c r="A538" s="242"/>
      <c r="B538" s="242"/>
      <c r="C538" s="247"/>
      <c r="D538" s="247"/>
      <c r="E538" s="12">
        <v>8714285.58</v>
      </c>
      <c r="F538" s="16">
        <v>4.62</v>
      </c>
      <c r="G538" s="250"/>
      <c r="H538" s="251"/>
      <c r="I538" s="236"/>
      <c r="J538" s="242"/>
    </row>
    <row r="539" ht="22.5" customHeight="1">
      <c r="A539" s="242"/>
      <c r="B539" s="242"/>
      <c r="C539" s="247"/>
      <c r="D539" s="247"/>
      <c r="E539" s="25">
        <v>5131190.1762</v>
      </c>
      <c r="F539" s="16">
        <v>32.3994</v>
      </c>
      <c r="G539" s="250"/>
      <c r="H539" s="251"/>
      <c r="I539" s="236"/>
      <c r="J539" s="242"/>
    </row>
    <row r="540" ht="22.5" customHeight="1">
      <c r="A540" s="242"/>
      <c r="B540" s="242"/>
      <c r="C540" s="247"/>
      <c r="D540" s="247"/>
      <c r="E540" s="12">
        <v>447879.07</v>
      </c>
      <c r="F540" s="16">
        <v>175.57</v>
      </c>
      <c r="G540" s="250"/>
      <c r="H540" s="251"/>
      <c r="I540" s="236"/>
      <c r="J540" s="242"/>
    </row>
    <row r="541" ht="22.5" customHeight="1">
      <c r="A541" s="242"/>
      <c r="B541" s="242"/>
      <c r="C541" s="247"/>
      <c r="D541" s="247"/>
      <c r="E541" s="25">
        <v>9819272.991</v>
      </c>
      <c r="F541" s="16">
        <v>185.161</v>
      </c>
      <c r="G541" s="250"/>
      <c r="H541" s="251"/>
      <c r="I541" s="236"/>
      <c r="J541" s="242"/>
    </row>
    <row r="542" ht="22.5" customHeight="1">
      <c r="A542" s="242"/>
      <c r="B542" s="242"/>
      <c r="C542" s="247"/>
      <c r="D542" s="247"/>
      <c r="E542" s="12">
        <v>7354909.54</v>
      </c>
      <c r="F542" s="16">
        <v>1.385</v>
      </c>
      <c r="G542" s="250"/>
      <c r="H542" s="251"/>
      <c r="I542" s="236"/>
      <c r="J542" s="242"/>
    </row>
    <row r="543" ht="22.5" customHeight="1">
      <c r="A543" s="242"/>
      <c r="B543" s="242"/>
      <c r="C543" s="247"/>
      <c r="D543" s="247"/>
      <c r="E543" s="25">
        <v>4.2514143364E8</v>
      </c>
      <c r="F543" s="219">
        <v>252.715</v>
      </c>
      <c r="G543" s="250"/>
      <c r="H543" s="251"/>
      <c r="I543" s="236"/>
      <c r="J543" s="242"/>
    </row>
    <row r="544" ht="22.5" customHeight="1">
      <c r="A544" s="242"/>
      <c r="B544" s="242"/>
      <c r="C544" s="247"/>
      <c r="D544" s="247"/>
      <c r="E544" s="67">
        <v>6.750557645168598E9</v>
      </c>
      <c r="F544" s="69">
        <f>sum(ALL[[#TOTALS],[Population]]/ALL[[#TOTALS],[Area (Km)]])</f>
        <v>53.72462378</v>
      </c>
      <c r="G544" s="236"/>
      <c r="H544" s="251"/>
      <c r="I544" s="236"/>
      <c r="J544" s="242"/>
    </row>
    <row r="545" ht="22.5" customHeight="1">
      <c r="A545" s="242"/>
      <c r="B545" s="242"/>
      <c r="C545" s="247"/>
      <c r="D545" s="247"/>
      <c r="E545" s="246"/>
      <c r="F545" s="16"/>
      <c r="G545" s="250"/>
      <c r="H545" s="251"/>
      <c r="I545" s="236"/>
      <c r="J545" s="242"/>
    </row>
    <row r="546" ht="22.5" customHeight="1">
      <c r="A546" s="242"/>
      <c r="B546" s="242"/>
      <c r="C546" s="247"/>
      <c r="D546" s="247"/>
      <c r="E546" s="248"/>
      <c r="F546" s="4"/>
      <c r="G546" s="250"/>
      <c r="H546" s="251"/>
      <c r="I546" s="236"/>
      <c r="J546" s="242"/>
    </row>
    <row r="547" ht="22.5" customHeight="1">
      <c r="A547" s="242"/>
      <c r="B547" s="242"/>
      <c r="C547" s="247"/>
      <c r="D547" s="247"/>
      <c r="E547" s="248"/>
      <c r="F547" s="4"/>
      <c r="G547" s="250"/>
      <c r="H547" s="251"/>
      <c r="I547" s="236"/>
      <c r="J547" s="242"/>
    </row>
    <row r="548" ht="22.5" customHeight="1">
      <c r="A548" s="242"/>
      <c r="B548" s="242"/>
      <c r="C548" s="247"/>
      <c r="D548" s="247"/>
      <c r="E548" s="248"/>
      <c r="F548" s="4"/>
      <c r="G548" s="250"/>
      <c r="H548" s="251"/>
      <c r="I548" s="236"/>
      <c r="J548" s="242"/>
    </row>
    <row r="549" ht="22.5" customHeight="1">
      <c r="A549" s="242"/>
      <c r="B549" s="242"/>
      <c r="C549" s="247"/>
      <c r="D549" s="247"/>
      <c r="E549" s="248"/>
      <c r="F549" s="4"/>
      <c r="G549" s="250"/>
      <c r="H549" s="251"/>
      <c r="I549" s="236"/>
      <c r="J549" s="242"/>
    </row>
    <row r="550" ht="22.5" customHeight="1">
      <c r="A550" s="242"/>
      <c r="B550" s="242"/>
      <c r="C550" s="247"/>
      <c r="D550" s="247"/>
      <c r="E550" s="248"/>
      <c r="F550" s="4"/>
      <c r="G550" s="250"/>
      <c r="H550" s="251"/>
      <c r="I550" s="236"/>
      <c r="J550" s="242"/>
    </row>
    <row r="551" ht="22.5" customHeight="1">
      <c r="A551" s="242"/>
      <c r="B551" s="242"/>
      <c r="C551" s="247"/>
      <c r="D551" s="247"/>
      <c r="E551" s="248"/>
      <c r="F551" s="4"/>
      <c r="G551" s="250"/>
      <c r="H551" s="251"/>
      <c r="I551" s="236"/>
      <c r="J551" s="242"/>
    </row>
    <row r="552" ht="22.5" customHeight="1">
      <c r="A552" s="242"/>
      <c r="B552" s="242"/>
      <c r="C552" s="247"/>
      <c r="D552" s="247"/>
      <c r="E552" s="248"/>
      <c r="F552" s="4"/>
      <c r="G552" s="250"/>
      <c r="H552" s="251"/>
      <c r="I552" s="236"/>
      <c r="J552" s="242"/>
    </row>
    <row r="553" ht="22.5" customHeight="1">
      <c r="A553" s="242"/>
      <c r="B553" s="242"/>
      <c r="C553" s="247"/>
      <c r="D553" s="247"/>
      <c r="E553" s="248"/>
      <c r="F553" s="4"/>
      <c r="G553" s="250"/>
      <c r="H553" s="251"/>
      <c r="I553" s="236"/>
      <c r="J553" s="242"/>
    </row>
    <row r="554" ht="22.5" customHeight="1">
      <c r="A554" s="242"/>
      <c r="B554" s="242"/>
      <c r="C554" s="247"/>
      <c r="D554" s="247"/>
      <c r="E554" s="248"/>
      <c r="F554" s="4"/>
      <c r="G554" s="250"/>
      <c r="H554" s="251"/>
      <c r="I554" s="236"/>
      <c r="J554" s="242"/>
    </row>
    <row r="555" ht="22.5" customHeight="1">
      <c r="A555" s="242"/>
      <c r="B555" s="242"/>
      <c r="C555" s="247"/>
      <c r="D555" s="247"/>
      <c r="E555" s="248"/>
      <c r="F555" s="4"/>
      <c r="G555" s="250"/>
      <c r="H555" s="251"/>
      <c r="I555" s="236"/>
      <c r="J555" s="242"/>
    </row>
    <row r="556" ht="22.5" customHeight="1">
      <c r="A556" s="242"/>
      <c r="B556" s="242"/>
      <c r="C556" s="247"/>
      <c r="D556" s="247"/>
      <c r="E556" s="2" t="s">
        <v>1</v>
      </c>
      <c r="F556" s="5" t="s">
        <v>9</v>
      </c>
      <c r="G556" s="250"/>
      <c r="H556" s="251"/>
      <c r="I556" s="236"/>
      <c r="J556" s="242"/>
    </row>
    <row r="557" ht="22.5" customHeight="1">
      <c r="A557" s="242"/>
      <c r="B557" s="242"/>
      <c r="C557" s="247"/>
      <c r="D557" s="247"/>
      <c r="E557" s="12">
        <v>1.120325637E7</v>
      </c>
      <c r="F557" s="219">
        <v>28.874</v>
      </c>
      <c r="G557" s="250"/>
      <c r="H557" s="251"/>
      <c r="I557" s="236"/>
      <c r="J557" s="242"/>
    </row>
    <row r="558" ht="22.5" customHeight="1">
      <c r="A558" s="242"/>
      <c r="B558" s="242"/>
      <c r="C558" s="247"/>
      <c r="D558" s="247"/>
      <c r="E558" s="25">
        <v>1.4469041128E7</v>
      </c>
      <c r="F558" s="219">
        <v>109.727</v>
      </c>
      <c r="G558" s="250"/>
      <c r="H558" s="251"/>
      <c r="I558" s="236"/>
      <c r="J558" s="242"/>
    </row>
    <row r="559" ht="22.5" customHeight="1">
      <c r="A559" s="242"/>
      <c r="B559" s="242"/>
      <c r="C559" s="247"/>
      <c r="D559" s="247"/>
      <c r="E559" s="12">
        <v>1405386.7674</v>
      </c>
      <c r="F559" s="219">
        <v>55.0506</v>
      </c>
      <c r="G559" s="250"/>
      <c r="H559" s="251"/>
      <c r="I559" s="236"/>
      <c r="J559" s="242"/>
    </row>
    <row r="560" ht="22.5" customHeight="1">
      <c r="A560" s="242"/>
      <c r="B560" s="242"/>
      <c r="C560" s="247"/>
      <c r="D560" s="247"/>
      <c r="E560" s="25">
        <v>2.071294573E7</v>
      </c>
      <c r="F560" s="219">
        <v>122.83</v>
      </c>
      <c r="G560" s="250"/>
      <c r="H560" s="251"/>
      <c r="I560" s="236"/>
      <c r="J560" s="242"/>
    </row>
    <row r="561" ht="22.5" customHeight="1">
      <c r="A561" s="242"/>
      <c r="B561" s="242"/>
      <c r="C561" s="247"/>
      <c r="D561" s="247"/>
      <c r="E561" s="12">
        <v>2236563.3645</v>
      </c>
      <c r="F561" s="219">
        <v>6.1605</v>
      </c>
      <c r="G561" s="250"/>
      <c r="H561" s="251"/>
      <c r="I561" s="236"/>
      <c r="J561" s="242"/>
    </row>
    <row r="562" ht="22.5" customHeight="1">
      <c r="A562" s="242"/>
      <c r="B562" s="242"/>
      <c r="C562" s="247"/>
      <c r="D562" s="247"/>
      <c r="E562" s="25">
        <v>3146472.56</v>
      </c>
      <c r="F562" s="219">
        <v>1.54</v>
      </c>
      <c r="G562" s="250"/>
      <c r="H562" s="251"/>
      <c r="I562" s="236"/>
      <c r="J562" s="242"/>
    </row>
    <row r="563" ht="22.5" customHeight="1">
      <c r="A563" s="242"/>
      <c r="B563" s="242"/>
      <c r="C563" s="247"/>
      <c r="D563" s="247"/>
      <c r="E563" s="12">
        <v>2.176859685E7</v>
      </c>
      <c r="F563" s="219">
        <v>43.505</v>
      </c>
      <c r="G563" s="250"/>
      <c r="H563" s="251"/>
      <c r="I563" s="236"/>
      <c r="J563" s="242"/>
    </row>
    <row r="564" ht="22.5" customHeight="1">
      <c r="A564" s="242"/>
      <c r="B564" s="242"/>
      <c r="C564" s="247"/>
      <c r="D564" s="247"/>
      <c r="E564" s="25">
        <v>376608.94920000003</v>
      </c>
      <c r="F564" s="219">
        <v>10.3938</v>
      </c>
      <c r="G564" s="250"/>
      <c r="H564" s="251"/>
      <c r="I564" s="236"/>
      <c r="J564" s="242"/>
    </row>
    <row r="565" ht="22.5" customHeight="1">
      <c r="A565" s="242"/>
      <c r="B565" s="242"/>
      <c r="C565" s="247"/>
      <c r="D565" s="247"/>
      <c r="E565" s="12">
        <v>6585929.990999999</v>
      </c>
      <c r="F565" s="219">
        <v>11.9346</v>
      </c>
      <c r="G565" s="250"/>
      <c r="H565" s="251"/>
      <c r="I565" s="236"/>
      <c r="J565" s="242"/>
    </row>
    <row r="566" ht="22.5" customHeight="1">
      <c r="A566" s="242"/>
      <c r="B566" s="242"/>
      <c r="C566" s="247"/>
      <c r="D566" s="247"/>
      <c r="E566" s="25">
        <v>5.790874372060001E8</v>
      </c>
      <c r="F566" s="219">
        <v>98.918</v>
      </c>
      <c r="G566" s="250"/>
      <c r="H566" s="251"/>
      <c r="I566" s="236"/>
      <c r="J566" s="242"/>
    </row>
    <row r="567" ht="22.5" customHeight="1">
      <c r="A567" s="242"/>
      <c r="B567" s="242"/>
      <c r="C567" s="247"/>
      <c r="D567" s="247"/>
      <c r="E567" s="12">
        <v>6.226552075E7</v>
      </c>
      <c r="F567" s="219">
        <v>147.47</v>
      </c>
      <c r="G567" s="250"/>
      <c r="H567" s="251"/>
      <c r="I567" s="236"/>
      <c r="J567" s="242"/>
    </row>
    <row r="568" ht="22.5" customHeight="1">
      <c r="A568" s="242"/>
      <c r="B568" s="242"/>
      <c r="C568" s="247"/>
      <c r="D568" s="247"/>
      <c r="E568" s="25">
        <v>4.42771940696E7</v>
      </c>
      <c r="F568" s="219">
        <v>83.5496</v>
      </c>
      <c r="G568" s="250"/>
      <c r="H568" s="251"/>
      <c r="I568" s="236"/>
      <c r="J568" s="242"/>
    </row>
    <row r="569" ht="22.5" customHeight="1">
      <c r="A569" s="242"/>
      <c r="B569" s="242"/>
      <c r="C569" s="247"/>
      <c r="D569" s="247"/>
      <c r="E569" s="12">
        <v>1638021.0</v>
      </c>
      <c r="F569" s="219">
        <v>107.8</v>
      </c>
      <c r="G569" s="250"/>
      <c r="H569" s="251"/>
      <c r="I569" s="236"/>
      <c r="J569" s="242"/>
    </row>
    <row r="570" ht="22.5" customHeight="1">
      <c r="A570" s="242"/>
      <c r="B570" s="242"/>
      <c r="C570" s="247"/>
      <c r="D570" s="247"/>
      <c r="E570" s="25">
        <v>9106538.713</v>
      </c>
      <c r="F570" s="219">
        <v>16.1605</v>
      </c>
      <c r="G570" s="250"/>
      <c r="H570" s="251"/>
      <c r="I570" s="236"/>
      <c r="J570" s="242"/>
    </row>
    <row r="571" ht="22.5" customHeight="1">
      <c r="A571" s="242"/>
      <c r="B571" s="242"/>
      <c r="C571" s="247"/>
      <c r="D571" s="247"/>
      <c r="E571" s="12">
        <v>2.73325206E7</v>
      </c>
      <c r="F571" s="219">
        <v>46.2</v>
      </c>
      <c r="G571" s="250"/>
      <c r="H571" s="251"/>
      <c r="I571" s="236"/>
      <c r="J571" s="242"/>
    </row>
    <row r="572" ht="22.5" customHeight="1">
      <c r="A572" s="242"/>
      <c r="B572" s="242"/>
      <c r="C572" s="247"/>
      <c r="D572" s="247"/>
      <c r="E572" s="25">
        <v>759042.8369999999</v>
      </c>
      <c r="F572" s="219">
        <v>140.0965</v>
      </c>
      <c r="G572" s="250"/>
      <c r="H572" s="251"/>
      <c r="I572" s="236"/>
      <c r="J572" s="242"/>
    </row>
    <row r="573" ht="22.5" customHeight="1">
      <c r="A573" s="242"/>
      <c r="B573" s="242"/>
      <c r="C573" s="247"/>
      <c r="D573" s="247"/>
      <c r="E573" s="12">
        <v>1.3815052983199999E7</v>
      </c>
      <c r="F573" s="219">
        <v>163.5382</v>
      </c>
      <c r="G573" s="250"/>
      <c r="H573" s="251"/>
      <c r="I573" s="236"/>
      <c r="J573" s="242"/>
    </row>
    <row r="574" ht="22.5" customHeight="1">
      <c r="A574" s="242"/>
      <c r="B574" s="242"/>
      <c r="C574" s="247"/>
      <c r="D574" s="247"/>
      <c r="E574" s="25">
        <v>47933.0675</v>
      </c>
      <c r="F574" s="219">
        <v>36.1759</v>
      </c>
      <c r="G574" s="250"/>
      <c r="H574" s="251"/>
      <c r="I574" s="236"/>
      <c r="J574" s="242"/>
    </row>
    <row r="575" ht="22.5" customHeight="1">
      <c r="A575" s="242"/>
      <c r="B575" s="242"/>
      <c r="C575" s="247"/>
      <c r="D575" s="247"/>
      <c r="E575" s="12">
        <v>945980.451</v>
      </c>
      <c r="F575" s="219">
        <v>449.1835</v>
      </c>
      <c r="G575" s="250"/>
      <c r="H575" s="251"/>
      <c r="I575" s="236"/>
      <c r="J575" s="242"/>
    </row>
    <row r="576" ht="22.5" customHeight="1">
      <c r="A576" s="242"/>
      <c r="B576" s="242"/>
      <c r="C576" s="247"/>
      <c r="D576" s="247"/>
      <c r="E576" s="25">
        <v>3983.8070000000002</v>
      </c>
      <c r="F576" s="219">
        <v>17.3209</v>
      </c>
      <c r="G576" s="250"/>
      <c r="H576" s="251"/>
      <c r="I576" s="236"/>
      <c r="J576" s="242"/>
    </row>
    <row r="577" ht="22.5" customHeight="1">
      <c r="A577" s="242"/>
      <c r="B577" s="242"/>
      <c r="C577" s="247"/>
      <c r="D577" s="247"/>
      <c r="E577" s="12">
        <v>4523612.8124</v>
      </c>
      <c r="F577" s="219">
        <v>47.7406</v>
      </c>
      <c r="G577" s="250"/>
      <c r="H577" s="251"/>
      <c r="I577" s="236"/>
      <c r="J577" s="242"/>
    </row>
    <row r="578" ht="22.5" customHeight="1">
      <c r="A578" s="242"/>
      <c r="B578" s="242"/>
      <c r="C578" s="247"/>
      <c r="D578" s="247"/>
      <c r="E578" s="25">
        <v>8.906013222177E8</v>
      </c>
      <c r="F578" s="219">
        <v>201.0773</v>
      </c>
      <c r="G578" s="250"/>
      <c r="H578" s="251"/>
      <c r="I578" s="236"/>
      <c r="J578" s="242"/>
    </row>
    <row r="579" ht="22.5" customHeight="1">
      <c r="A579" s="242"/>
      <c r="B579" s="242"/>
      <c r="C579" s="247"/>
      <c r="D579" s="247"/>
      <c r="E579" s="12">
        <v>2020940.075</v>
      </c>
      <c r="F579" s="219">
        <v>2.695</v>
      </c>
      <c r="G579" s="250"/>
      <c r="H579" s="251"/>
      <c r="I579" s="236"/>
      <c r="J579" s="242"/>
    </row>
    <row r="580" ht="22.5" customHeight="1">
      <c r="A580" s="242"/>
      <c r="B580" s="242"/>
      <c r="C580" s="247"/>
      <c r="D580" s="247"/>
      <c r="E580" s="25">
        <v>1.9678479769E7</v>
      </c>
      <c r="F580" s="219">
        <v>28.873</v>
      </c>
      <c r="G580" s="250"/>
      <c r="H580" s="251"/>
      <c r="I580" s="236"/>
      <c r="J580" s="242"/>
    </row>
    <row r="581" ht="22.5" customHeight="1">
      <c r="A581" s="242"/>
      <c r="B581" s="242"/>
      <c r="C581" s="247"/>
      <c r="D581" s="247"/>
      <c r="E581" s="12">
        <v>2.918269816E7</v>
      </c>
      <c r="F581" s="219">
        <v>11.935</v>
      </c>
      <c r="G581" s="250"/>
      <c r="H581" s="251"/>
      <c r="I581" s="236"/>
      <c r="J581" s="242"/>
    </row>
    <row r="582" ht="22.5" customHeight="1">
      <c r="A582" s="242"/>
      <c r="B582" s="242"/>
      <c r="C582" s="247"/>
      <c r="D582" s="247"/>
      <c r="E582" s="25">
        <v>3.0642963185999997E7</v>
      </c>
      <c r="F582" s="219">
        <v>40.038</v>
      </c>
      <c r="G582" s="250"/>
      <c r="H582" s="251"/>
      <c r="I582" s="236"/>
      <c r="J582" s="242"/>
    </row>
    <row r="583" ht="22.5" customHeight="1">
      <c r="A583" s="242"/>
      <c r="B583" s="242"/>
      <c r="C583" s="247"/>
      <c r="D583" s="247"/>
      <c r="E583" s="12">
        <v>7438559.464</v>
      </c>
      <c r="F583" s="219">
        <v>44.2666</v>
      </c>
      <c r="G583" s="250"/>
      <c r="H583" s="251"/>
      <c r="I583" s="236"/>
      <c r="J583" s="242"/>
    </row>
    <row r="584" ht="22.5" customHeight="1">
      <c r="A584" s="242"/>
      <c r="B584" s="242"/>
      <c r="C584" s="247"/>
      <c r="D584" s="247"/>
      <c r="E584" s="25">
        <v>9.50014567656E7</v>
      </c>
      <c r="F584" s="219">
        <v>92.3976</v>
      </c>
      <c r="G584" s="250"/>
      <c r="H584" s="251"/>
      <c r="I584" s="236"/>
      <c r="J584" s="242"/>
    </row>
    <row r="585" ht="22.5" customHeight="1">
      <c r="A585" s="242"/>
      <c r="B585" s="242"/>
      <c r="C585" s="247"/>
      <c r="D585" s="247"/>
      <c r="E585" s="12">
        <v>1.3799263854E8</v>
      </c>
      <c r="F585" s="219">
        <v>88.243</v>
      </c>
      <c r="G585" s="250"/>
      <c r="H585" s="251"/>
      <c r="I585" s="236"/>
      <c r="J585" s="242"/>
    </row>
    <row r="586" ht="22.5" customHeight="1">
      <c r="A586" s="242"/>
      <c r="B586" s="242"/>
      <c r="C586" s="247"/>
      <c r="D586" s="247"/>
      <c r="E586" s="25">
        <v>2.9913649997E7</v>
      </c>
      <c r="F586" s="219">
        <v>273.007</v>
      </c>
      <c r="G586" s="250"/>
      <c r="H586" s="251"/>
      <c r="I586" s="236"/>
      <c r="J586" s="242"/>
    </row>
    <row r="587" ht="22.5" customHeight="1">
      <c r="A587" s="242"/>
      <c r="B587" s="242"/>
      <c r="C587" s="247"/>
      <c r="D587" s="247"/>
      <c r="E587" s="12">
        <v>2.9421789862000003E7</v>
      </c>
      <c r="F587" s="219">
        <v>51.206</v>
      </c>
      <c r="G587" s="250"/>
      <c r="H587" s="251"/>
      <c r="I587" s="236"/>
      <c r="J587" s="242"/>
    </row>
    <row r="588" ht="22.5" customHeight="1">
      <c r="A588" s="242"/>
      <c r="B588" s="242"/>
      <c r="C588" s="247"/>
      <c r="D588" s="247"/>
      <c r="E588" s="25">
        <v>5393380.319999999</v>
      </c>
      <c r="F588" s="219">
        <v>41.196</v>
      </c>
      <c r="G588" s="250"/>
      <c r="H588" s="251"/>
      <c r="I588" s="236"/>
      <c r="J588" s="242"/>
    </row>
    <row r="589" ht="22.5" customHeight="1">
      <c r="A589" s="242"/>
      <c r="B589" s="242"/>
      <c r="C589" s="247"/>
      <c r="D589" s="247"/>
      <c r="E589" s="12">
        <v>495291.4</v>
      </c>
      <c r="F589" s="219">
        <v>43.325</v>
      </c>
      <c r="G589" s="250"/>
      <c r="H589" s="251"/>
      <c r="I589" s="236"/>
      <c r="J589" s="242"/>
    </row>
    <row r="590" ht="22.5" customHeight="1">
      <c r="A590" s="242"/>
      <c r="B590" s="242"/>
      <c r="C590" s="247"/>
      <c r="D590" s="247"/>
      <c r="E590" s="25">
        <v>9.0861039758E7</v>
      </c>
      <c r="F590" s="219">
        <v>211.903</v>
      </c>
      <c r="G590" s="250"/>
      <c r="H590" s="251"/>
      <c r="I590" s="236"/>
      <c r="J590" s="242"/>
    </row>
    <row r="591" ht="22.5" customHeight="1">
      <c r="A591" s="242"/>
      <c r="B591" s="242"/>
      <c r="C591" s="247"/>
      <c r="D591" s="247"/>
      <c r="E591" s="12">
        <v>51690.1</v>
      </c>
      <c r="F591" s="219">
        <v>94.325</v>
      </c>
      <c r="G591" s="250"/>
      <c r="H591" s="251"/>
      <c r="I591" s="236"/>
      <c r="J591" s="242"/>
    </row>
    <row r="592" ht="22.5" customHeight="1">
      <c r="A592" s="242"/>
      <c r="B592" s="242"/>
      <c r="C592" s="247"/>
      <c r="D592" s="247"/>
      <c r="E592" s="25">
        <v>4070554.9370000004</v>
      </c>
      <c r="F592" s="219">
        <v>32.3278</v>
      </c>
      <c r="G592" s="250"/>
      <c r="H592" s="251"/>
      <c r="I592" s="236"/>
      <c r="J592" s="242"/>
    </row>
    <row r="593" ht="22.5" customHeight="1">
      <c r="A593" s="242"/>
      <c r="B593" s="242"/>
      <c r="C593" s="247"/>
      <c r="D593" s="247"/>
      <c r="E593" s="12">
        <v>9.094563632000001E7</v>
      </c>
      <c r="F593" s="219">
        <v>174.02</v>
      </c>
      <c r="G593" s="250"/>
      <c r="H593" s="251"/>
      <c r="I593" s="236"/>
      <c r="J593" s="242"/>
    </row>
    <row r="594" ht="22.5" customHeight="1">
      <c r="A594" s="242"/>
      <c r="B594" s="242"/>
      <c r="C594" s="247"/>
      <c r="D594" s="247"/>
      <c r="E594" s="25">
        <v>2.60844815693E8</v>
      </c>
      <c r="F594" s="219">
        <v>35.873</v>
      </c>
      <c r="G594" s="250"/>
      <c r="H594" s="251"/>
      <c r="I594" s="236"/>
      <c r="J594" s="242"/>
    </row>
    <row r="595" ht="22.5" customHeight="1">
      <c r="A595" s="242"/>
      <c r="B595" s="242"/>
      <c r="C595" s="247"/>
      <c r="D595" s="247"/>
      <c r="E595" s="12">
        <v>7.46674465574E7</v>
      </c>
      <c r="F595" s="219">
        <v>40.0399</v>
      </c>
      <c r="G595" s="250"/>
      <c r="H595" s="251"/>
      <c r="I595" s="236"/>
      <c r="J595" s="242"/>
    </row>
    <row r="596" ht="22.5" customHeight="1">
      <c r="A596" s="242"/>
      <c r="B596" s="242"/>
      <c r="C596" s="247"/>
      <c r="D596" s="247"/>
      <c r="E596" s="25">
        <v>2.1374692152E7</v>
      </c>
      <c r="F596" s="219">
        <v>8.4667</v>
      </c>
      <c r="G596" s="250"/>
      <c r="H596" s="251"/>
      <c r="I596" s="236"/>
      <c r="J596" s="242"/>
    </row>
    <row r="597" ht="22.5" customHeight="1">
      <c r="A597" s="242"/>
      <c r="B597" s="242"/>
      <c r="C597" s="247"/>
      <c r="D597" s="247"/>
      <c r="E597" s="12">
        <v>2.50836737476E7</v>
      </c>
      <c r="F597" s="219">
        <v>55.4426</v>
      </c>
      <c r="G597" s="250"/>
      <c r="H597" s="251"/>
      <c r="I597" s="236"/>
      <c r="J597" s="242"/>
    </row>
    <row r="598" ht="22.5" customHeight="1">
      <c r="A598" s="242"/>
      <c r="B598" s="242"/>
      <c r="C598" s="247"/>
      <c r="D598" s="247"/>
      <c r="E598" s="25">
        <v>1441953.94</v>
      </c>
      <c r="F598" s="219">
        <v>0.785</v>
      </c>
      <c r="G598" s="250"/>
      <c r="H598" s="251"/>
      <c r="I598" s="236"/>
      <c r="J598" s="242"/>
    </row>
    <row r="599" ht="22.5" customHeight="1">
      <c r="A599" s="242"/>
      <c r="B599" s="242"/>
      <c r="C599" s="247"/>
      <c r="D599" s="247"/>
      <c r="E599" s="12">
        <v>7849449.683999999</v>
      </c>
      <c r="F599" s="219">
        <v>34.266</v>
      </c>
      <c r="G599" s="250"/>
      <c r="H599" s="251"/>
      <c r="I599" s="236"/>
      <c r="J599" s="242"/>
    </row>
    <row r="600" ht="22.5" customHeight="1">
      <c r="A600" s="242"/>
      <c r="B600" s="242"/>
      <c r="C600" s="247"/>
      <c r="D600" s="247"/>
      <c r="E600" s="25">
        <v>1.2299327766E7</v>
      </c>
      <c r="F600" s="219">
        <v>57.366</v>
      </c>
      <c r="G600" s="250"/>
      <c r="H600" s="251"/>
      <c r="I600" s="236"/>
      <c r="J600" s="242"/>
    </row>
    <row r="601" ht="22.5" customHeight="1">
      <c r="A601" s="242"/>
      <c r="B601" s="242"/>
      <c r="C601" s="247"/>
      <c r="D601" s="247"/>
      <c r="E601" s="12">
        <v>3.1745420389999997E7</v>
      </c>
      <c r="F601" s="219">
        <v>72.005</v>
      </c>
      <c r="G601" s="250"/>
      <c r="H601" s="251"/>
      <c r="I601" s="236"/>
      <c r="J601" s="242"/>
    </row>
    <row r="602" ht="22.5" customHeight="1">
      <c r="A602" s="242"/>
      <c r="B602" s="242"/>
      <c r="C602" s="247"/>
      <c r="D602" s="247"/>
      <c r="E602" s="25">
        <v>4620319.75</v>
      </c>
      <c r="F602" s="219">
        <v>35.0356</v>
      </c>
      <c r="G602" s="250"/>
      <c r="H602" s="251"/>
      <c r="I602" s="236"/>
      <c r="J602" s="242"/>
    </row>
    <row r="603" ht="22.5" customHeight="1">
      <c r="A603" s="242"/>
      <c r="B603" s="242"/>
      <c r="C603" s="247"/>
      <c r="D603" s="247"/>
      <c r="E603" s="12">
        <v>7181169.023999999</v>
      </c>
      <c r="F603" s="219">
        <v>71.996</v>
      </c>
      <c r="G603" s="250"/>
      <c r="H603" s="251"/>
      <c r="I603" s="236"/>
      <c r="J603" s="242"/>
    </row>
    <row r="604" ht="22.5" customHeight="1">
      <c r="A604" s="242"/>
      <c r="B604" s="242"/>
      <c r="C604" s="247"/>
      <c r="D604" s="247"/>
      <c r="E604" s="36">
        <v>9533899.7226</v>
      </c>
      <c r="F604" s="219">
        <v>2.7099</v>
      </c>
      <c r="G604" s="250"/>
      <c r="H604" s="251"/>
      <c r="I604" s="236"/>
      <c r="J604" s="242"/>
    </row>
    <row r="605" ht="22.5" customHeight="1">
      <c r="A605" s="242"/>
      <c r="B605" s="242"/>
      <c r="C605" s="247"/>
      <c r="D605" s="247"/>
      <c r="E605" s="32">
        <v>1.60573973472E7</v>
      </c>
      <c r="F605" s="219">
        <v>66.6072</v>
      </c>
      <c r="G605" s="250"/>
      <c r="H605" s="251"/>
      <c r="I605" s="236"/>
      <c r="J605" s="242"/>
    </row>
    <row r="606" ht="22.5" customHeight="1">
      <c r="A606" s="242"/>
      <c r="B606" s="242"/>
      <c r="C606" s="247"/>
      <c r="D606" s="247"/>
      <c r="E606" s="25">
        <v>1.5795087263200002E7</v>
      </c>
      <c r="F606" s="219">
        <v>8.8549</v>
      </c>
      <c r="G606" s="250"/>
      <c r="H606" s="251"/>
      <c r="I606" s="236"/>
      <c r="J606" s="242"/>
    </row>
    <row r="607" ht="22.5" customHeight="1">
      <c r="A607" s="242"/>
      <c r="B607" s="242"/>
      <c r="C607" s="247"/>
      <c r="D607" s="247"/>
      <c r="E607" s="12">
        <v>3347590.2158999997</v>
      </c>
      <c r="F607" s="219">
        <v>16.5551</v>
      </c>
      <c r="G607" s="250"/>
      <c r="H607" s="251"/>
      <c r="I607" s="236"/>
      <c r="J607" s="242"/>
    </row>
    <row r="608" ht="22.5" customHeight="1">
      <c r="A608" s="242"/>
      <c r="B608" s="242"/>
      <c r="C608" s="247"/>
      <c r="D608" s="247"/>
      <c r="E608" s="25">
        <v>833491.136</v>
      </c>
      <c r="F608" s="219">
        <v>97.0304</v>
      </c>
      <c r="G608" s="250"/>
      <c r="H608" s="251"/>
      <c r="I608" s="236"/>
      <c r="J608" s="242"/>
    </row>
    <row r="609" ht="22.5" customHeight="1">
      <c r="A609" s="242"/>
      <c r="B609" s="242"/>
      <c r="C609" s="247"/>
      <c r="D609" s="247"/>
      <c r="E609" s="12">
        <v>1.70791159476E7</v>
      </c>
      <c r="F609" s="219">
        <v>23.0924</v>
      </c>
      <c r="G609" s="250"/>
      <c r="H609" s="251"/>
      <c r="I609" s="236"/>
      <c r="J609" s="242"/>
    </row>
    <row r="610" ht="22.5" customHeight="1">
      <c r="A610" s="242"/>
      <c r="B610" s="242"/>
      <c r="C610" s="247"/>
      <c r="D610" s="247"/>
      <c r="E610" s="25">
        <v>2.0605956264E7</v>
      </c>
      <c r="F610" s="219">
        <v>61.596</v>
      </c>
      <c r="G610" s="250"/>
      <c r="H610" s="251"/>
      <c r="I610" s="236"/>
      <c r="J610" s="242"/>
    </row>
    <row r="611" ht="22.5" customHeight="1">
      <c r="A611" s="242"/>
      <c r="B611" s="242"/>
      <c r="C611" s="247"/>
      <c r="D611" s="247"/>
      <c r="E611" s="12">
        <v>239091.7217</v>
      </c>
      <c r="F611" s="16">
        <v>61.6057</v>
      </c>
      <c r="G611" s="250"/>
      <c r="H611" s="251"/>
      <c r="I611" s="236"/>
      <c r="J611" s="242"/>
    </row>
    <row r="612" ht="22.5" customHeight="1">
      <c r="A612" s="242"/>
      <c r="B612" s="242"/>
      <c r="C612" s="247"/>
      <c r="D612" s="247"/>
      <c r="E612" s="25">
        <v>2.2833760391999997E7</v>
      </c>
      <c r="F612" s="16">
        <v>61.596</v>
      </c>
      <c r="G612" s="250"/>
      <c r="H612" s="251"/>
      <c r="I612" s="236"/>
      <c r="J612" s="242"/>
    </row>
    <row r="613" ht="22.5" customHeight="1">
      <c r="A613" s="242"/>
      <c r="B613" s="242"/>
      <c r="C613" s="247"/>
      <c r="D613" s="247"/>
      <c r="E613" s="12">
        <v>1724423.085</v>
      </c>
      <c r="F613" s="16">
        <v>11.165</v>
      </c>
      <c r="G613" s="250"/>
      <c r="H613" s="251"/>
      <c r="I613" s="236"/>
      <c r="J613" s="242"/>
    </row>
    <row r="614" ht="22.5" customHeight="1">
      <c r="A614" s="242"/>
      <c r="B614" s="242"/>
      <c r="C614" s="247"/>
      <c r="D614" s="247"/>
      <c r="E614" s="25">
        <v>1.510509E7</v>
      </c>
      <c r="F614" s="16">
        <v>46.2</v>
      </c>
      <c r="G614" s="250"/>
      <c r="H614" s="251"/>
      <c r="I614" s="236"/>
      <c r="J614" s="242"/>
    </row>
    <row r="615" ht="22.5" customHeight="1">
      <c r="A615" s="242"/>
      <c r="B615" s="242"/>
      <c r="C615" s="247"/>
      <c r="D615" s="247"/>
      <c r="E615" s="12">
        <v>8002151.850000001</v>
      </c>
      <c r="F615" s="16">
        <v>1.925</v>
      </c>
      <c r="G615" s="250"/>
      <c r="H615" s="251"/>
      <c r="I615" s="236"/>
      <c r="J615" s="242"/>
    </row>
    <row r="616" ht="22.5" customHeight="1">
      <c r="A616" s="242"/>
      <c r="B616" s="242"/>
      <c r="C616" s="247"/>
      <c r="D616" s="247"/>
      <c r="E616" s="25">
        <v>6257139.7964</v>
      </c>
      <c r="F616" s="16">
        <v>11.5462</v>
      </c>
      <c r="G616" s="250"/>
      <c r="H616" s="251"/>
      <c r="I616" s="236"/>
      <c r="J616" s="242"/>
    </row>
    <row r="617" ht="22.5" customHeight="1">
      <c r="A617" s="242"/>
      <c r="B617" s="242"/>
      <c r="C617" s="247"/>
      <c r="D617" s="247"/>
      <c r="E617" s="12">
        <v>3103321.7600000002</v>
      </c>
      <c r="F617" s="16">
        <v>1.54</v>
      </c>
      <c r="G617" s="250"/>
      <c r="H617" s="251"/>
      <c r="I617" s="236"/>
      <c r="J617" s="242"/>
    </row>
    <row r="618" ht="22.5" customHeight="1">
      <c r="A618" s="242"/>
      <c r="B618" s="242"/>
      <c r="C618" s="247"/>
      <c r="D618" s="247"/>
      <c r="E618" s="25">
        <v>3254988.167</v>
      </c>
      <c r="F618" s="16">
        <v>118.187</v>
      </c>
      <c r="G618" s="250"/>
      <c r="H618" s="251"/>
      <c r="I618" s="236"/>
      <c r="J618" s="242"/>
    </row>
    <row r="619" ht="22.5" customHeight="1">
      <c r="A619" s="242"/>
      <c r="B619" s="242"/>
      <c r="C619" s="247"/>
      <c r="D619" s="247"/>
      <c r="E619" s="12">
        <v>2.3647556921280003E8</v>
      </c>
      <c r="F619" s="16">
        <v>79.7716</v>
      </c>
      <c r="G619" s="250"/>
      <c r="H619" s="251"/>
      <c r="I619" s="236"/>
      <c r="J619" s="242"/>
    </row>
    <row r="620" ht="22.5" customHeight="1">
      <c r="A620" s="242"/>
      <c r="B620" s="242"/>
      <c r="C620" s="247"/>
      <c r="D620" s="247"/>
      <c r="E620" s="25">
        <v>2051969.92</v>
      </c>
      <c r="F620" s="16">
        <v>5.005</v>
      </c>
      <c r="G620" s="250"/>
      <c r="H620" s="251"/>
      <c r="I620" s="236"/>
      <c r="J620" s="242"/>
    </row>
    <row r="621" ht="22.5" customHeight="1">
      <c r="A621" s="242"/>
      <c r="B621" s="242"/>
      <c r="C621" s="247"/>
      <c r="D621" s="247"/>
      <c r="E621" s="12">
        <v>3.6356117204E7</v>
      </c>
      <c r="F621" s="16">
        <v>74.302</v>
      </c>
      <c r="G621" s="250"/>
      <c r="H621" s="251"/>
      <c r="I621" s="236"/>
      <c r="J621" s="242"/>
    </row>
    <row r="622" ht="22.5" customHeight="1">
      <c r="A622" s="242"/>
      <c r="B622" s="242"/>
      <c r="C622" s="247"/>
      <c r="D622" s="247"/>
      <c r="E622" s="25">
        <v>1.2783095325E7</v>
      </c>
      <c r="F622" s="16">
        <v>66.2165</v>
      </c>
      <c r="G622" s="250"/>
      <c r="H622" s="251"/>
      <c r="I622" s="236"/>
      <c r="J622" s="242"/>
    </row>
    <row r="623" ht="22.5" customHeight="1">
      <c r="A623" s="242"/>
      <c r="B623" s="242"/>
      <c r="C623" s="247"/>
      <c r="D623" s="247"/>
      <c r="E623" s="12">
        <v>3.59567980897E7</v>
      </c>
      <c r="F623" s="16">
        <v>143.6221</v>
      </c>
      <c r="G623" s="250"/>
      <c r="H623" s="251"/>
      <c r="I623" s="236"/>
      <c r="J623" s="242"/>
    </row>
    <row r="624" ht="22.5" customHeight="1">
      <c r="A624" s="242"/>
      <c r="B624" s="242"/>
      <c r="C624" s="247"/>
      <c r="D624" s="247"/>
      <c r="E624" s="25">
        <v>37482.060000000005</v>
      </c>
      <c r="F624" s="16">
        <v>14.63</v>
      </c>
      <c r="G624" s="250"/>
      <c r="H624" s="251"/>
      <c r="I624" s="236"/>
      <c r="J624" s="242"/>
    </row>
    <row r="625" ht="22.5" customHeight="1">
      <c r="A625" s="242"/>
      <c r="B625" s="242"/>
      <c r="C625" s="247"/>
      <c r="D625" s="247"/>
      <c r="E625" s="12">
        <v>1.315300448E7</v>
      </c>
      <c r="F625" s="16">
        <v>12.32</v>
      </c>
      <c r="G625" s="250"/>
      <c r="H625" s="251"/>
      <c r="I625" s="236"/>
      <c r="J625" s="242"/>
    </row>
    <row r="626" ht="22.5" customHeight="1">
      <c r="A626" s="242"/>
      <c r="B626" s="242"/>
      <c r="C626" s="247"/>
      <c r="D626" s="247"/>
      <c r="E626" s="25">
        <v>2.2993720484E7</v>
      </c>
      <c r="F626" s="16">
        <v>11.164</v>
      </c>
      <c r="G626" s="250"/>
      <c r="H626" s="251"/>
      <c r="I626" s="236"/>
      <c r="J626" s="242"/>
    </row>
    <row r="627" ht="22.5" customHeight="1">
      <c r="A627" s="242"/>
      <c r="B627" s="242"/>
      <c r="C627" s="247"/>
      <c r="D627" s="247"/>
      <c r="E627" s="12">
        <v>1.2584519639999999E7</v>
      </c>
      <c r="F627" s="16">
        <v>83.16</v>
      </c>
      <c r="G627" s="250"/>
      <c r="H627" s="251"/>
      <c r="I627" s="236"/>
      <c r="J627" s="242"/>
    </row>
    <row r="628" ht="22.5" customHeight="1">
      <c r="A628" s="242"/>
      <c r="B628" s="242"/>
      <c r="C628" s="247"/>
      <c r="D628" s="247"/>
      <c r="E628" s="25">
        <v>4348274.967</v>
      </c>
      <c r="F628" s="16">
        <v>6.543</v>
      </c>
      <c r="G628" s="250"/>
      <c r="H628" s="251"/>
      <c r="I628" s="236"/>
      <c r="J628" s="242"/>
    </row>
    <row r="629" ht="22.5" customHeight="1">
      <c r="A629" s="242"/>
      <c r="B629" s="242"/>
      <c r="C629" s="247"/>
      <c r="D629" s="247"/>
      <c r="E629" s="12">
        <v>820937.425</v>
      </c>
      <c r="F629" s="16">
        <v>1.925</v>
      </c>
      <c r="G629" s="250"/>
      <c r="H629" s="251"/>
      <c r="I629" s="236"/>
      <c r="J629" s="242"/>
    </row>
    <row r="630" ht="22.5" customHeight="1">
      <c r="A630" s="242"/>
      <c r="B630" s="242"/>
      <c r="C630" s="247"/>
      <c r="D630" s="247"/>
      <c r="E630" s="25">
        <v>9164020.859000001</v>
      </c>
      <c r="F630" s="16">
        <v>9.2369</v>
      </c>
      <c r="G630" s="250"/>
      <c r="H630" s="251"/>
      <c r="I630" s="236"/>
      <c r="J630" s="242"/>
    </row>
    <row r="631" ht="22.5" customHeight="1">
      <c r="A631" s="242"/>
      <c r="B631" s="242"/>
      <c r="C631" s="247"/>
      <c r="D631" s="247"/>
      <c r="E631" s="12">
        <v>6524522.109</v>
      </c>
      <c r="F631" s="16">
        <v>4.0803</v>
      </c>
      <c r="G631" s="250"/>
      <c r="H631" s="251"/>
      <c r="I631" s="236"/>
      <c r="J631" s="242"/>
    </row>
    <row r="632" ht="22.5" customHeight="1">
      <c r="A632" s="242"/>
      <c r="B632" s="242"/>
      <c r="C632" s="247"/>
      <c r="D632" s="247"/>
      <c r="E632" s="25">
        <v>2170549.5501</v>
      </c>
      <c r="F632" s="16">
        <v>52.3617</v>
      </c>
      <c r="G632" s="250"/>
      <c r="H632" s="251"/>
      <c r="I632" s="236"/>
      <c r="J632" s="242"/>
    </row>
    <row r="633" ht="22.5" customHeight="1">
      <c r="A633" s="242"/>
      <c r="B633" s="242"/>
      <c r="C633" s="247"/>
      <c r="D633" s="247"/>
      <c r="E633" s="59">
        <v>76045.20000000001</v>
      </c>
      <c r="F633" s="63">
        <v>46.2</v>
      </c>
      <c r="G633" s="236"/>
      <c r="H633" s="251"/>
      <c r="I633" s="236"/>
      <c r="J633" s="242"/>
    </row>
    <row r="634" ht="22.5" customHeight="1">
      <c r="A634" s="242"/>
      <c r="B634" s="242"/>
      <c r="C634" s="247"/>
      <c r="D634" s="247"/>
      <c r="E634" s="25">
        <v>3.64783074648E7</v>
      </c>
      <c r="F634" s="16">
        <v>61.9886</v>
      </c>
      <c r="G634" s="250"/>
      <c r="H634" s="251"/>
      <c r="I634" s="236"/>
      <c r="J634" s="242"/>
    </row>
    <row r="635" ht="22.5" customHeight="1">
      <c r="A635" s="242"/>
      <c r="B635" s="242"/>
      <c r="C635" s="247"/>
      <c r="D635" s="247"/>
      <c r="E635" s="12">
        <v>8.1313729316E7</v>
      </c>
      <c r="F635" s="219">
        <v>164.407</v>
      </c>
      <c r="G635" s="250"/>
      <c r="H635" s="251"/>
      <c r="I635" s="236"/>
      <c r="J635" s="242"/>
    </row>
    <row r="636" ht="22.5" customHeight="1">
      <c r="A636" s="242"/>
      <c r="B636" s="242"/>
      <c r="C636" s="247"/>
      <c r="D636" s="247"/>
      <c r="E636" s="25">
        <v>1.8995781441E7</v>
      </c>
      <c r="F636" s="16">
        <v>70.833</v>
      </c>
      <c r="G636" s="250"/>
      <c r="H636" s="251"/>
      <c r="I636" s="236"/>
      <c r="J636" s="242"/>
    </row>
    <row r="637" ht="22.5" customHeight="1">
      <c r="A637" s="242"/>
      <c r="B637" s="242"/>
      <c r="C637" s="247"/>
      <c r="D637" s="247"/>
      <c r="E637" s="12">
        <v>2.25014328E7</v>
      </c>
      <c r="F637" s="16">
        <v>15.4</v>
      </c>
      <c r="G637" s="250"/>
      <c r="H637" s="251"/>
      <c r="I637" s="236"/>
      <c r="J637" s="242"/>
    </row>
    <row r="638" ht="22.5" customHeight="1">
      <c r="A638" s="242"/>
      <c r="B638" s="242"/>
      <c r="C638" s="247"/>
      <c r="D638" s="247"/>
      <c r="E638" s="25">
        <v>1.1019226883E7</v>
      </c>
      <c r="F638" s="16">
        <v>31.9585</v>
      </c>
      <c r="G638" s="250"/>
      <c r="H638" s="251"/>
      <c r="I638" s="236"/>
      <c r="J638" s="242"/>
    </row>
    <row r="639" ht="22.5" customHeight="1">
      <c r="A639" s="242"/>
      <c r="B639" s="242"/>
      <c r="C639" s="247"/>
      <c r="D639" s="247"/>
      <c r="E639" s="12">
        <v>2.3361656734E7</v>
      </c>
      <c r="F639" s="16">
        <v>137.449</v>
      </c>
      <c r="G639" s="250"/>
      <c r="H639" s="251"/>
      <c r="I639" s="236"/>
      <c r="J639" s="242"/>
    </row>
    <row r="640" ht="22.5" customHeight="1">
      <c r="A640" s="242"/>
      <c r="B640" s="242"/>
      <c r="C640" s="247"/>
      <c r="D640" s="247"/>
      <c r="E640" s="25">
        <v>2048850.6500000001</v>
      </c>
      <c r="F640" s="16">
        <v>0.77</v>
      </c>
      <c r="G640" s="250"/>
      <c r="H640" s="251"/>
      <c r="I640" s="236"/>
      <c r="J640" s="242"/>
    </row>
    <row r="641" ht="22.5" customHeight="1">
      <c r="A641" s="242"/>
      <c r="B641" s="242"/>
      <c r="C641" s="247"/>
      <c r="D641" s="247"/>
      <c r="E641" s="12">
        <v>635532.1569</v>
      </c>
      <c r="F641" s="16">
        <v>34.6509</v>
      </c>
      <c r="G641" s="250"/>
      <c r="H641" s="251"/>
      <c r="I641" s="236"/>
      <c r="J641" s="242"/>
    </row>
    <row r="642" ht="22.5" customHeight="1">
      <c r="A642" s="242"/>
      <c r="B642" s="242"/>
      <c r="C642" s="247"/>
      <c r="D642" s="247"/>
      <c r="E642" s="25">
        <v>6231859.052</v>
      </c>
      <c r="F642" s="16">
        <v>6.158</v>
      </c>
      <c r="G642" s="250"/>
      <c r="H642" s="251"/>
      <c r="I642" s="236"/>
      <c r="J642" s="242"/>
    </row>
    <row r="643" ht="22.5" customHeight="1">
      <c r="A643" s="242"/>
      <c r="B643" s="242"/>
      <c r="C643" s="247"/>
      <c r="D643" s="247"/>
      <c r="E643" s="12">
        <v>4.267220804E7</v>
      </c>
      <c r="F643" s="16">
        <v>98.945</v>
      </c>
      <c r="G643" s="250"/>
      <c r="H643" s="251"/>
      <c r="I643" s="236"/>
      <c r="J643" s="242"/>
    </row>
    <row r="644" ht="22.5" customHeight="1">
      <c r="A644" s="242"/>
      <c r="B644" s="242"/>
      <c r="C644" s="247"/>
      <c r="D644" s="247"/>
      <c r="E644" s="25">
        <v>133064.855</v>
      </c>
      <c r="F644" s="16">
        <v>0.385</v>
      </c>
      <c r="G644" s="250"/>
      <c r="H644" s="251"/>
      <c r="I644" s="236"/>
      <c r="J644" s="242"/>
    </row>
    <row r="645" ht="22.5" customHeight="1">
      <c r="A645" s="242"/>
      <c r="B645" s="242"/>
      <c r="C645" s="247"/>
      <c r="D645" s="247"/>
      <c r="E645" s="12">
        <v>5.36371978917E7</v>
      </c>
      <c r="F645" s="16">
        <v>45.8077</v>
      </c>
      <c r="G645" s="250"/>
      <c r="H645" s="251"/>
      <c r="I645" s="236"/>
      <c r="J645" s="242"/>
    </row>
    <row r="646" ht="22.5" customHeight="1">
      <c r="A646" s="242"/>
      <c r="B646" s="242"/>
      <c r="C646" s="247"/>
      <c r="D646" s="247"/>
      <c r="E646" s="25">
        <v>1.2224862264999999E7</v>
      </c>
      <c r="F646" s="16">
        <v>45.815</v>
      </c>
      <c r="G646" s="250"/>
      <c r="H646" s="251"/>
      <c r="I646" s="236"/>
      <c r="J646" s="242"/>
    </row>
    <row r="647" ht="22.5" customHeight="1">
      <c r="A647" s="242"/>
      <c r="B647" s="242"/>
      <c r="C647" s="247"/>
      <c r="D647" s="247"/>
      <c r="E647" s="12">
        <v>1.630295975E7</v>
      </c>
      <c r="F647" s="16">
        <v>9.625</v>
      </c>
      <c r="G647" s="250"/>
      <c r="H647" s="251"/>
      <c r="I647" s="236"/>
      <c r="J647" s="242"/>
    </row>
    <row r="648" ht="22.5" customHeight="1">
      <c r="A648" s="242"/>
      <c r="B648" s="242"/>
      <c r="C648" s="247"/>
      <c r="D648" s="247"/>
      <c r="E648" s="25">
        <v>189681.24000000002</v>
      </c>
      <c r="F648" s="16">
        <v>132.83</v>
      </c>
      <c r="G648" s="250"/>
      <c r="H648" s="251"/>
      <c r="I648" s="236"/>
      <c r="J648" s="242"/>
    </row>
    <row r="649" ht="22.5" customHeight="1">
      <c r="A649" s="242"/>
      <c r="B649" s="242"/>
      <c r="C649" s="247"/>
      <c r="D649" s="247"/>
      <c r="E649" s="12">
        <v>220217.6</v>
      </c>
      <c r="F649" s="16">
        <v>12.16</v>
      </c>
      <c r="G649" s="250"/>
      <c r="H649" s="251"/>
      <c r="I649" s="236"/>
      <c r="J649" s="242"/>
    </row>
    <row r="650" ht="22.5" customHeight="1">
      <c r="A650" s="242"/>
      <c r="B650" s="242"/>
      <c r="C650" s="247"/>
      <c r="D650" s="247"/>
      <c r="E650" s="25">
        <v>1.096749963E7</v>
      </c>
      <c r="F650" s="16">
        <v>192.0753</v>
      </c>
      <c r="G650" s="250"/>
      <c r="H650" s="251"/>
      <c r="I650" s="236"/>
      <c r="J650" s="242"/>
    </row>
    <row r="651" ht="22.5" customHeight="1">
      <c r="A651" s="242"/>
      <c r="B651" s="242"/>
      <c r="C651" s="247"/>
      <c r="D651" s="247"/>
      <c r="E651" s="12">
        <v>8.89139430476E7</v>
      </c>
      <c r="F651" s="16">
        <v>63.5228</v>
      </c>
      <c r="G651" s="250"/>
      <c r="H651" s="251"/>
      <c r="I651" s="236"/>
      <c r="J651" s="242"/>
    </row>
    <row r="652" ht="22.5" customHeight="1">
      <c r="A652" s="242"/>
      <c r="B652" s="242"/>
      <c r="C652" s="247"/>
      <c r="D652" s="247"/>
      <c r="E652" s="25">
        <v>3.32451735E7</v>
      </c>
      <c r="F652" s="16">
        <v>50.82</v>
      </c>
      <c r="G652" s="250"/>
      <c r="H652" s="251"/>
      <c r="I652" s="236"/>
      <c r="J652" s="242"/>
    </row>
    <row r="653" ht="22.5" customHeight="1">
      <c r="A653" s="242"/>
      <c r="B653" s="242"/>
      <c r="C653" s="247"/>
      <c r="D653" s="247"/>
      <c r="E653" s="12">
        <v>1.0233102879999999E7</v>
      </c>
      <c r="F653" s="16">
        <v>40.04</v>
      </c>
      <c r="G653" s="250"/>
      <c r="H653" s="251"/>
      <c r="I653" s="236"/>
      <c r="J653" s="242"/>
    </row>
    <row r="654" ht="22.5" customHeight="1">
      <c r="A654" s="242"/>
      <c r="B654" s="242"/>
      <c r="C654" s="247"/>
      <c r="D654" s="247"/>
      <c r="E654" s="25">
        <v>2.23866656788E7</v>
      </c>
      <c r="F654" s="16">
        <v>45.0358</v>
      </c>
      <c r="G654" s="250"/>
      <c r="H654" s="251"/>
      <c r="I654" s="236"/>
      <c r="J654" s="242"/>
    </row>
    <row r="655" ht="22.5" customHeight="1">
      <c r="A655" s="242"/>
      <c r="B655" s="242"/>
      <c r="C655" s="247"/>
      <c r="D655" s="247"/>
      <c r="E655" s="12">
        <v>3.042169515E7</v>
      </c>
      <c r="F655" s="16">
        <v>65.835</v>
      </c>
      <c r="G655" s="250"/>
      <c r="H655" s="251"/>
      <c r="I655" s="236"/>
      <c r="J655" s="242"/>
    </row>
    <row r="656" ht="22.5" customHeight="1">
      <c r="A656" s="242"/>
      <c r="B656" s="242"/>
      <c r="C656" s="247"/>
      <c r="D656" s="247"/>
      <c r="E656" s="25">
        <v>2.16118634688E7</v>
      </c>
      <c r="F656" s="16">
        <v>107.8092</v>
      </c>
      <c r="G656" s="250"/>
      <c r="H656" s="251"/>
      <c r="I656" s="236"/>
      <c r="J656" s="242"/>
    </row>
    <row r="657" ht="22.5" customHeight="1">
      <c r="A657" s="242"/>
      <c r="B657" s="242"/>
      <c r="C657" s="247"/>
      <c r="D657" s="247"/>
      <c r="E657" s="12">
        <v>3.14917573113E7</v>
      </c>
      <c r="F657" s="219">
        <v>150.1173</v>
      </c>
      <c r="G657" s="250"/>
      <c r="H657" s="251"/>
      <c r="I657" s="236"/>
      <c r="J657" s="242"/>
    </row>
    <row r="658" ht="22.5" customHeight="1">
      <c r="A658" s="242"/>
      <c r="B658" s="242"/>
      <c r="C658" s="247"/>
      <c r="D658" s="247"/>
      <c r="E658" s="25">
        <v>7898975.162400001</v>
      </c>
      <c r="F658" s="16">
        <v>40.0386</v>
      </c>
      <c r="G658" s="250"/>
      <c r="H658" s="251"/>
      <c r="I658" s="236"/>
      <c r="J658" s="242"/>
    </row>
    <row r="659" ht="22.5" customHeight="1">
      <c r="A659" s="242"/>
      <c r="B659" s="242"/>
      <c r="C659" s="247"/>
      <c r="D659" s="247"/>
      <c r="E659" s="12">
        <v>3123402.468</v>
      </c>
      <c r="F659" s="16">
        <v>71.996</v>
      </c>
      <c r="G659" s="250"/>
      <c r="H659" s="251"/>
      <c r="I659" s="236"/>
      <c r="J659" s="242"/>
    </row>
    <row r="660" ht="22.5" customHeight="1">
      <c r="A660" s="242"/>
      <c r="B660" s="242"/>
      <c r="C660" s="247"/>
      <c r="D660" s="247"/>
      <c r="E660" s="25">
        <v>1300163.4511</v>
      </c>
      <c r="F660" s="16">
        <v>38.1179</v>
      </c>
      <c r="G660" s="250"/>
      <c r="H660" s="251"/>
      <c r="I660" s="236"/>
      <c r="J660" s="242"/>
    </row>
    <row r="661" ht="22.5" customHeight="1">
      <c r="A661" s="242"/>
      <c r="B661" s="242"/>
      <c r="C661" s="247"/>
      <c r="D661" s="247"/>
      <c r="E661" s="12">
        <v>1.37055836558E7</v>
      </c>
      <c r="F661" s="16">
        <v>171.2299</v>
      </c>
      <c r="G661" s="250"/>
      <c r="H661" s="251"/>
      <c r="I661" s="236"/>
      <c r="J661" s="242"/>
    </row>
    <row r="662" ht="22.5" customHeight="1">
      <c r="A662" s="242"/>
      <c r="B662" s="242"/>
      <c r="C662" s="247"/>
      <c r="D662" s="247"/>
      <c r="E662" s="25">
        <v>8.805748485000001E7</v>
      </c>
      <c r="F662" s="16">
        <v>118.194</v>
      </c>
      <c r="G662" s="250"/>
      <c r="H662" s="251"/>
      <c r="I662" s="236"/>
      <c r="J662" s="242"/>
    </row>
    <row r="663" ht="22.5" customHeight="1">
      <c r="A663" s="242"/>
      <c r="B663" s="242"/>
      <c r="C663" s="247"/>
      <c r="D663" s="247"/>
      <c r="E663" s="12">
        <v>3.47520586677E8</v>
      </c>
      <c r="F663" s="219">
        <v>134.5993</v>
      </c>
      <c r="G663" s="250"/>
      <c r="H663" s="251"/>
      <c r="I663" s="236"/>
      <c r="J663" s="242"/>
    </row>
    <row r="664" ht="22.5" customHeight="1">
      <c r="A664" s="242"/>
      <c r="B664" s="242"/>
      <c r="C664" s="247"/>
      <c r="D664" s="247"/>
      <c r="E664" s="25">
        <v>2646839.9188</v>
      </c>
      <c r="F664" s="16">
        <v>4310.8142</v>
      </c>
      <c r="G664" s="250"/>
      <c r="H664" s="251"/>
      <c r="I664" s="236"/>
      <c r="J664" s="242"/>
    </row>
    <row r="665" ht="22.5" customHeight="1">
      <c r="A665" s="242"/>
      <c r="B665" s="242"/>
      <c r="C665" s="247"/>
      <c r="D665" s="247"/>
      <c r="E665" s="12">
        <v>2.71204675552E7</v>
      </c>
      <c r="F665" s="16">
        <v>214.0729</v>
      </c>
      <c r="G665" s="250"/>
      <c r="H665" s="251"/>
      <c r="I665" s="236"/>
      <c r="J665" s="242"/>
    </row>
    <row r="666" ht="22.5" customHeight="1">
      <c r="A666" s="242"/>
      <c r="B666" s="242"/>
      <c r="C666" s="247"/>
      <c r="D666" s="247"/>
      <c r="E666" s="25">
        <v>3.922774973E7</v>
      </c>
      <c r="F666" s="16">
        <v>77.41</v>
      </c>
      <c r="G666" s="250"/>
      <c r="H666" s="251"/>
      <c r="I666" s="236"/>
      <c r="J666" s="242"/>
    </row>
    <row r="667" ht="22.5" customHeight="1">
      <c r="A667" s="242"/>
      <c r="B667" s="242"/>
      <c r="C667" s="247"/>
      <c r="D667" s="247"/>
      <c r="E667" s="12">
        <v>6835852.1</v>
      </c>
      <c r="F667" s="16">
        <v>22.715</v>
      </c>
      <c r="G667" s="250"/>
      <c r="H667" s="251"/>
      <c r="I667" s="236"/>
      <c r="J667" s="242"/>
    </row>
    <row r="668" ht="22.5" customHeight="1">
      <c r="A668" s="242"/>
      <c r="B668" s="242"/>
      <c r="C668" s="247"/>
      <c r="D668" s="247"/>
      <c r="E668" s="25">
        <v>3307616.8216000004</v>
      </c>
      <c r="F668" s="16">
        <v>23.0924</v>
      </c>
      <c r="G668" s="250"/>
      <c r="H668" s="251"/>
      <c r="I668" s="236"/>
      <c r="J668" s="242"/>
    </row>
    <row r="669" ht="22.5" customHeight="1">
      <c r="A669" s="242"/>
      <c r="B669" s="242"/>
      <c r="C669" s="247"/>
      <c r="D669" s="247"/>
      <c r="E669" s="12">
        <v>1640803.6701</v>
      </c>
      <c r="F669" s="16">
        <v>2694.2589</v>
      </c>
      <c r="G669" s="250"/>
      <c r="H669" s="251"/>
      <c r="I669" s="236"/>
      <c r="J669" s="242"/>
    </row>
    <row r="670" ht="22.5" customHeight="1">
      <c r="A670" s="242"/>
      <c r="B670" s="242"/>
      <c r="C670" s="247"/>
      <c r="D670" s="247"/>
      <c r="E670" s="25">
        <v>1.4397272273999998E8</v>
      </c>
      <c r="F670" s="16">
        <v>217.14</v>
      </c>
      <c r="G670" s="250"/>
      <c r="H670" s="251"/>
      <c r="I670" s="236"/>
      <c r="J670" s="242"/>
    </row>
    <row r="671" ht="22.5" customHeight="1">
      <c r="A671" s="242"/>
      <c r="B671" s="242"/>
      <c r="C671" s="247"/>
      <c r="D671" s="247"/>
      <c r="E671" s="12">
        <v>3.011152781584E8</v>
      </c>
      <c r="F671" s="219">
        <v>127.8124</v>
      </c>
      <c r="G671" s="250"/>
      <c r="H671" s="251"/>
      <c r="I671" s="236"/>
      <c r="J671" s="242"/>
    </row>
    <row r="672" ht="22.5" customHeight="1">
      <c r="A672" s="242"/>
      <c r="B672" s="242"/>
      <c r="C672" s="247"/>
      <c r="D672" s="247"/>
      <c r="E672" s="25">
        <v>8871251.235</v>
      </c>
      <c r="F672" s="16">
        <v>33.495</v>
      </c>
      <c r="G672" s="250"/>
      <c r="H672" s="251"/>
      <c r="I672" s="236"/>
      <c r="J672" s="242"/>
    </row>
    <row r="673" ht="22.5" customHeight="1">
      <c r="A673" s="242"/>
      <c r="B673" s="242"/>
      <c r="C673" s="247"/>
      <c r="D673" s="247"/>
      <c r="E673" s="12">
        <v>82798.06079999999</v>
      </c>
      <c r="F673" s="16">
        <v>61.6057</v>
      </c>
      <c r="G673" s="250"/>
      <c r="H673" s="251"/>
      <c r="I673" s="236"/>
      <c r="J673" s="242"/>
    </row>
    <row r="674" ht="22.5" customHeight="1">
      <c r="A674" s="242"/>
      <c r="B674" s="242"/>
      <c r="C674" s="247"/>
      <c r="D674" s="247"/>
      <c r="E674" s="25">
        <v>3626297.371</v>
      </c>
      <c r="F674" s="16">
        <v>169.003</v>
      </c>
      <c r="G674" s="250"/>
      <c r="H674" s="251"/>
      <c r="I674" s="236"/>
      <c r="J674" s="242"/>
    </row>
    <row r="675" ht="22.5" customHeight="1">
      <c r="A675" s="242"/>
      <c r="B675" s="242"/>
      <c r="C675" s="247"/>
      <c r="D675" s="247"/>
      <c r="E675" s="12">
        <v>233966.306</v>
      </c>
      <c r="F675" s="16">
        <v>21.946</v>
      </c>
      <c r="G675" s="250"/>
      <c r="H675" s="251"/>
      <c r="I675" s="236"/>
      <c r="J675" s="242"/>
    </row>
    <row r="676" ht="22.5" customHeight="1">
      <c r="A676" s="242"/>
      <c r="B676" s="242"/>
      <c r="C676" s="247"/>
      <c r="D676" s="247"/>
      <c r="E676" s="25">
        <v>324028.32</v>
      </c>
      <c r="F676" s="16">
        <v>67.76</v>
      </c>
      <c r="G676" s="250"/>
      <c r="H676" s="251"/>
      <c r="I676" s="236"/>
      <c r="J676" s="242"/>
    </row>
    <row r="677" ht="22.5" customHeight="1">
      <c r="A677" s="242"/>
      <c r="B677" s="242"/>
      <c r="C677" s="247"/>
      <c r="D677" s="247"/>
      <c r="E677" s="12">
        <v>9975074.746000001</v>
      </c>
      <c r="F677" s="16">
        <v>46.5842</v>
      </c>
      <c r="G677" s="250"/>
      <c r="H677" s="251"/>
      <c r="I677" s="236"/>
      <c r="J677" s="242"/>
    </row>
    <row r="678" ht="22.5" customHeight="1">
      <c r="A678" s="242"/>
      <c r="B678" s="242"/>
      <c r="C678" s="247"/>
      <c r="D678" s="247"/>
      <c r="E678" s="25">
        <v>1.183820058E7</v>
      </c>
      <c r="F678" s="16">
        <v>29.2536</v>
      </c>
      <c r="G678" s="250"/>
      <c r="H678" s="251"/>
      <c r="I678" s="236"/>
      <c r="J678" s="242"/>
    </row>
    <row r="679" ht="22.5" customHeight="1">
      <c r="A679" s="242"/>
      <c r="B679" s="242"/>
      <c r="C679" s="247"/>
      <c r="D679" s="247"/>
      <c r="E679" s="12">
        <v>2549416.0999999996</v>
      </c>
      <c r="F679" s="16">
        <v>10.78</v>
      </c>
      <c r="G679" s="250"/>
      <c r="H679" s="251"/>
      <c r="I679" s="236"/>
      <c r="J679" s="242"/>
    </row>
    <row r="680" ht="22.5" customHeight="1">
      <c r="A680" s="242"/>
      <c r="B680" s="242"/>
      <c r="C680" s="247"/>
      <c r="D680" s="247"/>
      <c r="E680" s="25">
        <v>1.82888435834E7</v>
      </c>
      <c r="F680" s="16">
        <v>164.4074</v>
      </c>
      <c r="G680" s="250"/>
      <c r="H680" s="251"/>
      <c r="I680" s="236"/>
      <c r="J680" s="242"/>
    </row>
    <row r="681" ht="22.5" customHeight="1">
      <c r="A681" s="242"/>
      <c r="B681" s="242"/>
      <c r="C681" s="247"/>
      <c r="D681" s="247"/>
      <c r="E681" s="12">
        <v>3.87922913658E7</v>
      </c>
      <c r="F681" s="219">
        <v>341.4033</v>
      </c>
      <c r="G681" s="250"/>
      <c r="H681" s="251"/>
      <c r="I681" s="236"/>
      <c r="J681" s="242"/>
    </row>
    <row r="682" ht="22.5" customHeight="1">
      <c r="A682" s="242"/>
      <c r="B682" s="242"/>
      <c r="C682" s="247"/>
      <c r="D682" s="247"/>
      <c r="E682" s="25">
        <v>9388939.206</v>
      </c>
      <c r="F682" s="16">
        <v>40.422</v>
      </c>
      <c r="G682" s="250"/>
      <c r="H682" s="251"/>
      <c r="I682" s="236"/>
      <c r="J682" s="242"/>
    </row>
    <row r="683" ht="22.5" customHeight="1">
      <c r="A683" s="242"/>
      <c r="B683" s="242"/>
      <c r="C683" s="247"/>
      <c r="D683" s="247"/>
      <c r="E683" s="12">
        <v>3.1644351648E7</v>
      </c>
      <c r="F683" s="16">
        <v>112.0392</v>
      </c>
      <c r="G683" s="250"/>
      <c r="H683" s="251"/>
      <c r="I683" s="236"/>
      <c r="J683" s="242"/>
    </row>
    <row r="684" ht="22.5" customHeight="1">
      <c r="A684" s="242"/>
      <c r="B684" s="242"/>
      <c r="C684" s="247"/>
      <c r="D684" s="247"/>
      <c r="E684" s="25">
        <v>7.19573459831E7</v>
      </c>
      <c r="F684" s="219">
        <v>82.0123</v>
      </c>
      <c r="G684" s="250"/>
      <c r="H684" s="251"/>
      <c r="I684" s="236"/>
      <c r="J684" s="242"/>
    </row>
    <row r="685" ht="22.5" customHeight="1">
      <c r="A685" s="242"/>
      <c r="B685" s="242"/>
      <c r="C685" s="247"/>
      <c r="D685" s="247"/>
      <c r="E685" s="12">
        <v>3.1948027148900002E7</v>
      </c>
      <c r="F685" s="16">
        <v>64.6589</v>
      </c>
      <c r="G685" s="250"/>
      <c r="H685" s="251"/>
      <c r="I685" s="236"/>
      <c r="J685" s="242"/>
    </row>
    <row r="686" ht="22.5" customHeight="1">
      <c r="A686" s="242"/>
      <c r="B686" s="242"/>
      <c r="C686" s="247"/>
      <c r="D686" s="247"/>
      <c r="E686" s="25">
        <v>2898501.7600000002</v>
      </c>
      <c r="F686" s="16">
        <v>67.76</v>
      </c>
      <c r="G686" s="250"/>
      <c r="H686" s="251"/>
      <c r="I686" s="236"/>
      <c r="J686" s="242"/>
    </row>
    <row r="687" ht="22.5" customHeight="1">
      <c r="A687" s="242"/>
      <c r="B687" s="242"/>
      <c r="C687" s="247"/>
      <c r="D687" s="247"/>
      <c r="E687" s="12">
        <v>3.9335004744E7</v>
      </c>
      <c r="F687" s="219">
        <v>129.738</v>
      </c>
      <c r="G687" s="250"/>
      <c r="H687" s="251"/>
      <c r="I687" s="236"/>
      <c r="J687" s="242"/>
    </row>
    <row r="688" ht="22.5" customHeight="1">
      <c r="A688" s="242"/>
      <c r="B688" s="242"/>
      <c r="C688" s="247"/>
      <c r="D688" s="247"/>
      <c r="E688" s="25">
        <v>2.19951194408E7</v>
      </c>
      <c r="F688" s="16">
        <v>16.5544</v>
      </c>
      <c r="G688" s="250"/>
      <c r="H688" s="251"/>
      <c r="I688" s="236"/>
      <c r="J688" s="242"/>
    </row>
    <row r="689" ht="22.5" customHeight="1">
      <c r="A689" s="242"/>
      <c r="B689" s="242"/>
      <c r="C689" s="247"/>
      <c r="D689" s="247"/>
      <c r="E689" s="12">
        <v>2166682.5574000003</v>
      </c>
      <c r="F689" s="16">
        <v>63.5279</v>
      </c>
      <c r="G689" s="250"/>
      <c r="H689" s="251"/>
      <c r="I689" s="236"/>
      <c r="J689" s="242"/>
    </row>
    <row r="690" ht="22.5" customHeight="1">
      <c r="A690" s="242"/>
      <c r="B690" s="242"/>
      <c r="C690" s="247"/>
      <c r="D690" s="247"/>
      <c r="E690" s="25">
        <v>345037.0323</v>
      </c>
      <c r="F690" s="16">
        <v>172.4323</v>
      </c>
      <c r="G690" s="250"/>
      <c r="H690" s="251"/>
      <c r="I690" s="236"/>
      <c r="J690" s="242"/>
    </row>
    <row r="691" ht="22.5" customHeight="1">
      <c r="A691" s="242"/>
      <c r="B691" s="242"/>
      <c r="C691" s="247"/>
      <c r="D691" s="247"/>
      <c r="E691" s="12">
        <v>5.47056218775E7</v>
      </c>
      <c r="F691" s="16">
        <v>189.3485</v>
      </c>
      <c r="G691" s="250"/>
      <c r="H691" s="251"/>
      <c r="I691" s="236"/>
      <c r="J691" s="242"/>
    </row>
    <row r="692" ht="22.5" customHeight="1">
      <c r="A692" s="242"/>
      <c r="B692" s="242"/>
      <c r="C692" s="247"/>
      <c r="D692" s="247"/>
      <c r="E692" s="25">
        <v>7.955887723200001E7</v>
      </c>
      <c r="F692" s="219">
        <v>107.8092</v>
      </c>
      <c r="G692" s="250"/>
      <c r="H692" s="251"/>
      <c r="I692" s="236"/>
      <c r="J692" s="242"/>
    </row>
    <row r="693" ht="22.5" customHeight="1">
      <c r="A693" s="242"/>
      <c r="B693" s="242"/>
      <c r="C693" s="247"/>
      <c r="D693" s="247"/>
      <c r="E693" s="12">
        <v>2162676.9096</v>
      </c>
      <c r="F693" s="16">
        <v>11.1652</v>
      </c>
      <c r="G693" s="250"/>
      <c r="H693" s="251"/>
      <c r="I693" s="236"/>
      <c r="J693" s="242"/>
    </row>
    <row r="694" ht="22.5" customHeight="1">
      <c r="A694" s="242"/>
      <c r="B694" s="242"/>
      <c r="C694" s="247"/>
      <c r="D694" s="247"/>
      <c r="E694" s="25">
        <v>4.5062542276E7</v>
      </c>
      <c r="F694" s="16">
        <v>25.796</v>
      </c>
      <c r="G694" s="250"/>
      <c r="H694" s="251"/>
      <c r="I694" s="236"/>
      <c r="J694" s="242"/>
    </row>
    <row r="695" ht="22.5" customHeight="1">
      <c r="A695" s="242"/>
      <c r="B695" s="242"/>
      <c r="C695" s="247"/>
      <c r="D695" s="247"/>
      <c r="E695" s="12">
        <v>1.12476596258E7</v>
      </c>
      <c r="F695" s="16">
        <v>11.9353</v>
      </c>
      <c r="G695" s="250"/>
      <c r="H695" s="251"/>
      <c r="I695" s="236"/>
      <c r="J695" s="242"/>
    </row>
    <row r="696" ht="22.5" customHeight="1">
      <c r="A696" s="242"/>
      <c r="B696" s="242"/>
      <c r="C696" s="247"/>
      <c r="D696" s="247"/>
      <c r="E696" s="25">
        <v>4.45295463017E7</v>
      </c>
      <c r="F696" s="16">
        <v>128.9437</v>
      </c>
      <c r="G696" s="250"/>
      <c r="H696" s="251"/>
      <c r="I696" s="236"/>
      <c r="J696" s="242"/>
    </row>
    <row r="697" ht="22.5" customHeight="1">
      <c r="A697" s="242"/>
      <c r="B697" s="242"/>
      <c r="C697" s="247"/>
      <c r="D697" s="247"/>
      <c r="E697" s="12">
        <v>7.409104208399999E7</v>
      </c>
      <c r="F697" s="16">
        <v>66.603</v>
      </c>
      <c r="G697" s="250"/>
      <c r="H697" s="251"/>
      <c r="I697" s="236"/>
      <c r="J697" s="242"/>
    </row>
    <row r="698" ht="22.5" customHeight="1">
      <c r="A698" s="242"/>
      <c r="B698" s="242"/>
      <c r="C698" s="247"/>
      <c r="D698" s="247"/>
      <c r="E698" s="25">
        <v>1158762.78</v>
      </c>
      <c r="F698" s="16">
        <v>175.172</v>
      </c>
      <c r="G698" s="250"/>
      <c r="H698" s="251"/>
      <c r="I698" s="236"/>
      <c r="J698" s="242"/>
    </row>
    <row r="699" ht="22.5" customHeight="1">
      <c r="A699" s="242"/>
      <c r="B699" s="242"/>
      <c r="C699" s="247"/>
      <c r="D699" s="247"/>
      <c r="E699" s="12">
        <v>143924.55</v>
      </c>
      <c r="F699" s="16">
        <v>6.545</v>
      </c>
      <c r="G699" s="250"/>
      <c r="H699" s="251"/>
      <c r="I699" s="236"/>
      <c r="J699" s="242"/>
    </row>
    <row r="700" ht="22.5" customHeight="1">
      <c r="A700" s="242"/>
      <c r="B700" s="242"/>
      <c r="C700" s="247"/>
      <c r="D700" s="247"/>
      <c r="E700" s="25">
        <v>10360.45</v>
      </c>
      <c r="F700" s="16">
        <v>19.01</v>
      </c>
      <c r="G700" s="250"/>
      <c r="H700" s="251"/>
      <c r="I700" s="236"/>
      <c r="J700" s="242"/>
    </row>
    <row r="701" ht="22.5" customHeight="1">
      <c r="A701" s="242"/>
      <c r="B701" s="242"/>
      <c r="C701" s="247"/>
      <c r="D701" s="247"/>
      <c r="E701" s="12">
        <v>2.78441934336E7</v>
      </c>
      <c r="F701" s="16">
        <v>72.7656</v>
      </c>
      <c r="G701" s="250"/>
      <c r="H701" s="251"/>
      <c r="I701" s="236"/>
      <c r="J701" s="242"/>
    </row>
    <row r="702" ht="22.5" customHeight="1">
      <c r="A702" s="242"/>
      <c r="B702" s="242"/>
      <c r="C702" s="247"/>
      <c r="D702" s="247"/>
      <c r="E702" s="25">
        <v>5165.16</v>
      </c>
      <c r="F702" s="16">
        <v>40.04</v>
      </c>
      <c r="G702" s="250"/>
      <c r="H702" s="251"/>
      <c r="I702" s="236"/>
      <c r="J702" s="242"/>
    </row>
    <row r="703" ht="22.5" customHeight="1">
      <c r="A703" s="242"/>
      <c r="B703" s="242"/>
      <c r="C703" s="247"/>
      <c r="D703" s="247"/>
      <c r="E703" s="12">
        <v>3.0764253134999998E7</v>
      </c>
      <c r="F703" s="16">
        <v>49.6538</v>
      </c>
      <c r="G703" s="250"/>
      <c r="H703" s="251"/>
      <c r="I703" s="236"/>
      <c r="J703" s="242"/>
    </row>
    <row r="704" ht="22.5" customHeight="1">
      <c r="A704" s="242"/>
      <c r="B704" s="242"/>
      <c r="C704" s="247"/>
      <c r="D704" s="247"/>
      <c r="E704" s="25">
        <v>8.5678805773E7</v>
      </c>
      <c r="F704" s="16">
        <v>109.339</v>
      </c>
      <c r="G704" s="250"/>
      <c r="H704" s="251"/>
      <c r="I704" s="236"/>
      <c r="J704" s="242"/>
    </row>
    <row r="705" ht="22.5" customHeight="1">
      <c r="A705" s="242"/>
      <c r="B705" s="242"/>
      <c r="C705" s="247"/>
      <c r="D705" s="247"/>
      <c r="E705" s="12">
        <v>1.2307246875E7</v>
      </c>
      <c r="F705" s="16">
        <v>28.875</v>
      </c>
      <c r="G705" s="250"/>
      <c r="H705" s="251"/>
      <c r="I705" s="236"/>
      <c r="J705" s="242"/>
    </row>
    <row r="706" ht="22.5" customHeight="1">
      <c r="A706" s="242"/>
      <c r="B706" s="242"/>
      <c r="C706" s="247"/>
      <c r="D706" s="247"/>
      <c r="E706" s="25">
        <v>7437016.588</v>
      </c>
      <c r="F706" s="16">
        <v>21.946</v>
      </c>
      <c r="G706" s="250"/>
      <c r="H706" s="251"/>
      <c r="I706" s="236"/>
      <c r="J706" s="242"/>
    </row>
    <row r="707" ht="22.5" customHeight="1">
      <c r="A707" s="242"/>
      <c r="B707" s="242"/>
      <c r="C707" s="247"/>
      <c r="D707" s="247"/>
      <c r="E707" s="12">
        <v>9.383250027E7</v>
      </c>
      <c r="F707" s="219">
        <v>74.31</v>
      </c>
      <c r="G707" s="250"/>
      <c r="H707" s="251"/>
      <c r="I707" s="236"/>
      <c r="J707" s="242"/>
    </row>
    <row r="708" ht="22.5" customHeight="1">
      <c r="A708" s="242"/>
      <c r="B708" s="242"/>
      <c r="C708" s="247"/>
      <c r="D708" s="247"/>
      <c r="E708" s="25">
        <v>3.3524352785E7</v>
      </c>
      <c r="F708" s="16">
        <v>11.935</v>
      </c>
      <c r="G708" s="250"/>
      <c r="H708" s="251"/>
      <c r="I708" s="236"/>
      <c r="J708" s="242"/>
    </row>
    <row r="709" ht="22.5" customHeight="1">
      <c r="A709" s="242"/>
      <c r="B709" s="242"/>
      <c r="C709" s="247"/>
      <c r="D709" s="247"/>
      <c r="E709" s="12">
        <v>1914198.44</v>
      </c>
      <c r="F709" s="16">
        <v>1.54</v>
      </c>
      <c r="G709" s="250"/>
      <c r="H709" s="251"/>
      <c r="I709" s="236"/>
      <c r="J709" s="242"/>
    </row>
    <row r="710" ht="22.5" customHeight="1">
      <c r="A710" s="242"/>
      <c r="B710" s="242"/>
      <c r="C710" s="247"/>
      <c r="D710" s="247"/>
      <c r="E710" s="25">
        <v>5001934.245</v>
      </c>
      <c r="F710" s="16">
        <v>41.965</v>
      </c>
      <c r="G710" s="250"/>
      <c r="H710" s="251"/>
      <c r="I710" s="236"/>
      <c r="J710" s="242"/>
    </row>
    <row r="711" ht="22.5" customHeight="1">
      <c r="A711" s="242"/>
      <c r="B711" s="242"/>
      <c r="C711" s="247"/>
      <c r="D711" s="247"/>
      <c r="E711" s="12">
        <v>7.44367609712E7</v>
      </c>
      <c r="F711" s="16">
        <v>128.9788</v>
      </c>
      <c r="G711" s="250"/>
      <c r="H711" s="251"/>
      <c r="I711" s="236"/>
      <c r="J711" s="242"/>
    </row>
    <row r="712" ht="22.5" customHeight="1">
      <c r="A712" s="242"/>
      <c r="B712" s="242"/>
      <c r="C712" s="247"/>
      <c r="D712" s="247"/>
      <c r="E712" s="25">
        <v>828597.0</v>
      </c>
      <c r="F712" s="16">
        <v>4.62</v>
      </c>
      <c r="G712" s="250"/>
      <c r="H712" s="251"/>
      <c r="I712" s="236"/>
      <c r="J712" s="242"/>
    </row>
    <row r="713" ht="22.5" customHeight="1">
      <c r="A713" s="242"/>
      <c r="B713" s="242"/>
      <c r="C713" s="247"/>
      <c r="D713" s="247"/>
      <c r="E713" s="12">
        <v>5.330291581999999E7</v>
      </c>
      <c r="F713" s="219">
        <v>44.66</v>
      </c>
      <c r="G713" s="250"/>
      <c r="H713" s="251"/>
      <c r="I713" s="236"/>
      <c r="J713" s="242"/>
    </row>
    <row r="714" ht="22.5" customHeight="1">
      <c r="A714" s="242"/>
      <c r="B714" s="242"/>
      <c r="C714" s="247"/>
      <c r="D714" s="247"/>
      <c r="E714" s="25">
        <v>6.94806306E7</v>
      </c>
      <c r="F714" s="219">
        <v>95.1</v>
      </c>
      <c r="G714" s="250"/>
      <c r="H714" s="251"/>
      <c r="I714" s="236"/>
      <c r="J714" s="242"/>
    </row>
    <row r="715" ht="22.5" customHeight="1">
      <c r="A715" s="242"/>
      <c r="B715" s="242"/>
      <c r="C715" s="247"/>
      <c r="D715" s="247"/>
      <c r="E715" s="12">
        <v>1.2175307219319999E8</v>
      </c>
      <c r="F715" s="16">
        <v>48.1153</v>
      </c>
      <c r="G715" s="250"/>
      <c r="H715" s="251"/>
      <c r="I715" s="236"/>
      <c r="J715" s="242"/>
    </row>
    <row r="716" ht="22.5" customHeight="1">
      <c r="A716" s="242"/>
      <c r="B716" s="242"/>
      <c r="C716" s="247"/>
      <c r="D716" s="247"/>
      <c r="E716" s="25">
        <v>1.733911102E7</v>
      </c>
      <c r="F716" s="16">
        <v>44.66</v>
      </c>
      <c r="G716" s="250"/>
      <c r="H716" s="251"/>
      <c r="I716" s="236"/>
      <c r="J716" s="242"/>
    </row>
    <row r="717" ht="22.5" customHeight="1">
      <c r="A717" s="242"/>
      <c r="B717" s="242"/>
      <c r="C717" s="247"/>
      <c r="D717" s="247"/>
      <c r="E717" s="12">
        <v>1.721917659E7</v>
      </c>
      <c r="F717" s="16">
        <v>11.165</v>
      </c>
      <c r="G717" s="250"/>
      <c r="H717" s="251"/>
      <c r="I717" s="236"/>
      <c r="J717" s="242"/>
    </row>
    <row r="718" ht="22.5" customHeight="1">
      <c r="A718" s="242"/>
      <c r="B718" s="242"/>
      <c r="C718" s="247"/>
      <c r="D718" s="247"/>
      <c r="E718" s="25">
        <v>730202.5499999999</v>
      </c>
      <c r="F718" s="16">
        <v>220.605</v>
      </c>
      <c r="G718" s="250"/>
      <c r="H718" s="251"/>
      <c r="I718" s="236"/>
      <c r="J718" s="242"/>
    </row>
    <row r="719" ht="22.5" customHeight="1">
      <c r="A719" s="242"/>
      <c r="B719" s="242"/>
      <c r="C719" s="247"/>
      <c r="D719" s="247"/>
      <c r="E719" s="12">
        <v>1.9674606067199998E7</v>
      </c>
      <c r="F719" s="16">
        <v>25.4016</v>
      </c>
      <c r="G719" s="250"/>
      <c r="H719" s="251"/>
      <c r="I719" s="236"/>
      <c r="J719" s="242"/>
    </row>
    <row r="720" ht="22.5" customHeight="1">
      <c r="A720" s="242"/>
      <c r="B720" s="242"/>
      <c r="C720" s="247"/>
      <c r="D720" s="247"/>
      <c r="E720" s="25">
        <v>2950683.1845</v>
      </c>
      <c r="F720" s="16">
        <v>13.8559</v>
      </c>
      <c r="G720" s="250"/>
      <c r="H720" s="251"/>
      <c r="I720" s="236"/>
      <c r="J720" s="242"/>
    </row>
    <row r="721" ht="22.5" customHeight="1">
      <c r="A721" s="242"/>
      <c r="B721" s="242"/>
      <c r="C721" s="247"/>
      <c r="D721" s="247"/>
      <c r="E721" s="12">
        <v>1.4008097557999998E8</v>
      </c>
      <c r="F721" s="16">
        <v>274.82</v>
      </c>
      <c r="G721" s="250"/>
      <c r="H721" s="251"/>
      <c r="I721" s="236"/>
      <c r="J721" s="242"/>
    </row>
    <row r="722" ht="22.5" customHeight="1">
      <c r="A722" s="242"/>
      <c r="B722" s="242"/>
      <c r="C722" s="247"/>
      <c r="D722" s="247"/>
      <c r="E722" s="25">
        <v>1.8401158075E7</v>
      </c>
      <c r="F722" s="16">
        <v>103.175</v>
      </c>
      <c r="G722" s="250"/>
      <c r="H722" s="251"/>
      <c r="I722" s="236"/>
      <c r="J722" s="242"/>
    </row>
    <row r="723" ht="22.5" customHeight="1">
      <c r="A723" s="242"/>
      <c r="B723" s="242"/>
      <c r="C723" s="247"/>
      <c r="D723" s="247"/>
      <c r="E723" s="12">
        <v>8714285.58</v>
      </c>
      <c r="F723" s="16">
        <v>4.62</v>
      </c>
      <c r="G723" s="250"/>
      <c r="H723" s="251"/>
      <c r="I723" s="236"/>
      <c r="J723" s="242"/>
    </row>
    <row r="724" ht="22.5" customHeight="1">
      <c r="A724" s="242"/>
      <c r="B724" s="242"/>
      <c r="C724" s="247"/>
      <c r="D724" s="247"/>
      <c r="E724" s="25">
        <v>5131190.1762</v>
      </c>
      <c r="F724" s="16">
        <v>32.3994</v>
      </c>
      <c r="G724" s="250"/>
      <c r="H724" s="251"/>
      <c r="I724" s="236"/>
      <c r="J724" s="242"/>
    </row>
    <row r="725" ht="22.5" customHeight="1">
      <c r="A725" s="242"/>
      <c r="B725" s="242"/>
      <c r="C725" s="247"/>
      <c r="D725" s="247"/>
      <c r="E725" s="12">
        <v>447879.07</v>
      </c>
      <c r="F725" s="16">
        <v>175.57</v>
      </c>
      <c r="G725" s="250"/>
      <c r="H725" s="251"/>
      <c r="I725" s="236"/>
      <c r="J725" s="242"/>
    </row>
    <row r="726" ht="22.5" customHeight="1">
      <c r="A726" s="242"/>
      <c r="B726" s="242"/>
      <c r="C726" s="247"/>
      <c r="D726" s="247"/>
      <c r="E726" s="25">
        <v>9819272.991</v>
      </c>
      <c r="F726" s="16">
        <v>185.161</v>
      </c>
      <c r="G726" s="250"/>
      <c r="H726" s="251"/>
      <c r="I726" s="236"/>
      <c r="J726" s="242"/>
    </row>
    <row r="727" ht="22.5" customHeight="1">
      <c r="A727" s="242"/>
      <c r="B727" s="242"/>
      <c r="C727" s="247"/>
      <c r="D727" s="247"/>
      <c r="E727" s="12">
        <v>7354909.54</v>
      </c>
      <c r="F727" s="16">
        <v>1.385</v>
      </c>
      <c r="G727" s="250"/>
      <c r="H727" s="251"/>
      <c r="I727" s="236"/>
      <c r="J727" s="242"/>
    </row>
    <row r="728" ht="22.5" customHeight="1">
      <c r="A728" s="242"/>
      <c r="B728" s="242"/>
      <c r="C728" s="247"/>
      <c r="D728" s="247"/>
      <c r="E728" s="25">
        <v>4.2514143364E8</v>
      </c>
      <c r="F728" s="219">
        <v>252.715</v>
      </c>
      <c r="G728" s="250"/>
      <c r="H728" s="251"/>
      <c r="I728" s="236"/>
      <c r="J728" s="242"/>
    </row>
    <row r="729" ht="22.5" customHeight="1">
      <c r="A729" s="242"/>
      <c r="B729" s="242"/>
      <c r="C729" s="247"/>
      <c r="D729" s="247"/>
      <c r="E729" s="67">
        <v>6.750557645168598E9</v>
      </c>
      <c r="F729" s="69">
        <f>sum(ALL[[#TOTALS],[Population]]/ALL[[#TOTALS],[Area (Km)]])</f>
        <v>53.72462378</v>
      </c>
      <c r="G729" s="236"/>
      <c r="H729" s="251"/>
      <c r="I729" s="236"/>
      <c r="J729" s="242"/>
    </row>
    <row r="730" ht="22.5" customHeight="1">
      <c r="A730" s="242"/>
      <c r="B730" s="242"/>
      <c r="C730" s="247"/>
      <c r="D730" s="247"/>
      <c r="E730" s="246"/>
      <c r="F730" s="16"/>
      <c r="G730" s="250"/>
      <c r="H730" s="251"/>
      <c r="I730" s="236"/>
      <c r="J730" s="242"/>
    </row>
    <row r="731" ht="22.5" customHeight="1">
      <c r="A731" s="242"/>
      <c r="B731" s="242"/>
      <c r="C731" s="247"/>
      <c r="D731" s="247"/>
      <c r="E731" s="248"/>
      <c r="F731" s="4"/>
      <c r="G731" s="250"/>
      <c r="H731" s="251"/>
      <c r="I731" s="236"/>
      <c r="J731" s="242"/>
    </row>
    <row r="732" ht="22.5" customHeight="1">
      <c r="A732" s="242"/>
      <c r="B732" s="242"/>
      <c r="C732" s="247"/>
      <c r="D732" s="247"/>
      <c r="E732" s="248"/>
      <c r="F732" s="4"/>
      <c r="G732" s="250"/>
      <c r="H732" s="251"/>
      <c r="I732" s="236"/>
      <c r="J732" s="242"/>
    </row>
    <row r="733" ht="22.5" customHeight="1">
      <c r="A733" s="242"/>
      <c r="B733" s="242"/>
      <c r="C733" s="247"/>
      <c r="D733" s="247"/>
      <c r="E733" s="248"/>
      <c r="F733" s="4"/>
      <c r="G733" s="250"/>
      <c r="H733" s="251"/>
      <c r="I733" s="236"/>
      <c r="J733" s="242"/>
    </row>
    <row r="734" ht="22.5" customHeight="1">
      <c r="A734" s="242"/>
      <c r="B734" s="242"/>
      <c r="C734" s="247"/>
      <c r="D734" s="247"/>
      <c r="E734" s="248"/>
      <c r="F734" s="4"/>
      <c r="G734" s="250"/>
      <c r="H734" s="251"/>
      <c r="I734" s="236"/>
      <c r="J734" s="242"/>
    </row>
    <row r="735" ht="22.5" customHeight="1">
      <c r="A735" s="242"/>
      <c r="B735" s="242"/>
      <c r="C735" s="247"/>
      <c r="D735" s="247"/>
      <c r="E735" s="248"/>
      <c r="F735" s="4"/>
      <c r="G735" s="250"/>
      <c r="H735" s="251"/>
      <c r="I735" s="236"/>
      <c r="J735" s="242"/>
    </row>
    <row r="736" ht="22.5" customHeight="1">
      <c r="A736" s="242"/>
      <c r="B736" s="242"/>
      <c r="C736" s="247"/>
      <c r="D736" s="247"/>
      <c r="E736" s="248"/>
      <c r="F736" s="4"/>
      <c r="G736" s="250"/>
      <c r="H736" s="251"/>
      <c r="I736" s="236"/>
      <c r="J736" s="242"/>
    </row>
    <row r="737" ht="22.5" customHeight="1">
      <c r="A737" s="242"/>
      <c r="B737" s="242"/>
      <c r="C737" s="247"/>
      <c r="D737" s="247"/>
      <c r="E737" s="248"/>
      <c r="F737" s="4"/>
      <c r="G737" s="250"/>
      <c r="H737" s="251"/>
      <c r="I737" s="236"/>
      <c r="J737" s="242"/>
    </row>
    <row r="738" ht="22.5" customHeight="1">
      <c r="A738" s="242"/>
      <c r="B738" s="242"/>
      <c r="C738" s="247"/>
      <c r="D738" s="247"/>
      <c r="E738" s="248"/>
      <c r="F738" s="4"/>
      <c r="G738" s="250"/>
      <c r="H738" s="251"/>
      <c r="I738" s="236"/>
      <c r="J738" s="242"/>
    </row>
    <row r="739" ht="22.5" customHeight="1">
      <c r="A739" s="242"/>
      <c r="B739" s="242"/>
      <c r="C739" s="247"/>
      <c r="D739" s="247"/>
      <c r="E739" s="248"/>
      <c r="F739" s="4"/>
      <c r="G739" s="250"/>
      <c r="H739" s="251"/>
      <c r="I739" s="236"/>
      <c r="J739" s="242"/>
    </row>
    <row r="740" ht="22.5" customHeight="1">
      <c r="A740" s="242"/>
      <c r="B740" s="242"/>
      <c r="C740" s="247"/>
      <c r="D740" s="247"/>
      <c r="E740" s="248"/>
      <c r="F740" s="4"/>
      <c r="G740" s="250"/>
      <c r="H740" s="251"/>
      <c r="I740" s="236"/>
      <c r="J740" s="242"/>
    </row>
    <row r="741" ht="22.5" customHeight="1">
      <c r="A741" s="242"/>
      <c r="B741" s="242"/>
      <c r="C741" s="247"/>
      <c r="D741" s="247"/>
      <c r="E741" s="2" t="s">
        <v>1</v>
      </c>
      <c r="F741" s="5" t="s">
        <v>9</v>
      </c>
      <c r="G741" s="250"/>
      <c r="H741" s="251"/>
      <c r="I741" s="236"/>
      <c r="J741" s="242"/>
    </row>
    <row r="742" ht="22.5" customHeight="1">
      <c r="A742" s="242"/>
      <c r="B742" s="242"/>
      <c r="C742" s="247"/>
      <c r="D742" s="247"/>
      <c r="E742" s="12">
        <v>1.120325637E7</v>
      </c>
      <c r="F742" s="219">
        <v>28.874</v>
      </c>
      <c r="G742" s="250"/>
      <c r="H742" s="251"/>
      <c r="I742" s="236"/>
      <c r="J742" s="242"/>
    </row>
    <row r="743" ht="22.5" customHeight="1">
      <c r="A743" s="242"/>
      <c r="B743" s="242"/>
      <c r="C743" s="247"/>
      <c r="D743" s="247"/>
      <c r="E743" s="25">
        <v>1.4469041128E7</v>
      </c>
      <c r="F743" s="219">
        <v>109.727</v>
      </c>
      <c r="G743" s="250"/>
      <c r="H743" s="251"/>
      <c r="I743" s="236"/>
      <c r="J743" s="242"/>
    </row>
    <row r="744" ht="22.5" customHeight="1">
      <c r="A744" s="242"/>
      <c r="B744" s="242"/>
      <c r="C744" s="247"/>
      <c r="D744" s="247"/>
      <c r="E744" s="12">
        <v>1405386.7674</v>
      </c>
      <c r="F744" s="219">
        <v>55.0506</v>
      </c>
      <c r="G744" s="250"/>
      <c r="H744" s="251"/>
      <c r="I744" s="236"/>
      <c r="J744" s="242"/>
    </row>
    <row r="745" ht="22.5" customHeight="1">
      <c r="A745" s="242"/>
      <c r="B745" s="242"/>
      <c r="C745" s="247"/>
      <c r="D745" s="247"/>
      <c r="E745" s="25">
        <v>2.071294573E7</v>
      </c>
      <c r="F745" s="219">
        <v>122.83</v>
      </c>
      <c r="G745" s="250"/>
      <c r="H745" s="251"/>
      <c r="I745" s="236"/>
      <c r="J745" s="242"/>
    </row>
    <row r="746" ht="22.5" customHeight="1">
      <c r="A746" s="242"/>
      <c r="B746" s="242"/>
      <c r="C746" s="247"/>
      <c r="D746" s="247"/>
      <c r="E746" s="12">
        <v>2236563.3645</v>
      </c>
      <c r="F746" s="219">
        <v>6.1605</v>
      </c>
      <c r="G746" s="250"/>
      <c r="H746" s="251"/>
      <c r="I746" s="236"/>
      <c r="J746" s="242"/>
    </row>
    <row r="747" ht="22.5" customHeight="1">
      <c r="A747" s="242"/>
      <c r="B747" s="242"/>
      <c r="C747" s="247"/>
      <c r="D747" s="247"/>
      <c r="E747" s="25">
        <v>3146472.56</v>
      </c>
      <c r="F747" s="219">
        <v>1.54</v>
      </c>
      <c r="G747" s="250"/>
      <c r="H747" s="251"/>
      <c r="I747" s="236"/>
      <c r="J747" s="242"/>
    </row>
    <row r="748" ht="22.5" customHeight="1">
      <c r="A748" s="242"/>
      <c r="B748" s="242"/>
      <c r="C748" s="247"/>
      <c r="D748" s="247"/>
      <c r="E748" s="12">
        <v>2.176859685E7</v>
      </c>
      <c r="F748" s="219">
        <v>43.505</v>
      </c>
      <c r="G748" s="250"/>
      <c r="H748" s="251"/>
      <c r="I748" s="236"/>
      <c r="J748" s="242"/>
    </row>
    <row r="749" ht="22.5" customHeight="1">
      <c r="A749" s="242"/>
      <c r="B749" s="242"/>
      <c r="C749" s="247"/>
      <c r="D749" s="247"/>
      <c r="E749" s="25">
        <v>376608.94920000003</v>
      </c>
      <c r="F749" s="219">
        <v>10.3938</v>
      </c>
      <c r="G749" s="250"/>
      <c r="H749" s="251"/>
      <c r="I749" s="236"/>
      <c r="J749" s="242"/>
    </row>
    <row r="750" ht="22.5" customHeight="1">
      <c r="A750" s="242"/>
      <c r="B750" s="242"/>
      <c r="C750" s="247"/>
      <c r="D750" s="247"/>
      <c r="E750" s="12">
        <v>6585929.990999999</v>
      </c>
      <c r="F750" s="219">
        <v>11.9346</v>
      </c>
      <c r="G750" s="250"/>
      <c r="H750" s="251"/>
      <c r="I750" s="236"/>
      <c r="J750" s="242"/>
    </row>
    <row r="751" ht="22.5" customHeight="1">
      <c r="A751" s="242"/>
      <c r="B751" s="242"/>
      <c r="C751" s="247"/>
      <c r="D751" s="247"/>
      <c r="E751" s="25">
        <v>5.790874372060001E8</v>
      </c>
      <c r="F751" s="219">
        <v>98.918</v>
      </c>
      <c r="G751" s="250"/>
      <c r="H751" s="251"/>
      <c r="I751" s="236"/>
      <c r="J751" s="242"/>
    </row>
    <row r="752" ht="22.5" customHeight="1">
      <c r="A752" s="242"/>
      <c r="B752" s="242"/>
      <c r="C752" s="247"/>
      <c r="D752" s="247"/>
      <c r="E752" s="12">
        <v>6.226552075E7</v>
      </c>
      <c r="F752" s="219">
        <v>147.47</v>
      </c>
      <c r="G752" s="250"/>
      <c r="H752" s="251"/>
      <c r="I752" s="236"/>
      <c r="J752" s="242"/>
    </row>
    <row r="753" ht="22.5" customHeight="1">
      <c r="A753" s="242"/>
      <c r="B753" s="242"/>
      <c r="C753" s="247"/>
      <c r="D753" s="247"/>
      <c r="E753" s="25">
        <v>4.42771940696E7</v>
      </c>
      <c r="F753" s="219">
        <v>83.5496</v>
      </c>
      <c r="G753" s="250"/>
      <c r="H753" s="251"/>
      <c r="I753" s="236"/>
      <c r="J753" s="242"/>
    </row>
    <row r="754" ht="22.5" customHeight="1">
      <c r="A754" s="242"/>
      <c r="B754" s="242"/>
      <c r="C754" s="247"/>
      <c r="D754" s="247"/>
      <c r="E754" s="12">
        <v>1638021.0</v>
      </c>
      <c r="F754" s="219">
        <v>107.8</v>
      </c>
      <c r="G754" s="250"/>
      <c r="H754" s="251"/>
      <c r="I754" s="236"/>
      <c r="J754" s="242"/>
    </row>
    <row r="755" ht="22.5" customHeight="1">
      <c r="A755" s="242"/>
      <c r="B755" s="242"/>
      <c r="C755" s="247"/>
      <c r="D755" s="247"/>
      <c r="E755" s="25">
        <v>9106538.713</v>
      </c>
      <c r="F755" s="219">
        <v>16.1605</v>
      </c>
      <c r="G755" s="250"/>
      <c r="H755" s="251"/>
      <c r="I755" s="236"/>
      <c r="J755" s="242"/>
    </row>
    <row r="756" ht="22.5" customHeight="1">
      <c r="A756" s="242"/>
      <c r="B756" s="242"/>
      <c r="C756" s="247"/>
      <c r="D756" s="247"/>
      <c r="E756" s="12">
        <v>2.73325206E7</v>
      </c>
      <c r="F756" s="219">
        <v>46.2</v>
      </c>
      <c r="G756" s="250"/>
      <c r="H756" s="251"/>
      <c r="I756" s="236"/>
      <c r="J756" s="242"/>
    </row>
    <row r="757" ht="22.5" customHeight="1">
      <c r="A757" s="242"/>
      <c r="B757" s="242"/>
      <c r="C757" s="247"/>
      <c r="D757" s="247"/>
      <c r="E757" s="25">
        <v>759042.8369999999</v>
      </c>
      <c r="F757" s="219">
        <v>140.0965</v>
      </c>
      <c r="G757" s="250"/>
      <c r="H757" s="251"/>
      <c r="I757" s="236"/>
      <c r="J757" s="242"/>
    </row>
    <row r="758" ht="22.5" customHeight="1">
      <c r="A758" s="242"/>
      <c r="B758" s="242"/>
      <c r="C758" s="247"/>
      <c r="D758" s="247"/>
      <c r="E758" s="12">
        <v>1.3815052983199999E7</v>
      </c>
      <c r="F758" s="219">
        <v>163.5382</v>
      </c>
      <c r="G758" s="250"/>
      <c r="H758" s="251"/>
      <c r="I758" s="236"/>
      <c r="J758" s="242"/>
    </row>
    <row r="759" ht="22.5" customHeight="1">
      <c r="A759" s="242"/>
      <c r="B759" s="242"/>
      <c r="C759" s="247"/>
      <c r="D759" s="247"/>
      <c r="E759" s="25">
        <v>47933.0675</v>
      </c>
      <c r="F759" s="219">
        <v>36.1759</v>
      </c>
      <c r="G759" s="250"/>
      <c r="H759" s="251"/>
      <c r="I759" s="236"/>
      <c r="J759" s="242"/>
    </row>
    <row r="760" ht="22.5" customHeight="1">
      <c r="A760" s="242"/>
      <c r="B760" s="242"/>
      <c r="C760" s="247"/>
      <c r="D760" s="247"/>
      <c r="E760" s="12">
        <v>945980.451</v>
      </c>
      <c r="F760" s="219">
        <v>449.1835</v>
      </c>
      <c r="G760" s="250"/>
      <c r="H760" s="251"/>
      <c r="I760" s="236"/>
      <c r="J760" s="242"/>
    </row>
    <row r="761" ht="22.5" customHeight="1">
      <c r="A761" s="242"/>
      <c r="B761" s="242"/>
      <c r="C761" s="247"/>
      <c r="D761" s="247"/>
      <c r="E761" s="25">
        <v>3983.8070000000002</v>
      </c>
      <c r="F761" s="219">
        <v>17.3209</v>
      </c>
      <c r="G761" s="250"/>
      <c r="H761" s="251"/>
      <c r="I761" s="236"/>
      <c r="J761" s="242"/>
    </row>
    <row r="762" ht="22.5" customHeight="1">
      <c r="A762" s="242"/>
      <c r="B762" s="242"/>
      <c r="C762" s="247"/>
      <c r="D762" s="247"/>
      <c r="E762" s="12">
        <v>4523612.8124</v>
      </c>
      <c r="F762" s="219">
        <v>47.7406</v>
      </c>
      <c r="G762" s="250"/>
      <c r="H762" s="251"/>
      <c r="I762" s="236"/>
      <c r="J762" s="242"/>
    </row>
    <row r="763" ht="22.5" customHeight="1">
      <c r="A763" s="242"/>
      <c r="B763" s="242"/>
      <c r="C763" s="247"/>
      <c r="D763" s="247"/>
      <c r="E763" s="25">
        <v>8.906013222177E8</v>
      </c>
      <c r="F763" s="219">
        <v>201.0773</v>
      </c>
      <c r="G763" s="250"/>
      <c r="H763" s="251"/>
      <c r="I763" s="236"/>
      <c r="J763" s="242"/>
    </row>
    <row r="764" ht="22.5" customHeight="1">
      <c r="A764" s="242"/>
      <c r="B764" s="242"/>
      <c r="C764" s="247"/>
      <c r="D764" s="247"/>
      <c r="E764" s="12">
        <v>2020940.075</v>
      </c>
      <c r="F764" s="219">
        <v>2.695</v>
      </c>
      <c r="G764" s="250"/>
      <c r="H764" s="251"/>
      <c r="I764" s="236"/>
      <c r="J764" s="242"/>
    </row>
    <row r="765" ht="22.5" customHeight="1">
      <c r="A765" s="242"/>
      <c r="B765" s="242"/>
      <c r="C765" s="247"/>
      <c r="D765" s="247"/>
      <c r="E765" s="25">
        <v>1.9678479769E7</v>
      </c>
      <c r="F765" s="219">
        <v>28.873</v>
      </c>
      <c r="G765" s="250"/>
      <c r="H765" s="251"/>
      <c r="I765" s="236"/>
      <c r="J765" s="242"/>
    </row>
    <row r="766" ht="22.5" customHeight="1">
      <c r="A766" s="242"/>
      <c r="B766" s="242"/>
      <c r="C766" s="247"/>
      <c r="D766" s="247"/>
      <c r="E766" s="12">
        <v>2.918269816E7</v>
      </c>
      <c r="F766" s="219">
        <v>11.935</v>
      </c>
      <c r="G766" s="250"/>
      <c r="H766" s="251"/>
      <c r="I766" s="236"/>
      <c r="J766" s="242"/>
    </row>
    <row r="767" ht="22.5" customHeight="1">
      <c r="A767" s="242"/>
      <c r="B767" s="242"/>
      <c r="C767" s="247"/>
      <c r="D767" s="247"/>
      <c r="E767" s="25">
        <v>3.0642963185999997E7</v>
      </c>
      <c r="F767" s="219">
        <v>40.038</v>
      </c>
      <c r="G767" s="250"/>
      <c r="H767" s="251"/>
      <c r="I767" s="236"/>
      <c r="J767" s="242"/>
    </row>
    <row r="768" ht="22.5" customHeight="1">
      <c r="A768" s="242"/>
      <c r="B768" s="242"/>
      <c r="C768" s="247"/>
      <c r="D768" s="247"/>
      <c r="E768" s="12">
        <v>7438559.464</v>
      </c>
      <c r="F768" s="219">
        <v>44.2666</v>
      </c>
      <c r="G768" s="250"/>
      <c r="H768" s="251"/>
      <c r="I768" s="236"/>
      <c r="J768" s="242"/>
    </row>
    <row r="769" ht="22.5" customHeight="1">
      <c r="A769" s="242"/>
      <c r="B769" s="242"/>
      <c r="C769" s="247"/>
      <c r="D769" s="247"/>
      <c r="E769" s="25">
        <v>9.50014567656E7</v>
      </c>
      <c r="F769" s="219">
        <v>92.3976</v>
      </c>
      <c r="G769" s="250"/>
      <c r="H769" s="251"/>
      <c r="I769" s="236"/>
      <c r="J769" s="242"/>
    </row>
    <row r="770" ht="22.5" customHeight="1">
      <c r="A770" s="242"/>
      <c r="B770" s="242"/>
      <c r="C770" s="247"/>
      <c r="D770" s="247"/>
      <c r="E770" s="12">
        <v>1.3799263854E8</v>
      </c>
      <c r="F770" s="219">
        <v>88.243</v>
      </c>
      <c r="G770" s="250"/>
      <c r="H770" s="251"/>
      <c r="I770" s="236"/>
      <c r="J770" s="242"/>
    </row>
    <row r="771" ht="22.5" customHeight="1">
      <c r="A771" s="242"/>
      <c r="B771" s="242"/>
      <c r="C771" s="247"/>
      <c r="D771" s="247"/>
      <c r="E771" s="25">
        <v>2.9913649997E7</v>
      </c>
      <c r="F771" s="219">
        <v>273.007</v>
      </c>
      <c r="G771" s="250"/>
      <c r="H771" s="251"/>
      <c r="I771" s="236"/>
      <c r="J771" s="242"/>
    </row>
    <row r="772" ht="22.5" customHeight="1">
      <c r="A772" s="242"/>
      <c r="B772" s="242"/>
      <c r="C772" s="247"/>
      <c r="D772" s="247"/>
      <c r="E772" s="12">
        <v>2.9421789862000003E7</v>
      </c>
      <c r="F772" s="219">
        <v>51.206</v>
      </c>
      <c r="G772" s="250"/>
      <c r="H772" s="251"/>
      <c r="I772" s="236"/>
      <c r="J772" s="242"/>
    </row>
    <row r="773" ht="22.5" customHeight="1">
      <c r="A773" s="242"/>
      <c r="B773" s="242"/>
      <c r="C773" s="247"/>
      <c r="D773" s="247"/>
      <c r="E773" s="25">
        <v>5393380.319999999</v>
      </c>
      <c r="F773" s="219">
        <v>41.196</v>
      </c>
      <c r="G773" s="250"/>
      <c r="H773" s="251"/>
      <c r="I773" s="236"/>
      <c r="J773" s="242"/>
    </row>
    <row r="774" ht="22.5" customHeight="1">
      <c r="A774" s="242"/>
      <c r="B774" s="242"/>
      <c r="C774" s="247"/>
      <c r="D774" s="247"/>
      <c r="E774" s="12">
        <v>495291.4</v>
      </c>
      <c r="F774" s="219">
        <v>43.325</v>
      </c>
      <c r="G774" s="250"/>
      <c r="H774" s="251"/>
      <c r="I774" s="236"/>
      <c r="J774" s="242"/>
    </row>
    <row r="775" ht="22.5" customHeight="1">
      <c r="A775" s="242"/>
      <c r="B775" s="242"/>
      <c r="C775" s="247"/>
      <c r="D775" s="247"/>
      <c r="E775" s="25">
        <v>9.0861039758E7</v>
      </c>
      <c r="F775" s="219">
        <v>211.903</v>
      </c>
      <c r="G775" s="250"/>
      <c r="H775" s="251"/>
      <c r="I775" s="236"/>
      <c r="J775" s="242"/>
    </row>
    <row r="776" ht="22.5" customHeight="1">
      <c r="A776" s="242"/>
      <c r="B776" s="242"/>
      <c r="C776" s="247"/>
      <c r="D776" s="247"/>
      <c r="E776" s="12">
        <v>51690.1</v>
      </c>
      <c r="F776" s="219">
        <v>94.325</v>
      </c>
      <c r="G776" s="250"/>
      <c r="H776" s="251"/>
      <c r="I776" s="236"/>
      <c r="J776" s="242"/>
    </row>
    <row r="777" ht="22.5" customHeight="1">
      <c r="A777" s="242"/>
      <c r="B777" s="242"/>
      <c r="C777" s="247"/>
      <c r="D777" s="247"/>
      <c r="E777" s="25">
        <v>4070554.9370000004</v>
      </c>
      <c r="F777" s="219">
        <v>32.3278</v>
      </c>
      <c r="G777" s="250"/>
      <c r="H777" s="251"/>
      <c r="I777" s="236"/>
      <c r="J777" s="242"/>
    </row>
    <row r="778" ht="22.5" customHeight="1">
      <c r="A778" s="242"/>
      <c r="B778" s="242"/>
      <c r="C778" s="247"/>
      <c r="D778" s="247"/>
      <c r="E778" s="12">
        <v>9.094563632000001E7</v>
      </c>
      <c r="F778" s="219">
        <v>174.02</v>
      </c>
      <c r="G778" s="250"/>
      <c r="H778" s="251"/>
      <c r="I778" s="236"/>
      <c r="J778" s="242"/>
    </row>
    <row r="779" ht="22.5" customHeight="1">
      <c r="A779" s="242"/>
      <c r="B779" s="242"/>
      <c r="C779" s="247"/>
      <c r="D779" s="247"/>
      <c r="E779" s="25">
        <v>2.60844815693E8</v>
      </c>
      <c r="F779" s="219">
        <v>35.873</v>
      </c>
      <c r="G779" s="250"/>
      <c r="H779" s="251"/>
      <c r="I779" s="236"/>
      <c r="J779" s="242"/>
    </row>
    <row r="780" ht="22.5" customHeight="1">
      <c r="A780" s="242"/>
      <c r="B780" s="242"/>
      <c r="C780" s="247"/>
      <c r="D780" s="247"/>
      <c r="E780" s="12">
        <v>7.46674465574E7</v>
      </c>
      <c r="F780" s="219">
        <v>40.0399</v>
      </c>
      <c r="G780" s="250"/>
      <c r="H780" s="251"/>
      <c r="I780" s="236"/>
      <c r="J780" s="242"/>
    </row>
    <row r="781" ht="22.5" customHeight="1">
      <c r="A781" s="242"/>
      <c r="B781" s="242"/>
      <c r="C781" s="247"/>
      <c r="D781" s="247"/>
      <c r="E781" s="25">
        <v>2.1374692152E7</v>
      </c>
      <c r="F781" s="219">
        <v>8.4667</v>
      </c>
      <c r="G781" s="250"/>
      <c r="H781" s="251"/>
      <c r="I781" s="236"/>
      <c r="J781" s="242"/>
    </row>
    <row r="782" ht="22.5" customHeight="1">
      <c r="A782" s="242"/>
      <c r="B782" s="242"/>
      <c r="C782" s="247"/>
      <c r="D782" s="247"/>
      <c r="E782" s="12">
        <v>2.50836737476E7</v>
      </c>
      <c r="F782" s="219">
        <v>55.4426</v>
      </c>
      <c r="G782" s="250"/>
      <c r="H782" s="251"/>
      <c r="I782" s="236"/>
      <c r="J782" s="242"/>
    </row>
    <row r="783" ht="22.5" customHeight="1">
      <c r="A783" s="242"/>
      <c r="B783" s="242"/>
      <c r="C783" s="247"/>
      <c r="D783" s="247"/>
      <c r="E783" s="25">
        <v>1441953.94</v>
      </c>
      <c r="F783" s="219">
        <v>0.785</v>
      </c>
      <c r="G783" s="250"/>
      <c r="H783" s="251"/>
      <c r="I783" s="236"/>
      <c r="J783" s="242"/>
    </row>
    <row r="784" ht="22.5" customHeight="1">
      <c r="A784" s="242"/>
      <c r="B784" s="242"/>
      <c r="C784" s="247"/>
      <c r="D784" s="247"/>
      <c r="E784" s="12">
        <v>7849449.683999999</v>
      </c>
      <c r="F784" s="219">
        <v>34.266</v>
      </c>
      <c r="G784" s="250"/>
      <c r="H784" s="251"/>
      <c r="I784" s="236"/>
      <c r="J784" s="242"/>
    </row>
    <row r="785" ht="22.5" customHeight="1">
      <c r="A785" s="242"/>
      <c r="B785" s="242"/>
      <c r="C785" s="247"/>
      <c r="D785" s="247"/>
      <c r="E785" s="25">
        <v>1.2299327766E7</v>
      </c>
      <c r="F785" s="219">
        <v>57.366</v>
      </c>
      <c r="G785" s="250"/>
      <c r="H785" s="251"/>
      <c r="I785" s="236"/>
      <c r="J785" s="242"/>
    </row>
    <row r="786" ht="22.5" customHeight="1">
      <c r="A786" s="242"/>
      <c r="B786" s="242"/>
      <c r="C786" s="247"/>
      <c r="D786" s="247"/>
      <c r="E786" s="12">
        <v>3.1745420389999997E7</v>
      </c>
      <c r="F786" s="219">
        <v>72.005</v>
      </c>
      <c r="G786" s="250"/>
      <c r="H786" s="251"/>
      <c r="I786" s="236"/>
      <c r="J786" s="242"/>
    </row>
    <row r="787" ht="22.5" customHeight="1">
      <c r="A787" s="242"/>
      <c r="B787" s="242"/>
      <c r="C787" s="247"/>
      <c r="D787" s="247"/>
      <c r="E787" s="25">
        <v>4620319.75</v>
      </c>
      <c r="F787" s="219">
        <v>35.0356</v>
      </c>
      <c r="G787" s="250"/>
      <c r="H787" s="251"/>
      <c r="I787" s="236"/>
      <c r="J787" s="242"/>
    </row>
    <row r="788" ht="22.5" customHeight="1">
      <c r="A788" s="242"/>
      <c r="B788" s="242"/>
      <c r="C788" s="247"/>
      <c r="D788" s="247"/>
      <c r="E788" s="12">
        <v>7181169.023999999</v>
      </c>
      <c r="F788" s="219">
        <v>71.996</v>
      </c>
      <c r="G788" s="250"/>
      <c r="H788" s="251"/>
      <c r="I788" s="236"/>
      <c r="J788" s="242"/>
    </row>
    <row r="789" ht="22.5" customHeight="1">
      <c r="A789" s="242"/>
      <c r="B789" s="242"/>
      <c r="C789" s="247"/>
      <c r="D789" s="247"/>
      <c r="E789" s="36">
        <v>9533899.7226</v>
      </c>
      <c r="F789" s="219">
        <v>2.7099</v>
      </c>
      <c r="G789" s="250"/>
      <c r="H789" s="251"/>
      <c r="I789" s="236"/>
      <c r="J789" s="242"/>
    </row>
    <row r="790" ht="22.5" customHeight="1">
      <c r="A790" s="242"/>
      <c r="B790" s="242"/>
      <c r="C790" s="247"/>
      <c r="D790" s="247"/>
      <c r="E790" s="32">
        <v>1.60573973472E7</v>
      </c>
      <c r="F790" s="219">
        <v>66.6072</v>
      </c>
      <c r="G790" s="250"/>
      <c r="H790" s="251"/>
      <c r="I790" s="236"/>
      <c r="J790" s="242"/>
    </row>
    <row r="791" ht="22.5" customHeight="1">
      <c r="A791" s="242"/>
      <c r="B791" s="242"/>
      <c r="C791" s="247"/>
      <c r="D791" s="247"/>
      <c r="E791" s="25">
        <v>1.5795087263200002E7</v>
      </c>
      <c r="F791" s="219">
        <v>8.8549</v>
      </c>
      <c r="G791" s="250"/>
      <c r="H791" s="251"/>
      <c r="I791" s="236"/>
      <c r="J791" s="242"/>
    </row>
    <row r="792" ht="22.5" customHeight="1">
      <c r="A792" s="242"/>
      <c r="B792" s="242"/>
      <c r="C792" s="247"/>
      <c r="D792" s="247"/>
      <c r="E792" s="12">
        <v>3347590.2158999997</v>
      </c>
      <c r="F792" s="219">
        <v>16.5551</v>
      </c>
      <c r="G792" s="250"/>
      <c r="H792" s="251"/>
      <c r="I792" s="236"/>
      <c r="J792" s="242"/>
    </row>
    <row r="793" ht="22.5" customHeight="1">
      <c r="A793" s="242"/>
      <c r="B793" s="242"/>
      <c r="C793" s="247"/>
      <c r="D793" s="247"/>
      <c r="E793" s="25">
        <v>833491.136</v>
      </c>
      <c r="F793" s="219">
        <v>97.0304</v>
      </c>
      <c r="G793" s="250"/>
      <c r="H793" s="251"/>
      <c r="I793" s="236"/>
      <c r="J793" s="242"/>
    </row>
    <row r="794" ht="22.5" customHeight="1">
      <c r="A794" s="242"/>
      <c r="B794" s="242"/>
      <c r="C794" s="247"/>
      <c r="D794" s="247"/>
      <c r="E794" s="12">
        <v>1.70791159476E7</v>
      </c>
      <c r="F794" s="219">
        <v>23.0924</v>
      </c>
      <c r="G794" s="250"/>
      <c r="H794" s="251"/>
      <c r="I794" s="236"/>
      <c r="J794" s="242"/>
    </row>
    <row r="795" ht="22.5" customHeight="1">
      <c r="A795" s="242"/>
      <c r="B795" s="242"/>
      <c r="C795" s="247"/>
      <c r="D795" s="247"/>
      <c r="E795" s="25">
        <v>2.0605956264E7</v>
      </c>
      <c r="F795" s="219">
        <v>61.596</v>
      </c>
      <c r="G795" s="250"/>
      <c r="H795" s="251"/>
      <c r="I795" s="236"/>
      <c r="J795" s="242"/>
    </row>
    <row r="796" ht="22.5" customHeight="1">
      <c r="A796" s="242"/>
      <c r="B796" s="242"/>
      <c r="C796" s="247"/>
      <c r="D796" s="247"/>
      <c r="E796" s="12">
        <v>239091.7217</v>
      </c>
      <c r="F796" s="16">
        <v>61.6057</v>
      </c>
      <c r="G796" s="250"/>
      <c r="H796" s="251"/>
      <c r="I796" s="236"/>
      <c r="J796" s="242"/>
    </row>
    <row r="797" ht="22.5" customHeight="1">
      <c r="A797" s="242"/>
      <c r="B797" s="242"/>
      <c r="C797" s="247"/>
      <c r="D797" s="247"/>
      <c r="E797" s="25">
        <v>2.2833760391999997E7</v>
      </c>
      <c r="F797" s="16">
        <v>61.596</v>
      </c>
      <c r="G797" s="250"/>
      <c r="H797" s="251"/>
      <c r="I797" s="236"/>
      <c r="J797" s="242"/>
    </row>
    <row r="798" ht="22.5" customHeight="1">
      <c r="A798" s="242"/>
      <c r="B798" s="242"/>
      <c r="C798" s="247"/>
      <c r="D798" s="247"/>
      <c r="E798" s="12">
        <v>1724423.085</v>
      </c>
      <c r="F798" s="16">
        <v>11.165</v>
      </c>
      <c r="G798" s="250"/>
      <c r="H798" s="251"/>
      <c r="I798" s="236"/>
      <c r="J798" s="242"/>
    </row>
    <row r="799" ht="22.5" customHeight="1">
      <c r="A799" s="242"/>
      <c r="B799" s="242"/>
      <c r="C799" s="247"/>
      <c r="D799" s="247"/>
      <c r="E799" s="25">
        <v>1.510509E7</v>
      </c>
      <c r="F799" s="16">
        <v>46.2</v>
      </c>
      <c r="G799" s="250"/>
      <c r="H799" s="251"/>
      <c r="I799" s="236"/>
      <c r="J799" s="242"/>
    </row>
    <row r="800" ht="22.5" customHeight="1">
      <c r="A800" s="242"/>
      <c r="B800" s="242"/>
      <c r="C800" s="247"/>
      <c r="D800" s="247"/>
      <c r="E800" s="12">
        <v>8002151.850000001</v>
      </c>
      <c r="F800" s="16">
        <v>1.925</v>
      </c>
      <c r="G800" s="250"/>
      <c r="H800" s="251"/>
      <c r="I800" s="236"/>
      <c r="J800" s="242"/>
    </row>
    <row r="801" ht="22.5" customHeight="1">
      <c r="A801" s="242"/>
      <c r="B801" s="242"/>
      <c r="C801" s="247"/>
      <c r="D801" s="247"/>
      <c r="E801" s="25">
        <v>6257139.7964</v>
      </c>
      <c r="F801" s="16">
        <v>11.5462</v>
      </c>
      <c r="G801" s="250"/>
      <c r="H801" s="251"/>
      <c r="I801" s="236"/>
      <c r="J801" s="242"/>
    </row>
    <row r="802" ht="22.5" customHeight="1">
      <c r="A802" s="242"/>
      <c r="B802" s="242"/>
      <c r="C802" s="247"/>
      <c r="D802" s="247"/>
      <c r="E802" s="12">
        <v>3103321.7600000002</v>
      </c>
      <c r="F802" s="16">
        <v>1.54</v>
      </c>
      <c r="G802" s="250"/>
      <c r="H802" s="251"/>
      <c r="I802" s="236"/>
      <c r="J802" s="242"/>
    </row>
    <row r="803" ht="22.5" customHeight="1">
      <c r="A803" s="242"/>
      <c r="B803" s="242"/>
      <c r="C803" s="247"/>
      <c r="D803" s="247"/>
      <c r="E803" s="25">
        <v>3254988.167</v>
      </c>
      <c r="F803" s="16">
        <v>118.187</v>
      </c>
      <c r="G803" s="250"/>
      <c r="H803" s="251"/>
      <c r="I803" s="236"/>
      <c r="J803" s="242"/>
    </row>
    <row r="804" ht="22.5" customHeight="1">
      <c r="A804" s="242"/>
      <c r="B804" s="242"/>
      <c r="C804" s="247"/>
      <c r="D804" s="247"/>
      <c r="E804" s="12">
        <v>2.3647556921280003E8</v>
      </c>
      <c r="F804" s="16">
        <v>79.7716</v>
      </c>
      <c r="G804" s="250"/>
      <c r="H804" s="251"/>
      <c r="I804" s="236"/>
      <c r="J804" s="242"/>
    </row>
    <row r="805" ht="22.5" customHeight="1">
      <c r="A805" s="242"/>
      <c r="B805" s="242"/>
      <c r="C805" s="247"/>
      <c r="D805" s="247"/>
      <c r="E805" s="25">
        <v>2051969.92</v>
      </c>
      <c r="F805" s="16">
        <v>5.005</v>
      </c>
      <c r="G805" s="250"/>
      <c r="H805" s="251"/>
      <c r="I805" s="236"/>
      <c r="J805" s="242"/>
    </row>
    <row r="806" ht="22.5" customHeight="1">
      <c r="A806" s="242"/>
      <c r="B806" s="242"/>
      <c r="C806" s="247"/>
      <c r="D806" s="247"/>
      <c r="E806" s="12">
        <v>3.6356117204E7</v>
      </c>
      <c r="F806" s="16">
        <v>74.302</v>
      </c>
      <c r="G806" s="250"/>
      <c r="H806" s="251"/>
      <c r="I806" s="236"/>
      <c r="J806" s="242"/>
    </row>
    <row r="807" ht="22.5" customHeight="1">
      <c r="A807" s="242"/>
      <c r="B807" s="242"/>
      <c r="C807" s="247"/>
      <c r="D807" s="247"/>
      <c r="E807" s="25">
        <v>1.2783095325E7</v>
      </c>
      <c r="F807" s="16">
        <v>66.2165</v>
      </c>
      <c r="G807" s="250"/>
      <c r="H807" s="251"/>
      <c r="I807" s="236"/>
      <c r="J807" s="242"/>
    </row>
    <row r="808" ht="22.5" customHeight="1">
      <c r="A808" s="242"/>
      <c r="B808" s="242"/>
      <c r="C808" s="247"/>
      <c r="D808" s="247"/>
      <c r="E808" s="12">
        <v>3.59567980897E7</v>
      </c>
      <c r="F808" s="16">
        <v>143.6221</v>
      </c>
      <c r="G808" s="250"/>
      <c r="H808" s="251"/>
      <c r="I808" s="236"/>
      <c r="J808" s="242"/>
    </row>
    <row r="809" ht="22.5" customHeight="1">
      <c r="A809" s="242"/>
      <c r="B809" s="242"/>
      <c r="C809" s="247"/>
      <c r="D809" s="247"/>
      <c r="E809" s="25">
        <v>37482.060000000005</v>
      </c>
      <c r="F809" s="16">
        <v>14.63</v>
      </c>
      <c r="G809" s="250"/>
      <c r="H809" s="251"/>
      <c r="I809" s="236"/>
      <c r="J809" s="242"/>
    </row>
    <row r="810" ht="22.5" customHeight="1">
      <c r="A810" s="242"/>
      <c r="B810" s="242"/>
      <c r="C810" s="247"/>
      <c r="D810" s="247"/>
      <c r="E810" s="12">
        <v>1.315300448E7</v>
      </c>
      <c r="F810" s="16">
        <v>12.32</v>
      </c>
      <c r="G810" s="250"/>
      <c r="H810" s="251"/>
      <c r="I810" s="236"/>
      <c r="J810" s="242"/>
    </row>
    <row r="811" ht="22.5" customHeight="1">
      <c r="A811" s="242"/>
      <c r="B811" s="242"/>
      <c r="C811" s="247"/>
      <c r="D811" s="247"/>
      <c r="E811" s="25">
        <v>2.2993720484E7</v>
      </c>
      <c r="F811" s="16">
        <v>11.164</v>
      </c>
      <c r="G811" s="250"/>
      <c r="H811" s="251"/>
      <c r="I811" s="236"/>
      <c r="J811" s="242"/>
    </row>
    <row r="812" ht="22.5" customHeight="1">
      <c r="A812" s="242"/>
      <c r="B812" s="242"/>
      <c r="C812" s="247"/>
      <c r="D812" s="247"/>
      <c r="E812" s="12">
        <v>1.2584519639999999E7</v>
      </c>
      <c r="F812" s="16">
        <v>83.16</v>
      </c>
      <c r="G812" s="250"/>
      <c r="H812" s="251"/>
      <c r="I812" s="236"/>
      <c r="J812" s="242"/>
    </row>
    <row r="813" ht="22.5" customHeight="1">
      <c r="A813" s="242"/>
      <c r="B813" s="242"/>
      <c r="C813" s="247"/>
      <c r="D813" s="247"/>
      <c r="E813" s="25">
        <v>4348274.967</v>
      </c>
      <c r="F813" s="16">
        <v>6.543</v>
      </c>
      <c r="G813" s="250"/>
      <c r="H813" s="251"/>
      <c r="I813" s="236"/>
      <c r="J813" s="242"/>
    </row>
    <row r="814" ht="22.5" customHeight="1">
      <c r="A814" s="242"/>
      <c r="B814" s="242"/>
      <c r="C814" s="247"/>
      <c r="D814" s="247"/>
      <c r="E814" s="12">
        <v>820937.425</v>
      </c>
      <c r="F814" s="16">
        <v>1.925</v>
      </c>
      <c r="G814" s="250"/>
      <c r="H814" s="251"/>
      <c r="I814" s="236"/>
      <c r="J814" s="242"/>
    </row>
    <row r="815" ht="22.5" customHeight="1">
      <c r="A815" s="242"/>
      <c r="B815" s="242"/>
      <c r="C815" s="247"/>
      <c r="D815" s="247"/>
      <c r="E815" s="25">
        <v>9164020.859000001</v>
      </c>
      <c r="F815" s="16">
        <v>9.2369</v>
      </c>
      <c r="G815" s="250"/>
      <c r="H815" s="251"/>
      <c r="I815" s="236"/>
      <c r="J815" s="242"/>
    </row>
    <row r="816" ht="22.5" customHeight="1">
      <c r="A816" s="242"/>
      <c r="B816" s="242"/>
      <c r="C816" s="247"/>
      <c r="D816" s="247"/>
      <c r="E816" s="12">
        <v>6524522.109</v>
      </c>
      <c r="F816" s="16">
        <v>4.0803</v>
      </c>
      <c r="G816" s="250"/>
      <c r="H816" s="251"/>
      <c r="I816" s="236"/>
      <c r="J816" s="242"/>
    </row>
    <row r="817" ht="22.5" customHeight="1">
      <c r="A817" s="242"/>
      <c r="B817" s="242"/>
      <c r="C817" s="247"/>
      <c r="D817" s="247"/>
      <c r="E817" s="25">
        <v>2170549.5501</v>
      </c>
      <c r="F817" s="16">
        <v>52.3617</v>
      </c>
      <c r="G817" s="250"/>
      <c r="H817" s="251"/>
      <c r="I817" s="236"/>
      <c r="J817" s="242"/>
    </row>
    <row r="818" ht="22.5" customHeight="1">
      <c r="A818" s="242"/>
      <c r="B818" s="242"/>
      <c r="C818" s="247"/>
      <c r="D818" s="247"/>
      <c r="E818" s="59">
        <v>76045.20000000001</v>
      </c>
      <c r="F818" s="63">
        <v>46.2</v>
      </c>
      <c r="G818" s="236"/>
      <c r="H818" s="251"/>
      <c r="I818" s="236"/>
      <c r="J818" s="242"/>
    </row>
    <row r="819" ht="22.5" customHeight="1">
      <c r="A819" s="242"/>
      <c r="B819" s="242"/>
      <c r="C819" s="247"/>
      <c r="D819" s="247"/>
      <c r="E819" s="25">
        <v>3.64783074648E7</v>
      </c>
      <c r="F819" s="16">
        <v>61.9886</v>
      </c>
      <c r="G819" s="250"/>
      <c r="H819" s="251"/>
      <c r="I819" s="236"/>
      <c r="J819" s="242"/>
    </row>
    <row r="820" ht="22.5" customHeight="1">
      <c r="A820" s="242"/>
      <c r="B820" s="242"/>
      <c r="C820" s="247"/>
      <c r="D820" s="247"/>
      <c r="E820" s="12">
        <v>8.1313729316E7</v>
      </c>
      <c r="F820" s="219">
        <v>164.407</v>
      </c>
      <c r="G820" s="250"/>
      <c r="H820" s="251"/>
      <c r="I820" s="236"/>
      <c r="J820" s="242"/>
    </row>
    <row r="821" ht="22.5" customHeight="1">
      <c r="A821" s="242"/>
      <c r="B821" s="242"/>
      <c r="C821" s="247"/>
      <c r="D821" s="247"/>
      <c r="E821" s="25">
        <v>1.8995781441E7</v>
      </c>
      <c r="F821" s="16">
        <v>70.833</v>
      </c>
      <c r="G821" s="250"/>
      <c r="H821" s="251"/>
      <c r="I821" s="236"/>
      <c r="J821" s="242"/>
    </row>
    <row r="822" ht="22.5" customHeight="1">
      <c r="A822" s="242"/>
      <c r="B822" s="242"/>
      <c r="C822" s="247"/>
      <c r="D822" s="247"/>
      <c r="E822" s="12">
        <v>2.25014328E7</v>
      </c>
      <c r="F822" s="16">
        <v>15.4</v>
      </c>
      <c r="G822" s="250"/>
      <c r="H822" s="251"/>
      <c r="I822" s="236"/>
      <c r="J822" s="242"/>
    </row>
    <row r="823" ht="22.5" customHeight="1">
      <c r="A823" s="242"/>
      <c r="B823" s="242"/>
      <c r="C823" s="247"/>
      <c r="D823" s="247"/>
      <c r="E823" s="25">
        <v>1.1019226883E7</v>
      </c>
      <c r="F823" s="16">
        <v>31.9585</v>
      </c>
      <c r="G823" s="250"/>
      <c r="H823" s="251"/>
      <c r="I823" s="236"/>
      <c r="J823" s="242"/>
    </row>
    <row r="824" ht="22.5" customHeight="1">
      <c r="A824" s="242"/>
      <c r="B824" s="242"/>
      <c r="C824" s="247"/>
      <c r="D824" s="247"/>
      <c r="E824" s="12">
        <v>2.3361656734E7</v>
      </c>
      <c r="F824" s="16">
        <v>137.449</v>
      </c>
      <c r="G824" s="250"/>
      <c r="H824" s="251"/>
      <c r="I824" s="236"/>
      <c r="J824" s="242"/>
    </row>
    <row r="825" ht="22.5" customHeight="1">
      <c r="A825" s="242"/>
      <c r="B825" s="242"/>
      <c r="C825" s="247"/>
      <c r="D825" s="247"/>
      <c r="E825" s="25">
        <v>2048850.6500000001</v>
      </c>
      <c r="F825" s="16">
        <v>0.77</v>
      </c>
      <c r="G825" s="250"/>
      <c r="H825" s="251"/>
      <c r="I825" s="236"/>
      <c r="J825" s="242"/>
    </row>
    <row r="826" ht="22.5" customHeight="1">
      <c r="A826" s="242"/>
      <c r="B826" s="242"/>
      <c r="C826" s="247"/>
      <c r="D826" s="247"/>
      <c r="E826" s="12">
        <v>635532.1569</v>
      </c>
      <c r="F826" s="16">
        <v>34.6509</v>
      </c>
      <c r="G826" s="250"/>
      <c r="H826" s="251"/>
      <c r="I826" s="236"/>
      <c r="J826" s="242"/>
    </row>
    <row r="827" ht="22.5" customHeight="1">
      <c r="A827" s="242"/>
      <c r="B827" s="242"/>
      <c r="C827" s="247"/>
      <c r="D827" s="247"/>
      <c r="E827" s="25">
        <v>6231859.052</v>
      </c>
      <c r="F827" s="16">
        <v>6.158</v>
      </c>
      <c r="G827" s="250"/>
      <c r="H827" s="251"/>
      <c r="I827" s="236"/>
      <c r="J827" s="242"/>
    </row>
    <row r="828" ht="22.5" customHeight="1">
      <c r="A828" s="242"/>
      <c r="B828" s="242"/>
      <c r="C828" s="247"/>
      <c r="D828" s="247"/>
      <c r="E828" s="12">
        <v>4.267220804E7</v>
      </c>
      <c r="F828" s="16">
        <v>98.945</v>
      </c>
      <c r="G828" s="250"/>
      <c r="H828" s="251"/>
      <c r="I828" s="236"/>
      <c r="J828" s="242"/>
    </row>
    <row r="829" ht="22.5" customHeight="1">
      <c r="A829" s="242"/>
      <c r="B829" s="242"/>
      <c r="C829" s="247"/>
      <c r="D829" s="247"/>
      <c r="E829" s="25">
        <v>133064.855</v>
      </c>
      <c r="F829" s="16">
        <v>0.385</v>
      </c>
      <c r="G829" s="250"/>
      <c r="H829" s="251"/>
      <c r="I829" s="236"/>
      <c r="J829" s="242"/>
    </row>
    <row r="830" ht="22.5" customHeight="1">
      <c r="A830" s="242"/>
      <c r="B830" s="242"/>
      <c r="C830" s="247"/>
      <c r="D830" s="247"/>
      <c r="E830" s="12">
        <v>5.36371978917E7</v>
      </c>
      <c r="F830" s="16">
        <v>45.8077</v>
      </c>
      <c r="G830" s="250"/>
      <c r="H830" s="251"/>
      <c r="I830" s="236"/>
      <c r="J830" s="242"/>
    </row>
    <row r="831" ht="22.5" customHeight="1">
      <c r="A831" s="242"/>
      <c r="B831" s="242"/>
      <c r="C831" s="247"/>
      <c r="D831" s="247"/>
      <c r="E831" s="25">
        <v>1.2224862264999999E7</v>
      </c>
      <c r="F831" s="16">
        <v>45.815</v>
      </c>
      <c r="G831" s="250"/>
      <c r="H831" s="251"/>
      <c r="I831" s="236"/>
      <c r="J831" s="242"/>
    </row>
    <row r="832" ht="22.5" customHeight="1">
      <c r="A832" s="242"/>
      <c r="B832" s="242"/>
      <c r="C832" s="247"/>
      <c r="D832" s="247"/>
      <c r="E832" s="12">
        <v>1.630295975E7</v>
      </c>
      <c r="F832" s="16">
        <v>9.625</v>
      </c>
      <c r="G832" s="250"/>
      <c r="H832" s="251"/>
      <c r="I832" s="236"/>
      <c r="J832" s="242"/>
    </row>
    <row r="833" ht="22.5" customHeight="1">
      <c r="A833" s="242"/>
      <c r="B833" s="242"/>
      <c r="C833" s="247"/>
      <c r="D833" s="247"/>
      <c r="E833" s="25">
        <v>189681.24000000002</v>
      </c>
      <c r="F833" s="16">
        <v>132.83</v>
      </c>
      <c r="G833" s="250"/>
      <c r="H833" s="251"/>
      <c r="I833" s="236"/>
      <c r="J833" s="242"/>
    </row>
    <row r="834" ht="22.5" customHeight="1">
      <c r="A834" s="242"/>
      <c r="B834" s="242"/>
      <c r="C834" s="247"/>
      <c r="D834" s="247"/>
      <c r="E834" s="12">
        <v>220217.6</v>
      </c>
      <c r="F834" s="16">
        <v>12.16</v>
      </c>
      <c r="G834" s="250"/>
      <c r="H834" s="251"/>
      <c r="I834" s="236"/>
      <c r="J834" s="242"/>
    </row>
    <row r="835" ht="22.5" customHeight="1">
      <c r="A835" s="242"/>
      <c r="B835" s="242"/>
      <c r="C835" s="247"/>
      <c r="D835" s="247"/>
      <c r="E835" s="25">
        <v>1.096749963E7</v>
      </c>
      <c r="F835" s="16">
        <v>192.0753</v>
      </c>
      <c r="G835" s="250"/>
      <c r="H835" s="251"/>
      <c r="I835" s="236"/>
      <c r="J835" s="242"/>
    </row>
    <row r="836" ht="22.5" customHeight="1">
      <c r="A836" s="242"/>
      <c r="B836" s="242"/>
      <c r="C836" s="247"/>
      <c r="D836" s="247"/>
      <c r="E836" s="12">
        <v>8.89139430476E7</v>
      </c>
      <c r="F836" s="16">
        <v>63.5228</v>
      </c>
      <c r="G836" s="250"/>
      <c r="H836" s="251"/>
      <c r="I836" s="236"/>
      <c r="J836" s="242"/>
    </row>
    <row r="837" ht="22.5" customHeight="1">
      <c r="A837" s="242"/>
      <c r="B837" s="242"/>
      <c r="C837" s="247"/>
      <c r="D837" s="247"/>
      <c r="E837" s="25">
        <v>3.32451735E7</v>
      </c>
      <c r="F837" s="16">
        <v>50.82</v>
      </c>
      <c r="G837" s="250"/>
      <c r="H837" s="251"/>
      <c r="I837" s="236"/>
      <c r="J837" s="242"/>
    </row>
    <row r="838" ht="22.5" customHeight="1">
      <c r="A838" s="242"/>
      <c r="B838" s="242"/>
      <c r="C838" s="247"/>
      <c r="D838" s="247"/>
      <c r="E838" s="12">
        <v>1.0233102879999999E7</v>
      </c>
      <c r="F838" s="16">
        <v>40.04</v>
      </c>
      <c r="G838" s="250"/>
      <c r="H838" s="251"/>
      <c r="I838" s="236"/>
      <c r="J838" s="242"/>
    </row>
    <row r="839" ht="22.5" customHeight="1">
      <c r="A839" s="242"/>
      <c r="B839" s="242"/>
      <c r="C839" s="247"/>
      <c r="D839" s="247"/>
      <c r="E839" s="25">
        <v>2.23866656788E7</v>
      </c>
      <c r="F839" s="16">
        <v>45.0358</v>
      </c>
      <c r="G839" s="250"/>
      <c r="H839" s="251"/>
      <c r="I839" s="236"/>
      <c r="J839" s="242"/>
    </row>
    <row r="840" ht="22.5" customHeight="1">
      <c r="A840" s="242"/>
      <c r="B840" s="242"/>
      <c r="C840" s="247"/>
      <c r="D840" s="247"/>
      <c r="E840" s="12">
        <v>3.042169515E7</v>
      </c>
      <c r="F840" s="16">
        <v>65.835</v>
      </c>
      <c r="G840" s="250"/>
      <c r="H840" s="251"/>
      <c r="I840" s="236"/>
      <c r="J840" s="242"/>
    </row>
    <row r="841" ht="22.5" customHeight="1">
      <c r="A841" s="242"/>
      <c r="B841" s="242"/>
      <c r="C841" s="247"/>
      <c r="D841" s="247"/>
      <c r="E841" s="25">
        <v>2.16118634688E7</v>
      </c>
      <c r="F841" s="16">
        <v>107.8092</v>
      </c>
      <c r="G841" s="250"/>
      <c r="H841" s="251"/>
      <c r="I841" s="236"/>
      <c r="J841" s="242"/>
    </row>
    <row r="842" ht="22.5" customHeight="1">
      <c r="A842" s="242"/>
      <c r="B842" s="242"/>
      <c r="C842" s="247"/>
      <c r="D842" s="247"/>
      <c r="E842" s="12">
        <v>3.14917573113E7</v>
      </c>
      <c r="F842" s="219">
        <v>150.1173</v>
      </c>
      <c r="G842" s="250"/>
      <c r="H842" s="251"/>
      <c r="I842" s="236"/>
      <c r="J842" s="242"/>
    </row>
    <row r="843" ht="22.5" customHeight="1">
      <c r="A843" s="242"/>
      <c r="B843" s="242"/>
      <c r="C843" s="247"/>
      <c r="D843" s="247"/>
      <c r="E843" s="25">
        <v>7898975.162400001</v>
      </c>
      <c r="F843" s="16">
        <v>40.0386</v>
      </c>
      <c r="G843" s="250"/>
      <c r="H843" s="251"/>
      <c r="I843" s="236"/>
      <c r="J843" s="242"/>
    </row>
    <row r="844" ht="22.5" customHeight="1">
      <c r="A844" s="242"/>
      <c r="B844" s="242"/>
      <c r="C844" s="247"/>
      <c r="D844" s="247"/>
      <c r="E844" s="12">
        <v>3123402.468</v>
      </c>
      <c r="F844" s="16">
        <v>71.996</v>
      </c>
      <c r="G844" s="250"/>
      <c r="H844" s="251"/>
      <c r="I844" s="236"/>
      <c r="J844" s="242"/>
    </row>
    <row r="845" ht="22.5" customHeight="1">
      <c r="A845" s="242"/>
      <c r="B845" s="242"/>
      <c r="C845" s="247"/>
      <c r="D845" s="247"/>
      <c r="E845" s="25">
        <v>1300163.4511</v>
      </c>
      <c r="F845" s="16">
        <v>38.1179</v>
      </c>
      <c r="G845" s="250"/>
      <c r="H845" s="251"/>
      <c r="I845" s="236"/>
      <c r="J845" s="242"/>
    </row>
    <row r="846" ht="22.5" customHeight="1">
      <c r="A846" s="242"/>
      <c r="B846" s="242"/>
      <c r="C846" s="247"/>
      <c r="D846" s="247"/>
      <c r="E846" s="12">
        <v>1.37055836558E7</v>
      </c>
      <c r="F846" s="16">
        <v>171.2299</v>
      </c>
      <c r="G846" s="250"/>
      <c r="H846" s="251"/>
      <c r="I846" s="236"/>
      <c r="J846" s="242"/>
    </row>
    <row r="847" ht="22.5" customHeight="1">
      <c r="A847" s="242"/>
      <c r="B847" s="242"/>
      <c r="C847" s="247"/>
      <c r="D847" s="247"/>
      <c r="E847" s="25">
        <v>8.805748485000001E7</v>
      </c>
      <c r="F847" s="16">
        <v>118.194</v>
      </c>
      <c r="G847" s="250"/>
      <c r="H847" s="251"/>
      <c r="I847" s="236"/>
      <c r="J847" s="242"/>
    </row>
    <row r="848" ht="22.5" customHeight="1">
      <c r="A848" s="242"/>
      <c r="B848" s="242"/>
      <c r="C848" s="247"/>
      <c r="D848" s="247"/>
      <c r="E848" s="12">
        <v>3.47520586677E8</v>
      </c>
      <c r="F848" s="219">
        <v>134.5993</v>
      </c>
      <c r="G848" s="250"/>
      <c r="H848" s="251"/>
      <c r="I848" s="236"/>
      <c r="J848" s="242"/>
    </row>
    <row r="849" ht="22.5" customHeight="1">
      <c r="A849" s="242"/>
      <c r="B849" s="242"/>
      <c r="C849" s="247"/>
      <c r="D849" s="247"/>
      <c r="E849" s="25">
        <v>2646839.9188</v>
      </c>
      <c r="F849" s="16">
        <v>4310.8142</v>
      </c>
      <c r="G849" s="250"/>
      <c r="H849" s="251"/>
      <c r="I849" s="236"/>
      <c r="J849" s="242"/>
    </row>
    <row r="850" ht="22.5" customHeight="1">
      <c r="A850" s="242"/>
      <c r="B850" s="242"/>
      <c r="C850" s="247"/>
      <c r="D850" s="247"/>
      <c r="E850" s="12">
        <v>2.71204675552E7</v>
      </c>
      <c r="F850" s="16">
        <v>214.0729</v>
      </c>
      <c r="G850" s="250"/>
      <c r="H850" s="251"/>
      <c r="I850" s="236"/>
      <c r="J850" s="242"/>
    </row>
    <row r="851" ht="22.5" customHeight="1">
      <c r="A851" s="242"/>
      <c r="B851" s="242"/>
      <c r="C851" s="247"/>
      <c r="D851" s="247"/>
      <c r="E851" s="25">
        <v>3.922774973E7</v>
      </c>
      <c r="F851" s="16">
        <v>77.41</v>
      </c>
      <c r="G851" s="250"/>
      <c r="H851" s="251"/>
      <c r="I851" s="236"/>
      <c r="J851" s="242"/>
    </row>
    <row r="852" ht="22.5" customHeight="1">
      <c r="A852" s="242"/>
      <c r="B852" s="242"/>
      <c r="C852" s="247"/>
      <c r="D852" s="247"/>
      <c r="E852" s="12">
        <v>6835852.1</v>
      </c>
      <c r="F852" s="16">
        <v>22.715</v>
      </c>
      <c r="G852" s="250"/>
      <c r="H852" s="251"/>
      <c r="I852" s="236"/>
      <c r="J852" s="242"/>
    </row>
    <row r="853" ht="22.5" customHeight="1">
      <c r="A853" s="242"/>
      <c r="B853" s="242"/>
      <c r="C853" s="247"/>
      <c r="D853" s="247"/>
      <c r="E853" s="25">
        <v>3307616.8216000004</v>
      </c>
      <c r="F853" s="16">
        <v>23.0924</v>
      </c>
      <c r="G853" s="250"/>
      <c r="H853" s="251"/>
      <c r="I853" s="236"/>
      <c r="J853" s="242"/>
    </row>
    <row r="854" ht="22.5" customHeight="1">
      <c r="A854" s="242"/>
      <c r="B854" s="242"/>
      <c r="C854" s="247"/>
      <c r="D854" s="247"/>
      <c r="E854" s="12">
        <v>1640803.6701</v>
      </c>
      <c r="F854" s="16">
        <v>2694.2589</v>
      </c>
      <c r="G854" s="250"/>
      <c r="H854" s="251"/>
      <c r="I854" s="236"/>
      <c r="J854" s="242"/>
    </row>
    <row r="855" ht="22.5" customHeight="1">
      <c r="A855" s="242"/>
      <c r="B855" s="242"/>
      <c r="C855" s="247"/>
      <c r="D855" s="247"/>
      <c r="E855" s="25">
        <v>1.4397272273999998E8</v>
      </c>
      <c r="F855" s="16">
        <v>217.14</v>
      </c>
      <c r="G855" s="250"/>
      <c r="H855" s="251"/>
      <c r="I855" s="236"/>
      <c r="J855" s="242"/>
    </row>
    <row r="856" ht="22.5" customHeight="1">
      <c r="A856" s="242"/>
      <c r="B856" s="242"/>
      <c r="C856" s="247"/>
      <c r="D856" s="247"/>
      <c r="E856" s="12">
        <v>3.011152781584E8</v>
      </c>
      <c r="F856" s="219">
        <v>127.8124</v>
      </c>
      <c r="G856" s="250"/>
      <c r="H856" s="251"/>
      <c r="I856" s="236"/>
      <c r="J856" s="242"/>
    </row>
    <row r="857" ht="22.5" customHeight="1">
      <c r="A857" s="242"/>
      <c r="B857" s="242"/>
      <c r="C857" s="247"/>
      <c r="D857" s="247"/>
      <c r="E857" s="25">
        <v>8871251.235</v>
      </c>
      <c r="F857" s="16">
        <v>33.495</v>
      </c>
      <c r="G857" s="250"/>
      <c r="H857" s="251"/>
      <c r="I857" s="236"/>
      <c r="J857" s="242"/>
    </row>
    <row r="858" ht="22.5" customHeight="1">
      <c r="A858" s="242"/>
      <c r="B858" s="242"/>
      <c r="C858" s="247"/>
      <c r="D858" s="247"/>
      <c r="E858" s="12">
        <v>82798.06079999999</v>
      </c>
      <c r="F858" s="16">
        <v>61.6057</v>
      </c>
      <c r="G858" s="250"/>
      <c r="H858" s="251"/>
      <c r="I858" s="236"/>
      <c r="J858" s="242"/>
    </row>
    <row r="859" ht="22.5" customHeight="1">
      <c r="A859" s="242"/>
      <c r="B859" s="242"/>
      <c r="C859" s="247"/>
      <c r="D859" s="247"/>
      <c r="E859" s="25">
        <v>3626297.371</v>
      </c>
      <c r="F859" s="16">
        <v>169.003</v>
      </c>
      <c r="G859" s="250"/>
      <c r="H859" s="251"/>
      <c r="I859" s="236"/>
      <c r="J859" s="242"/>
    </row>
    <row r="860" ht="22.5" customHeight="1">
      <c r="A860" s="242"/>
      <c r="B860" s="242"/>
      <c r="C860" s="247"/>
      <c r="D860" s="247"/>
      <c r="E860" s="12">
        <v>233966.306</v>
      </c>
      <c r="F860" s="16">
        <v>21.946</v>
      </c>
      <c r="G860" s="250"/>
      <c r="H860" s="251"/>
      <c r="I860" s="236"/>
      <c r="J860" s="242"/>
    </row>
    <row r="861" ht="22.5" customHeight="1">
      <c r="A861" s="242"/>
      <c r="B861" s="242"/>
      <c r="C861" s="247"/>
      <c r="D861" s="247"/>
      <c r="E861" s="25">
        <v>324028.32</v>
      </c>
      <c r="F861" s="16">
        <v>67.76</v>
      </c>
      <c r="G861" s="250"/>
      <c r="H861" s="251"/>
      <c r="I861" s="236"/>
      <c r="J861" s="242"/>
    </row>
    <row r="862" ht="22.5" customHeight="1">
      <c r="A862" s="242"/>
      <c r="B862" s="242"/>
      <c r="C862" s="247"/>
      <c r="D862" s="247"/>
      <c r="E862" s="12">
        <v>9975074.746000001</v>
      </c>
      <c r="F862" s="16">
        <v>46.5842</v>
      </c>
      <c r="G862" s="250"/>
      <c r="H862" s="251"/>
      <c r="I862" s="236"/>
      <c r="J862" s="242"/>
    </row>
    <row r="863" ht="22.5" customHeight="1">
      <c r="A863" s="242"/>
      <c r="B863" s="242"/>
      <c r="C863" s="247"/>
      <c r="D863" s="247"/>
      <c r="E863" s="25">
        <v>1.183820058E7</v>
      </c>
      <c r="F863" s="16">
        <v>29.2536</v>
      </c>
      <c r="G863" s="250"/>
      <c r="H863" s="251"/>
      <c r="I863" s="236"/>
      <c r="J863" s="242"/>
    </row>
    <row r="864" ht="22.5" customHeight="1">
      <c r="A864" s="242"/>
      <c r="B864" s="242"/>
      <c r="C864" s="247"/>
      <c r="D864" s="247"/>
      <c r="E864" s="12">
        <v>2549416.0999999996</v>
      </c>
      <c r="F864" s="16">
        <v>10.78</v>
      </c>
      <c r="G864" s="250"/>
      <c r="H864" s="251"/>
      <c r="I864" s="236"/>
      <c r="J864" s="242"/>
    </row>
    <row r="865" ht="22.5" customHeight="1">
      <c r="A865" s="242"/>
      <c r="B865" s="242"/>
      <c r="C865" s="247"/>
      <c r="D865" s="247"/>
      <c r="E865" s="25">
        <v>1.82888435834E7</v>
      </c>
      <c r="F865" s="16">
        <v>164.4074</v>
      </c>
      <c r="G865" s="250"/>
      <c r="H865" s="251"/>
      <c r="I865" s="236"/>
      <c r="J865" s="242"/>
    </row>
    <row r="866" ht="22.5" customHeight="1">
      <c r="A866" s="242"/>
      <c r="B866" s="242"/>
      <c r="C866" s="247"/>
      <c r="D866" s="247"/>
      <c r="E866" s="12">
        <v>3.87922913658E7</v>
      </c>
      <c r="F866" s="219">
        <v>341.4033</v>
      </c>
      <c r="G866" s="250"/>
      <c r="H866" s="251"/>
      <c r="I866" s="236"/>
      <c r="J866" s="242"/>
    </row>
    <row r="867" ht="22.5" customHeight="1">
      <c r="A867" s="242"/>
      <c r="B867" s="242"/>
      <c r="C867" s="247"/>
      <c r="D867" s="247"/>
      <c r="E867" s="25">
        <v>9388939.206</v>
      </c>
      <c r="F867" s="16">
        <v>40.422</v>
      </c>
      <c r="G867" s="250"/>
      <c r="H867" s="251"/>
      <c r="I867" s="236"/>
      <c r="J867" s="242"/>
    </row>
    <row r="868" ht="22.5" customHeight="1">
      <c r="A868" s="242"/>
      <c r="B868" s="242"/>
      <c r="C868" s="247"/>
      <c r="D868" s="247"/>
      <c r="E868" s="12">
        <v>3.1644351648E7</v>
      </c>
      <c r="F868" s="16">
        <v>112.0392</v>
      </c>
      <c r="G868" s="250"/>
      <c r="H868" s="251"/>
      <c r="I868" s="236"/>
      <c r="J868" s="242"/>
    </row>
    <row r="869" ht="22.5" customHeight="1">
      <c r="A869" s="242"/>
      <c r="B869" s="242"/>
      <c r="C869" s="247"/>
      <c r="D869" s="247"/>
      <c r="E869" s="25">
        <v>7.19573459831E7</v>
      </c>
      <c r="F869" s="219">
        <v>82.0123</v>
      </c>
      <c r="G869" s="250"/>
      <c r="H869" s="251"/>
      <c r="I869" s="236"/>
      <c r="J869" s="242"/>
    </row>
    <row r="870" ht="22.5" customHeight="1">
      <c r="A870" s="242"/>
      <c r="B870" s="242"/>
      <c r="C870" s="247"/>
      <c r="D870" s="247"/>
      <c r="E870" s="12">
        <v>3.1948027148900002E7</v>
      </c>
      <c r="F870" s="16">
        <v>64.6589</v>
      </c>
      <c r="G870" s="250"/>
      <c r="H870" s="251"/>
      <c r="I870" s="236"/>
      <c r="J870" s="242"/>
    </row>
    <row r="871" ht="22.5" customHeight="1">
      <c r="A871" s="242"/>
      <c r="B871" s="242"/>
      <c r="C871" s="247"/>
      <c r="D871" s="247"/>
      <c r="E871" s="25">
        <v>2898501.7600000002</v>
      </c>
      <c r="F871" s="16">
        <v>67.76</v>
      </c>
      <c r="G871" s="250"/>
      <c r="H871" s="251"/>
      <c r="I871" s="236"/>
      <c r="J871" s="242"/>
    </row>
    <row r="872" ht="22.5" customHeight="1">
      <c r="A872" s="242"/>
      <c r="B872" s="242"/>
      <c r="C872" s="247"/>
      <c r="D872" s="247"/>
      <c r="E872" s="12">
        <v>3.9335004744E7</v>
      </c>
      <c r="F872" s="219">
        <v>129.738</v>
      </c>
      <c r="G872" s="250"/>
      <c r="H872" s="251"/>
      <c r="I872" s="236"/>
      <c r="J872" s="242"/>
    </row>
    <row r="873" ht="22.5" customHeight="1">
      <c r="A873" s="242"/>
      <c r="B873" s="242"/>
      <c r="C873" s="247"/>
      <c r="D873" s="247"/>
      <c r="E873" s="25">
        <v>2.19951194408E7</v>
      </c>
      <c r="F873" s="16">
        <v>16.5544</v>
      </c>
      <c r="G873" s="250"/>
      <c r="H873" s="251"/>
      <c r="I873" s="236"/>
      <c r="J873" s="242"/>
    </row>
    <row r="874" ht="22.5" customHeight="1">
      <c r="A874" s="242"/>
      <c r="B874" s="242"/>
      <c r="C874" s="247"/>
      <c r="D874" s="247"/>
      <c r="E874" s="12">
        <v>2166682.5574000003</v>
      </c>
      <c r="F874" s="16">
        <v>63.5279</v>
      </c>
      <c r="G874" s="250"/>
      <c r="H874" s="251"/>
      <c r="I874" s="236"/>
      <c r="J874" s="242"/>
    </row>
    <row r="875" ht="22.5" customHeight="1">
      <c r="A875" s="242"/>
      <c r="B875" s="242"/>
      <c r="C875" s="247"/>
      <c r="D875" s="247"/>
      <c r="E875" s="25">
        <v>345037.0323</v>
      </c>
      <c r="F875" s="16">
        <v>172.4323</v>
      </c>
      <c r="G875" s="250"/>
      <c r="H875" s="251"/>
      <c r="I875" s="236"/>
      <c r="J875" s="242"/>
    </row>
    <row r="876" ht="22.5" customHeight="1">
      <c r="A876" s="242"/>
      <c r="B876" s="242"/>
      <c r="C876" s="247"/>
      <c r="D876" s="247"/>
      <c r="E876" s="12">
        <v>5.47056218775E7</v>
      </c>
      <c r="F876" s="16">
        <v>189.3485</v>
      </c>
      <c r="G876" s="250"/>
      <c r="H876" s="251"/>
      <c r="I876" s="236"/>
      <c r="J876" s="242"/>
    </row>
    <row r="877" ht="22.5" customHeight="1">
      <c r="A877" s="242"/>
      <c r="B877" s="242"/>
      <c r="C877" s="247"/>
      <c r="D877" s="247"/>
      <c r="E877" s="25">
        <v>7.955887723200001E7</v>
      </c>
      <c r="F877" s="219">
        <v>107.8092</v>
      </c>
      <c r="G877" s="250"/>
      <c r="H877" s="251"/>
      <c r="I877" s="236"/>
      <c r="J877" s="242"/>
    </row>
    <row r="878" ht="22.5" customHeight="1">
      <c r="A878" s="242"/>
      <c r="B878" s="242"/>
      <c r="C878" s="247"/>
      <c r="D878" s="247"/>
      <c r="E878" s="12">
        <v>2162676.9096</v>
      </c>
      <c r="F878" s="16">
        <v>11.1652</v>
      </c>
      <c r="G878" s="250"/>
      <c r="H878" s="251"/>
      <c r="I878" s="236"/>
      <c r="J878" s="242"/>
    </row>
    <row r="879" ht="22.5" customHeight="1">
      <c r="A879" s="242"/>
      <c r="B879" s="242"/>
      <c r="C879" s="247"/>
      <c r="D879" s="247"/>
      <c r="E879" s="25">
        <v>4.5062542276E7</v>
      </c>
      <c r="F879" s="16">
        <v>25.796</v>
      </c>
      <c r="G879" s="250"/>
      <c r="H879" s="251"/>
      <c r="I879" s="236"/>
      <c r="J879" s="242"/>
    </row>
    <row r="880" ht="22.5" customHeight="1">
      <c r="A880" s="242"/>
      <c r="B880" s="242"/>
      <c r="C880" s="247"/>
      <c r="D880" s="247"/>
      <c r="E880" s="12">
        <v>1.12476596258E7</v>
      </c>
      <c r="F880" s="16">
        <v>11.9353</v>
      </c>
      <c r="G880" s="250"/>
      <c r="H880" s="251"/>
      <c r="I880" s="236"/>
      <c r="J880" s="242"/>
    </row>
    <row r="881" ht="22.5" customHeight="1">
      <c r="A881" s="242"/>
      <c r="B881" s="242"/>
      <c r="C881" s="247"/>
      <c r="D881" s="247"/>
      <c r="E881" s="25">
        <v>4.45295463017E7</v>
      </c>
      <c r="F881" s="16">
        <v>128.9437</v>
      </c>
      <c r="G881" s="250"/>
      <c r="H881" s="251"/>
      <c r="I881" s="236"/>
      <c r="J881" s="242"/>
    </row>
    <row r="882" ht="22.5" customHeight="1">
      <c r="A882" s="242"/>
      <c r="B882" s="242"/>
      <c r="C882" s="247"/>
      <c r="D882" s="247"/>
      <c r="E882" s="12">
        <v>7.409104208399999E7</v>
      </c>
      <c r="F882" s="16">
        <v>66.603</v>
      </c>
      <c r="G882" s="250"/>
      <c r="H882" s="251"/>
      <c r="I882" s="236"/>
      <c r="J882" s="242"/>
    </row>
    <row r="883" ht="22.5" customHeight="1">
      <c r="A883" s="242"/>
      <c r="B883" s="242"/>
      <c r="C883" s="247"/>
      <c r="D883" s="247"/>
      <c r="E883" s="25">
        <v>1158762.78</v>
      </c>
      <c r="F883" s="16">
        <v>175.172</v>
      </c>
      <c r="G883" s="250"/>
      <c r="H883" s="251"/>
      <c r="I883" s="236"/>
      <c r="J883" s="242"/>
    </row>
    <row r="884" ht="22.5" customHeight="1">
      <c r="A884" s="242"/>
      <c r="B884" s="242"/>
      <c r="C884" s="247"/>
      <c r="D884" s="247"/>
      <c r="E884" s="12">
        <v>143924.55</v>
      </c>
      <c r="F884" s="16">
        <v>6.545</v>
      </c>
      <c r="G884" s="250"/>
      <c r="H884" s="251"/>
      <c r="I884" s="236"/>
      <c r="J884" s="242"/>
    </row>
    <row r="885" ht="22.5" customHeight="1">
      <c r="A885" s="242"/>
      <c r="B885" s="242"/>
      <c r="C885" s="247"/>
      <c r="D885" s="247"/>
      <c r="E885" s="25">
        <v>10360.45</v>
      </c>
      <c r="F885" s="16">
        <v>19.01</v>
      </c>
      <c r="G885" s="250"/>
      <c r="H885" s="251"/>
      <c r="I885" s="236"/>
      <c r="J885" s="242"/>
    </row>
    <row r="886" ht="22.5" customHeight="1">
      <c r="A886" s="242"/>
      <c r="B886" s="242"/>
      <c r="C886" s="247"/>
      <c r="D886" s="247"/>
      <c r="E886" s="12">
        <v>2.78441934336E7</v>
      </c>
      <c r="F886" s="16">
        <v>72.7656</v>
      </c>
      <c r="G886" s="250"/>
      <c r="H886" s="251"/>
      <c r="I886" s="236"/>
      <c r="J886" s="242"/>
    </row>
    <row r="887" ht="22.5" customHeight="1">
      <c r="A887" s="242"/>
      <c r="B887" s="242"/>
      <c r="C887" s="247"/>
      <c r="D887" s="247"/>
      <c r="E887" s="25">
        <v>5165.16</v>
      </c>
      <c r="F887" s="16">
        <v>40.04</v>
      </c>
      <c r="G887" s="250"/>
      <c r="H887" s="251"/>
      <c r="I887" s="236"/>
      <c r="J887" s="242"/>
    </row>
    <row r="888" ht="22.5" customHeight="1">
      <c r="A888" s="242"/>
      <c r="B888" s="242"/>
      <c r="C888" s="247"/>
      <c r="D888" s="247"/>
      <c r="E888" s="12">
        <v>3.0764253134999998E7</v>
      </c>
      <c r="F888" s="16">
        <v>49.6538</v>
      </c>
      <c r="G888" s="250"/>
      <c r="H888" s="251"/>
      <c r="I888" s="236"/>
      <c r="J888" s="242"/>
    </row>
    <row r="889" ht="22.5" customHeight="1">
      <c r="A889" s="242"/>
      <c r="B889" s="242"/>
      <c r="C889" s="247"/>
      <c r="D889" s="247"/>
      <c r="E889" s="25">
        <v>8.5678805773E7</v>
      </c>
      <c r="F889" s="16">
        <v>109.339</v>
      </c>
      <c r="G889" s="250"/>
      <c r="H889" s="251"/>
      <c r="I889" s="236"/>
      <c r="J889" s="242"/>
    </row>
    <row r="890" ht="22.5" customHeight="1">
      <c r="A890" s="242"/>
      <c r="B890" s="242"/>
      <c r="C890" s="247"/>
      <c r="D890" s="247"/>
      <c r="E890" s="12">
        <v>1.2307246875E7</v>
      </c>
      <c r="F890" s="16">
        <v>28.875</v>
      </c>
      <c r="G890" s="250"/>
      <c r="H890" s="251"/>
      <c r="I890" s="236"/>
      <c r="J890" s="242"/>
    </row>
    <row r="891" ht="22.5" customHeight="1">
      <c r="A891" s="242"/>
      <c r="B891" s="242"/>
      <c r="C891" s="247"/>
      <c r="D891" s="247"/>
      <c r="E891" s="25">
        <v>7437016.588</v>
      </c>
      <c r="F891" s="16">
        <v>21.946</v>
      </c>
      <c r="G891" s="250"/>
      <c r="H891" s="251"/>
      <c r="I891" s="236"/>
      <c r="J891" s="242"/>
    </row>
    <row r="892" ht="22.5" customHeight="1">
      <c r="A892" s="242"/>
      <c r="B892" s="242"/>
      <c r="C892" s="247"/>
      <c r="D892" s="247"/>
      <c r="E892" s="12">
        <v>9.383250027E7</v>
      </c>
      <c r="F892" s="219">
        <v>74.31</v>
      </c>
      <c r="G892" s="250"/>
      <c r="H892" s="251"/>
      <c r="I892" s="236"/>
      <c r="J892" s="242"/>
    </row>
    <row r="893" ht="22.5" customHeight="1">
      <c r="A893" s="242"/>
      <c r="B893" s="242"/>
      <c r="C893" s="247"/>
      <c r="D893" s="247"/>
      <c r="E893" s="25">
        <v>3.3524352785E7</v>
      </c>
      <c r="F893" s="16">
        <v>11.935</v>
      </c>
      <c r="G893" s="250"/>
      <c r="H893" s="251"/>
      <c r="I893" s="236"/>
      <c r="J893" s="242"/>
    </row>
    <row r="894" ht="22.5" customHeight="1">
      <c r="A894" s="242"/>
      <c r="B894" s="242"/>
      <c r="C894" s="247"/>
      <c r="D894" s="247"/>
      <c r="E894" s="12">
        <v>1914198.44</v>
      </c>
      <c r="F894" s="16">
        <v>1.54</v>
      </c>
      <c r="G894" s="250"/>
      <c r="H894" s="251"/>
      <c r="I894" s="236"/>
      <c r="J894" s="242"/>
    </row>
    <row r="895" ht="22.5" customHeight="1">
      <c r="A895" s="242"/>
      <c r="B895" s="242"/>
      <c r="C895" s="247"/>
      <c r="D895" s="247"/>
      <c r="E895" s="25">
        <v>5001934.245</v>
      </c>
      <c r="F895" s="16">
        <v>41.965</v>
      </c>
      <c r="G895" s="250"/>
      <c r="H895" s="251"/>
      <c r="I895" s="236"/>
      <c r="J895" s="242"/>
    </row>
    <row r="896" ht="22.5" customHeight="1">
      <c r="A896" s="242"/>
      <c r="B896" s="242"/>
      <c r="C896" s="247"/>
      <c r="D896" s="247"/>
      <c r="E896" s="12">
        <v>7.44367609712E7</v>
      </c>
      <c r="F896" s="16">
        <v>128.9788</v>
      </c>
      <c r="G896" s="250"/>
      <c r="H896" s="251"/>
      <c r="I896" s="236"/>
      <c r="J896" s="242"/>
    </row>
    <row r="897" ht="22.5" customHeight="1">
      <c r="A897" s="242"/>
      <c r="B897" s="242"/>
      <c r="C897" s="247"/>
      <c r="D897" s="247"/>
      <c r="E897" s="25">
        <v>828597.0</v>
      </c>
      <c r="F897" s="16">
        <v>4.62</v>
      </c>
      <c r="G897" s="250"/>
      <c r="H897" s="251"/>
      <c r="I897" s="236"/>
      <c r="J897" s="242"/>
    </row>
    <row r="898" ht="22.5" customHeight="1">
      <c r="A898" s="242"/>
      <c r="B898" s="242"/>
      <c r="C898" s="247"/>
      <c r="D898" s="247"/>
      <c r="E898" s="12">
        <v>5.330291581999999E7</v>
      </c>
      <c r="F898" s="219">
        <v>44.66</v>
      </c>
      <c r="G898" s="250"/>
      <c r="H898" s="251"/>
      <c r="I898" s="236"/>
      <c r="J898" s="242"/>
    </row>
    <row r="899" ht="22.5" customHeight="1">
      <c r="A899" s="242"/>
      <c r="B899" s="242"/>
      <c r="C899" s="247"/>
      <c r="D899" s="247"/>
      <c r="E899" s="25">
        <v>6.94806306E7</v>
      </c>
      <c r="F899" s="219">
        <v>95.1</v>
      </c>
      <c r="G899" s="250"/>
      <c r="H899" s="251"/>
      <c r="I899" s="236"/>
      <c r="J899" s="242"/>
    </row>
    <row r="900" ht="22.5" customHeight="1">
      <c r="A900" s="242"/>
      <c r="B900" s="242"/>
      <c r="C900" s="247"/>
      <c r="D900" s="247"/>
      <c r="E900" s="12">
        <v>1.2175307219319999E8</v>
      </c>
      <c r="F900" s="16">
        <v>48.1153</v>
      </c>
      <c r="G900" s="250"/>
      <c r="H900" s="251"/>
      <c r="I900" s="236"/>
      <c r="J900" s="242"/>
    </row>
    <row r="901" ht="22.5" customHeight="1">
      <c r="A901" s="242"/>
      <c r="B901" s="242"/>
      <c r="C901" s="247"/>
      <c r="D901" s="247"/>
      <c r="E901" s="25">
        <v>1.733911102E7</v>
      </c>
      <c r="F901" s="16">
        <v>44.66</v>
      </c>
      <c r="G901" s="250"/>
      <c r="H901" s="251"/>
      <c r="I901" s="236"/>
      <c r="J901" s="242"/>
    </row>
    <row r="902" ht="22.5" customHeight="1">
      <c r="A902" s="242"/>
      <c r="B902" s="242"/>
      <c r="C902" s="247"/>
      <c r="D902" s="247"/>
      <c r="E902" s="12">
        <v>1.721917659E7</v>
      </c>
      <c r="F902" s="16">
        <v>11.165</v>
      </c>
      <c r="G902" s="250"/>
      <c r="H902" s="251"/>
      <c r="I902" s="236"/>
      <c r="J902" s="242"/>
    </row>
    <row r="903" ht="22.5" customHeight="1">
      <c r="A903" s="242"/>
      <c r="B903" s="242"/>
      <c r="C903" s="247"/>
      <c r="D903" s="247"/>
      <c r="E903" s="25">
        <v>730202.5499999999</v>
      </c>
      <c r="F903" s="16">
        <v>220.605</v>
      </c>
      <c r="G903" s="250"/>
      <c r="H903" s="251"/>
      <c r="I903" s="236"/>
      <c r="J903" s="242"/>
    </row>
    <row r="904" ht="22.5" customHeight="1">
      <c r="A904" s="242"/>
      <c r="B904" s="242"/>
      <c r="C904" s="247"/>
      <c r="D904" s="247"/>
      <c r="E904" s="12">
        <v>1.9674606067199998E7</v>
      </c>
      <c r="F904" s="16">
        <v>25.4016</v>
      </c>
      <c r="G904" s="250"/>
      <c r="H904" s="251"/>
      <c r="I904" s="236"/>
      <c r="J904" s="242"/>
    </row>
    <row r="905" ht="22.5" customHeight="1">
      <c r="A905" s="242"/>
      <c r="B905" s="242"/>
      <c r="C905" s="247"/>
      <c r="D905" s="247"/>
      <c r="E905" s="25">
        <v>2950683.1845</v>
      </c>
      <c r="F905" s="16">
        <v>13.8559</v>
      </c>
      <c r="G905" s="250"/>
      <c r="H905" s="251"/>
      <c r="I905" s="236"/>
      <c r="J905" s="242"/>
    </row>
    <row r="906" ht="22.5" customHeight="1">
      <c r="A906" s="242"/>
      <c r="B906" s="242"/>
      <c r="C906" s="247"/>
      <c r="D906" s="247"/>
      <c r="E906" s="12">
        <v>1.4008097557999998E8</v>
      </c>
      <c r="F906" s="16">
        <v>274.82</v>
      </c>
      <c r="G906" s="250"/>
      <c r="H906" s="251"/>
      <c r="I906" s="236"/>
      <c r="J906" s="242"/>
    </row>
    <row r="907" ht="22.5" customHeight="1">
      <c r="A907" s="242"/>
      <c r="B907" s="242"/>
      <c r="C907" s="247"/>
      <c r="D907" s="247"/>
      <c r="E907" s="25">
        <v>1.8401158075E7</v>
      </c>
      <c r="F907" s="16">
        <v>103.175</v>
      </c>
      <c r="G907" s="250"/>
      <c r="H907" s="251"/>
      <c r="I907" s="236"/>
      <c r="J907" s="242"/>
    </row>
    <row r="908" ht="22.5" customHeight="1">
      <c r="A908" s="242"/>
      <c r="B908" s="242"/>
      <c r="C908" s="247"/>
      <c r="D908" s="247"/>
      <c r="E908" s="12">
        <v>8714285.58</v>
      </c>
      <c r="F908" s="16">
        <v>4.62</v>
      </c>
      <c r="G908" s="250"/>
      <c r="H908" s="251"/>
      <c r="I908" s="236"/>
      <c r="J908" s="242"/>
    </row>
    <row r="909" ht="22.5" customHeight="1">
      <c r="A909" s="242"/>
      <c r="B909" s="242"/>
      <c r="C909" s="247"/>
      <c r="D909" s="247"/>
      <c r="E909" s="25">
        <v>5131190.1762</v>
      </c>
      <c r="F909" s="16">
        <v>32.3994</v>
      </c>
      <c r="G909" s="250"/>
      <c r="H909" s="251"/>
      <c r="I909" s="236"/>
      <c r="J909" s="242"/>
    </row>
    <row r="910" ht="22.5" customHeight="1">
      <c r="A910" s="242"/>
      <c r="B910" s="242"/>
      <c r="C910" s="247"/>
      <c r="D910" s="247"/>
      <c r="E910" s="12">
        <v>447879.07</v>
      </c>
      <c r="F910" s="16">
        <v>175.57</v>
      </c>
      <c r="G910" s="250"/>
      <c r="H910" s="251"/>
      <c r="I910" s="236"/>
      <c r="J910" s="242"/>
    </row>
    <row r="911" ht="22.5" customHeight="1">
      <c r="A911" s="242"/>
      <c r="B911" s="242"/>
      <c r="C911" s="247"/>
      <c r="D911" s="247"/>
      <c r="E911" s="25">
        <v>9819272.991</v>
      </c>
      <c r="F911" s="16">
        <v>185.161</v>
      </c>
      <c r="G911" s="250"/>
      <c r="H911" s="251"/>
      <c r="I911" s="236"/>
      <c r="J911" s="242"/>
    </row>
    <row r="912" ht="22.5" customHeight="1">
      <c r="A912" s="242"/>
      <c r="B912" s="242"/>
      <c r="C912" s="247"/>
      <c r="D912" s="247"/>
      <c r="E912" s="12">
        <v>7354909.54</v>
      </c>
      <c r="F912" s="16">
        <v>1.385</v>
      </c>
      <c r="G912" s="250"/>
      <c r="H912" s="251"/>
      <c r="I912" s="236"/>
      <c r="J912" s="242"/>
    </row>
    <row r="913" ht="22.5" customHeight="1">
      <c r="A913" s="242"/>
      <c r="B913" s="242"/>
      <c r="C913" s="247"/>
      <c r="D913" s="247"/>
      <c r="E913" s="25">
        <v>4.2514143364E8</v>
      </c>
      <c r="F913" s="219">
        <v>252.715</v>
      </c>
      <c r="G913" s="250"/>
      <c r="H913" s="251"/>
      <c r="I913" s="236"/>
      <c r="J913" s="242"/>
    </row>
    <row r="914" ht="22.5" customHeight="1">
      <c r="A914" s="242"/>
      <c r="B914" s="242"/>
      <c r="C914" s="247"/>
      <c r="D914" s="247"/>
      <c r="E914" s="67">
        <v>6.750557645168598E9</v>
      </c>
      <c r="F914" s="69">
        <f>sum(ALL[[#TOTALS],[Population]]/ALL[[#TOTALS],[Area (Km)]])</f>
        <v>53.72462378</v>
      </c>
      <c r="G914" s="236"/>
      <c r="H914" s="251"/>
      <c r="I914" s="236"/>
      <c r="J914" s="242"/>
    </row>
    <row r="915" ht="22.5" customHeight="1">
      <c r="A915" s="242"/>
      <c r="B915" s="242"/>
      <c r="C915" s="247"/>
      <c r="D915" s="247"/>
      <c r="E915" s="246"/>
      <c r="F915" s="16"/>
      <c r="G915" s="250"/>
      <c r="H915" s="251"/>
      <c r="I915" s="236"/>
      <c r="J915" s="242"/>
    </row>
    <row r="916" ht="22.5" customHeight="1">
      <c r="A916" s="242"/>
      <c r="B916" s="242"/>
      <c r="C916" s="247"/>
      <c r="D916" s="247"/>
      <c r="E916" s="248"/>
      <c r="F916" s="4"/>
      <c r="G916" s="250"/>
      <c r="H916" s="251"/>
      <c r="I916" s="236"/>
      <c r="J916" s="242"/>
    </row>
    <row r="917" ht="22.5" customHeight="1">
      <c r="A917" s="242"/>
      <c r="B917" s="242"/>
      <c r="C917" s="247"/>
      <c r="D917" s="247"/>
      <c r="E917" s="248"/>
      <c r="F917" s="4"/>
      <c r="G917" s="250"/>
      <c r="H917" s="251"/>
      <c r="I917" s="236"/>
      <c r="J917" s="242"/>
    </row>
    <row r="918" ht="22.5" customHeight="1">
      <c r="A918" s="242"/>
      <c r="B918" s="242"/>
      <c r="C918" s="247"/>
      <c r="D918" s="247"/>
      <c r="E918" s="248"/>
      <c r="F918" s="4"/>
      <c r="G918" s="250"/>
      <c r="H918" s="251"/>
      <c r="I918" s="236"/>
      <c r="J918" s="242"/>
    </row>
    <row r="919" ht="22.5" customHeight="1">
      <c r="A919" s="242"/>
      <c r="B919" s="242"/>
      <c r="C919" s="247"/>
      <c r="D919" s="247"/>
      <c r="E919" s="248"/>
      <c r="F919" s="4"/>
      <c r="G919" s="250"/>
      <c r="H919" s="251"/>
      <c r="I919" s="236"/>
      <c r="J919" s="242"/>
    </row>
    <row r="920" ht="22.5" customHeight="1">
      <c r="A920" s="242"/>
      <c r="B920" s="242"/>
      <c r="C920" s="247"/>
      <c r="D920" s="247"/>
      <c r="E920" s="248"/>
      <c r="F920" s="4"/>
      <c r="G920" s="250"/>
      <c r="H920" s="251"/>
      <c r="I920" s="236"/>
      <c r="J920" s="242"/>
    </row>
    <row r="921" ht="22.5" customHeight="1">
      <c r="A921" s="242"/>
      <c r="B921" s="242"/>
      <c r="C921" s="247"/>
      <c r="D921" s="247"/>
      <c r="E921" s="248"/>
      <c r="F921" s="4"/>
      <c r="G921" s="250"/>
      <c r="H921" s="251"/>
      <c r="I921" s="236"/>
      <c r="J921" s="242"/>
    </row>
    <row r="922" ht="22.5" customHeight="1">
      <c r="A922" s="242"/>
      <c r="B922" s="242"/>
      <c r="C922" s="247"/>
      <c r="D922" s="247"/>
      <c r="E922" s="248"/>
      <c r="F922" s="4"/>
      <c r="G922" s="250"/>
      <c r="H922" s="251"/>
      <c r="I922" s="236"/>
      <c r="J922" s="242"/>
    </row>
    <row r="923" ht="22.5" customHeight="1">
      <c r="A923" s="242"/>
      <c r="B923" s="242"/>
      <c r="C923" s="247"/>
      <c r="D923" s="247"/>
      <c r="E923" s="248"/>
      <c r="F923" s="4"/>
      <c r="G923" s="250"/>
      <c r="H923" s="251"/>
      <c r="I923" s="236"/>
      <c r="J923" s="242"/>
    </row>
    <row r="924" ht="22.5" customHeight="1">
      <c r="A924" s="242"/>
      <c r="B924" s="242"/>
      <c r="C924" s="247"/>
      <c r="D924" s="247"/>
      <c r="E924" s="248"/>
      <c r="F924" s="4"/>
      <c r="G924" s="250"/>
      <c r="H924" s="251"/>
      <c r="I924" s="236"/>
      <c r="J924" s="242"/>
    </row>
    <row r="925" ht="22.5" customHeight="1">
      <c r="A925" s="242"/>
      <c r="B925" s="242"/>
      <c r="C925" s="247"/>
      <c r="D925" s="247"/>
      <c r="E925" s="248"/>
      <c r="F925" s="4"/>
      <c r="G925" s="250"/>
      <c r="H925" s="251"/>
      <c r="I925" s="236"/>
      <c r="J925" s="242"/>
    </row>
    <row r="926" ht="22.5" customHeight="1">
      <c r="A926" s="242"/>
      <c r="B926" s="242"/>
      <c r="C926" s="247"/>
      <c r="D926" s="247"/>
      <c r="E926" s="236"/>
      <c r="F926" s="236"/>
      <c r="G926" s="236"/>
      <c r="H926" s="251"/>
      <c r="I926" s="236"/>
      <c r="J926" s="242"/>
    </row>
    <row r="927" ht="22.5" customHeight="1">
      <c r="A927" s="242"/>
      <c r="B927" s="242"/>
      <c r="C927" s="247"/>
      <c r="D927" s="247"/>
      <c r="E927" s="236"/>
      <c r="F927" s="236"/>
      <c r="G927" s="236"/>
      <c r="H927" s="251"/>
      <c r="I927" s="236"/>
      <c r="J927" s="242"/>
    </row>
    <row r="928" ht="22.5" customHeight="1">
      <c r="A928" s="242"/>
      <c r="B928" s="242"/>
      <c r="C928" s="247"/>
      <c r="D928" s="247"/>
      <c r="E928" s="236"/>
      <c r="F928" s="236"/>
      <c r="G928" s="236"/>
      <c r="H928" s="251"/>
      <c r="I928" s="236"/>
      <c r="J928" s="242"/>
    </row>
    <row r="929" ht="22.5" customHeight="1">
      <c r="A929" s="242"/>
      <c r="B929" s="242"/>
      <c r="C929" s="247"/>
      <c r="D929" s="247"/>
      <c r="E929" s="236"/>
      <c r="F929" s="236"/>
      <c r="G929" s="236"/>
      <c r="H929" s="251"/>
      <c r="I929" s="236"/>
      <c r="J929" s="242"/>
    </row>
    <row r="930" ht="22.5" customHeight="1">
      <c r="A930" s="242"/>
      <c r="B930" s="242"/>
      <c r="C930" s="247"/>
      <c r="D930" s="247"/>
      <c r="E930" s="236"/>
      <c r="F930" s="236"/>
      <c r="G930" s="236"/>
      <c r="H930" s="251"/>
      <c r="I930" s="236"/>
      <c r="J930" s="242"/>
    </row>
    <row r="931" ht="22.5" customHeight="1">
      <c r="A931" s="242"/>
      <c r="B931" s="242"/>
      <c r="C931" s="247"/>
      <c r="D931" s="247"/>
      <c r="E931" s="236"/>
      <c r="F931" s="236"/>
      <c r="G931" s="236"/>
      <c r="H931" s="251"/>
      <c r="I931" s="236"/>
      <c r="J931" s="242"/>
    </row>
    <row r="932" ht="22.5" customHeight="1">
      <c r="A932" s="242"/>
      <c r="B932" s="242"/>
      <c r="C932" s="247"/>
      <c r="D932" s="247"/>
      <c r="E932" s="236"/>
      <c r="F932" s="236"/>
      <c r="G932" s="236"/>
      <c r="H932" s="251"/>
      <c r="I932" s="236"/>
      <c r="J932" s="242"/>
    </row>
    <row r="933" ht="22.5" customHeight="1">
      <c r="A933" s="242"/>
      <c r="B933" s="242"/>
      <c r="C933" s="247"/>
      <c r="D933" s="247"/>
      <c r="E933" s="236"/>
      <c r="F933" s="236"/>
      <c r="G933" s="236"/>
      <c r="H933" s="251"/>
      <c r="I933" s="236"/>
      <c r="J933" s="242"/>
    </row>
    <row r="934" ht="22.5" customHeight="1">
      <c r="A934" s="242"/>
      <c r="B934" s="242"/>
      <c r="C934" s="247"/>
      <c r="D934" s="247"/>
      <c r="E934" s="236"/>
      <c r="F934" s="236"/>
      <c r="G934" s="236"/>
      <c r="H934" s="251"/>
      <c r="I934" s="236"/>
      <c r="J934" s="242"/>
    </row>
    <row r="935" ht="22.5" customHeight="1">
      <c r="A935" s="242"/>
      <c r="B935" s="242"/>
      <c r="C935" s="247"/>
      <c r="D935" s="247"/>
      <c r="E935" s="236"/>
      <c r="F935" s="236"/>
      <c r="G935" s="236"/>
      <c r="H935" s="251"/>
      <c r="I935" s="236"/>
      <c r="J935" s="242"/>
    </row>
    <row r="936" ht="22.5" customHeight="1">
      <c r="A936" s="242"/>
      <c r="B936" s="242"/>
      <c r="C936" s="247"/>
      <c r="D936" s="247"/>
      <c r="E936" s="236"/>
      <c r="F936" s="236"/>
      <c r="G936" s="236"/>
      <c r="H936" s="251"/>
      <c r="I936" s="236"/>
      <c r="J936" s="242"/>
    </row>
    <row r="937" ht="22.5" customHeight="1">
      <c r="A937" s="242"/>
      <c r="B937" s="242"/>
      <c r="C937" s="247"/>
      <c r="D937" s="247"/>
      <c r="E937" s="236"/>
      <c r="F937" s="236"/>
      <c r="G937" s="236"/>
      <c r="H937" s="251"/>
      <c r="I937" s="236"/>
      <c r="J937" s="242"/>
    </row>
    <row r="938" ht="22.5" customHeight="1">
      <c r="A938" s="242"/>
      <c r="B938" s="242"/>
      <c r="C938" s="247"/>
      <c r="D938" s="247"/>
      <c r="E938" s="236"/>
      <c r="F938" s="236"/>
      <c r="G938" s="236"/>
      <c r="H938" s="251"/>
      <c r="I938" s="236"/>
      <c r="J938" s="242"/>
    </row>
    <row r="939" ht="22.5" customHeight="1">
      <c r="A939" s="242"/>
      <c r="B939" s="242"/>
      <c r="C939" s="247"/>
      <c r="D939" s="247"/>
      <c r="E939" s="236"/>
      <c r="F939" s="236"/>
      <c r="G939" s="236"/>
      <c r="H939" s="251"/>
      <c r="I939" s="236"/>
      <c r="J939" s="242"/>
    </row>
    <row r="940" ht="22.5" customHeight="1">
      <c r="A940" s="242"/>
      <c r="B940" s="242"/>
      <c r="C940" s="247"/>
      <c r="D940" s="247"/>
      <c r="E940" s="236"/>
      <c r="F940" s="236"/>
      <c r="G940" s="236"/>
      <c r="H940" s="251"/>
      <c r="I940" s="236"/>
      <c r="J940" s="242"/>
    </row>
    <row r="941" ht="22.5" customHeight="1">
      <c r="A941" s="242"/>
      <c r="B941" s="242"/>
      <c r="C941" s="247"/>
      <c r="D941" s="247"/>
      <c r="E941" s="236"/>
      <c r="F941" s="236"/>
      <c r="G941" s="236"/>
      <c r="H941" s="251"/>
      <c r="I941" s="236"/>
      <c r="J941" s="242"/>
    </row>
    <row r="942" ht="22.5" customHeight="1">
      <c r="A942" s="242"/>
      <c r="B942" s="242"/>
      <c r="C942" s="247"/>
      <c r="D942" s="247"/>
      <c r="E942" s="236"/>
      <c r="F942" s="236"/>
      <c r="G942" s="236"/>
      <c r="H942" s="251"/>
      <c r="I942" s="236"/>
      <c r="J942" s="242"/>
    </row>
    <row r="943" ht="22.5" customHeight="1">
      <c r="A943" s="242"/>
      <c r="B943" s="242"/>
      <c r="C943" s="247"/>
      <c r="D943" s="247"/>
      <c r="E943" s="236"/>
      <c r="F943" s="236"/>
      <c r="G943" s="236"/>
      <c r="H943" s="251"/>
      <c r="I943" s="236"/>
      <c r="J943" s="242"/>
    </row>
    <row r="944" ht="22.5" customHeight="1">
      <c r="A944" s="242"/>
      <c r="B944" s="242"/>
      <c r="C944" s="247"/>
      <c r="D944" s="247"/>
      <c r="E944" s="236"/>
      <c r="F944" s="236"/>
      <c r="G944" s="236"/>
      <c r="H944" s="251"/>
      <c r="I944" s="236"/>
      <c r="J944" s="242"/>
    </row>
    <row r="945" ht="22.5" customHeight="1">
      <c r="A945" s="242"/>
      <c r="B945" s="242"/>
      <c r="C945" s="247"/>
      <c r="D945" s="247"/>
      <c r="E945" s="236"/>
      <c r="F945" s="236"/>
      <c r="G945" s="236"/>
      <c r="H945" s="251"/>
      <c r="I945" s="236"/>
      <c r="J945" s="242"/>
    </row>
    <row r="946" ht="22.5" customHeight="1">
      <c r="A946" s="242"/>
      <c r="B946" s="242"/>
      <c r="C946" s="247"/>
      <c r="D946" s="247"/>
      <c r="E946" s="236"/>
      <c r="F946" s="236"/>
      <c r="G946" s="236"/>
      <c r="H946" s="251"/>
      <c r="I946" s="236"/>
      <c r="J946" s="242"/>
    </row>
    <row r="947" ht="22.5" customHeight="1">
      <c r="A947" s="242"/>
      <c r="B947" s="242"/>
      <c r="C947" s="247"/>
      <c r="D947" s="247"/>
      <c r="E947" s="236"/>
      <c r="F947" s="236"/>
      <c r="G947" s="236"/>
      <c r="H947" s="251"/>
      <c r="I947" s="236"/>
      <c r="J947" s="242"/>
    </row>
    <row r="948" ht="22.5" customHeight="1">
      <c r="A948" s="242"/>
      <c r="B948" s="242"/>
      <c r="C948" s="247"/>
      <c r="D948" s="247"/>
      <c r="E948" s="236"/>
      <c r="F948" s="236"/>
      <c r="G948" s="236"/>
      <c r="H948" s="251"/>
      <c r="I948" s="236"/>
      <c r="J948" s="242"/>
    </row>
    <row r="949" ht="22.5" customHeight="1">
      <c r="A949" s="242"/>
      <c r="B949" s="242"/>
      <c r="C949" s="247"/>
      <c r="D949" s="247"/>
      <c r="E949" s="236"/>
      <c r="F949" s="236"/>
      <c r="G949" s="236"/>
      <c r="H949" s="251"/>
      <c r="I949" s="236"/>
      <c r="J949" s="242"/>
    </row>
    <row r="950" ht="22.5" customHeight="1">
      <c r="A950" s="242"/>
      <c r="B950" s="242"/>
      <c r="C950" s="247"/>
      <c r="D950" s="247"/>
      <c r="E950" s="236"/>
      <c r="F950" s="236"/>
      <c r="G950" s="236"/>
      <c r="H950" s="251"/>
      <c r="I950" s="236"/>
      <c r="J950" s="242"/>
    </row>
    <row r="951" ht="22.5" customHeight="1">
      <c r="A951" s="242"/>
      <c r="B951" s="242"/>
      <c r="C951" s="247"/>
      <c r="D951" s="247"/>
      <c r="E951" s="236"/>
      <c r="F951" s="236"/>
      <c r="G951" s="236"/>
      <c r="H951" s="251"/>
      <c r="I951" s="236"/>
      <c r="J951" s="242"/>
    </row>
    <row r="952" ht="22.5" customHeight="1">
      <c r="A952" s="242"/>
      <c r="B952" s="242"/>
      <c r="C952" s="247"/>
      <c r="D952" s="247"/>
      <c r="E952" s="236"/>
      <c r="F952" s="236"/>
      <c r="G952" s="236"/>
      <c r="H952" s="251"/>
      <c r="I952" s="236"/>
      <c r="J952" s="242"/>
    </row>
    <row r="953" ht="22.5" customHeight="1">
      <c r="A953" s="242"/>
      <c r="B953" s="242"/>
      <c r="C953" s="247"/>
      <c r="D953" s="247"/>
      <c r="E953" s="236"/>
      <c r="F953" s="236"/>
      <c r="G953" s="236"/>
      <c r="H953" s="251"/>
      <c r="I953" s="236"/>
      <c r="J953" s="242"/>
    </row>
    <row r="954" ht="22.5" customHeight="1">
      <c r="A954" s="242"/>
      <c r="B954" s="242"/>
      <c r="C954" s="247"/>
      <c r="D954" s="247"/>
      <c r="E954" s="236"/>
      <c r="F954" s="236"/>
      <c r="G954" s="236"/>
      <c r="H954" s="251"/>
      <c r="I954" s="236"/>
      <c r="J954" s="242"/>
    </row>
    <row r="955" ht="22.5" customHeight="1">
      <c r="A955" s="242"/>
      <c r="B955" s="242"/>
      <c r="C955" s="247"/>
      <c r="D955" s="247"/>
      <c r="E955" s="236"/>
      <c r="F955" s="236"/>
      <c r="G955" s="236"/>
      <c r="H955" s="251"/>
      <c r="I955" s="236"/>
      <c r="J955" s="242"/>
    </row>
    <row r="956" ht="22.5" customHeight="1">
      <c r="A956" s="242"/>
      <c r="B956" s="242"/>
      <c r="C956" s="247"/>
      <c r="D956" s="247"/>
      <c r="E956" s="236"/>
      <c r="F956" s="236"/>
      <c r="G956" s="236"/>
      <c r="H956" s="251"/>
      <c r="I956" s="236"/>
      <c r="J956" s="242"/>
    </row>
    <row r="957" ht="22.5" customHeight="1">
      <c r="A957" s="242"/>
      <c r="B957" s="242"/>
      <c r="C957" s="247"/>
      <c r="D957" s="247"/>
      <c r="E957" s="236"/>
      <c r="F957" s="236"/>
      <c r="G957" s="236"/>
      <c r="H957" s="251"/>
      <c r="I957" s="236"/>
      <c r="J957" s="242"/>
    </row>
    <row r="958" ht="22.5" customHeight="1">
      <c r="A958" s="242"/>
      <c r="B958" s="242"/>
      <c r="C958" s="247"/>
      <c r="D958" s="247"/>
      <c r="E958" s="236"/>
      <c r="F958" s="236"/>
      <c r="G958" s="236"/>
      <c r="H958" s="251"/>
      <c r="I958" s="236"/>
      <c r="J958" s="242"/>
    </row>
    <row r="959" ht="22.5" customHeight="1">
      <c r="A959" s="242"/>
      <c r="B959" s="242"/>
      <c r="C959" s="247"/>
      <c r="D959" s="247"/>
      <c r="E959" s="236"/>
      <c r="F959" s="236"/>
      <c r="G959" s="236"/>
      <c r="H959" s="251"/>
      <c r="I959" s="236"/>
      <c r="J959" s="242"/>
    </row>
    <row r="960" ht="22.5" customHeight="1">
      <c r="A960" s="242"/>
      <c r="B960" s="242"/>
      <c r="C960" s="247"/>
      <c r="D960" s="247"/>
      <c r="E960" s="236"/>
      <c r="F960" s="236"/>
      <c r="G960" s="236"/>
      <c r="H960" s="251"/>
      <c r="I960" s="236"/>
      <c r="J960" s="242"/>
    </row>
    <row r="961" ht="22.5" customHeight="1">
      <c r="A961" s="242"/>
      <c r="B961" s="242"/>
      <c r="C961" s="247"/>
      <c r="D961" s="247"/>
      <c r="E961" s="236"/>
      <c r="F961" s="236"/>
      <c r="G961" s="236"/>
      <c r="H961" s="251"/>
      <c r="I961" s="236"/>
      <c r="J961" s="242"/>
    </row>
    <row r="962" ht="22.5" customHeight="1">
      <c r="A962" s="242"/>
      <c r="B962" s="242"/>
      <c r="C962" s="247"/>
      <c r="D962" s="247"/>
      <c r="E962" s="236"/>
      <c r="F962" s="236"/>
      <c r="G962" s="236"/>
      <c r="H962" s="251"/>
      <c r="I962" s="236"/>
      <c r="J962" s="242"/>
    </row>
    <row r="963" ht="22.5" customHeight="1">
      <c r="A963" s="242"/>
      <c r="B963" s="242"/>
      <c r="C963" s="247"/>
      <c r="D963" s="247"/>
      <c r="E963" s="236"/>
      <c r="F963" s="236"/>
      <c r="G963" s="236"/>
      <c r="H963" s="251"/>
      <c r="I963" s="236"/>
      <c r="J963" s="242"/>
    </row>
    <row r="964" ht="22.5" customHeight="1">
      <c r="A964" s="242"/>
      <c r="B964" s="242"/>
      <c r="C964" s="247"/>
      <c r="D964" s="247"/>
      <c r="E964" s="236"/>
      <c r="F964" s="236"/>
      <c r="G964" s="236"/>
      <c r="H964" s="251"/>
      <c r="I964" s="236"/>
      <c r="J964" s="242"/>
    </row>
    <row r="965" ht="22.5" customHeight="1">
      <c r="A965" s="242"/>
      <c r="B965" s="242"/>
      <c r="C965" s="247"/>
      <c r="D965" s="247"/>
      <c r="E965" s="236"/>
      <c r="F965" s="236"/>
      <c r="G965" s="236"/>
      <c r="H965" s="251"/>
      <c r="I965" s="236"/>
      <c r="J965" s="242"/>
    </row>
    <row r="966" ht="22.5" customHeight="1">
      <c r="A966" s="242"/>
      <c r="B966" s="242"/>
      <c r="C966" s="247"/>
      <c r="D966" s="247"/>
      <c r="E966" s="236"/>
      <c r="F966" s="236"/>
      <c r="G966" s="236"/>
      <c r="H966" s="251"/>
      <c r="I966" s="236"/>
      <c r="J966" s="242"/>
    </row>
    <row r="967" ht="22.5" customHeight="1">
      <c r="A967" s="242"/>
      <c r="B967" s="242"/>
      <c r="C967" s="247"/>
      <c r="D967" s="247"/>
      <c r="E967" s="236"/>
      <c r="F967" s="236"/>
      <c r="G967" s="236"/>
      <c r="H967" s="251"/>
      <c r="I967" s="236"/>
      <c r="J967" s="242"/>
    </row>
    <row r="968" ht="22.5" customHeight="1">
      <c r="A968" s="242"/>
      <c r="B968" s="242"/>
      <c r="C968" s="247"/>
      <c r="D968" s="247"/>
      <c r="E968" s="236"/>
      <c r="F968" s="236"/>
      <c r="G968" s="236"/>
      <c r="H968" s="251"/>
      <c r="I968" s="236"/>
      <c r="J968" s="242"/>
    </row>
    <row r="969" ht="22.5" customHeight="1">
      <c r="A969" s="242"/>
      <c r="B969" s="242"/>
      <c r="C969" s="247"/>
      <c r="D969" s="247"/>
      <c r="E969" s="236"/>
      <c r="F969" s="236"/>
      <c r="G969" s="236"/>
      <c r="H969" s="251"/>
      <c r="I969" s="236"/>
      <c r="J969" s="242"/>
    </row>
    <row r="970" ht="22.5" customHeight="1">
      <c r="A970" s="242"/>
      <c r="B970" s="242"/>
      <c r="C970" s="247"/>
      <c r="D970" s="247"/>
      <c r="E970" s="236"/>
      <c r="F970" s="236"/>
      <c r="G970" s="236"/>
      <c r="H970" s="251"/>
      <c r="I970" s="236"/>
      <c r="J970" s="242"/>
    </row>
    <row r="971" ht="22.5" customHeight="1">
      <c r="A971" s="242"/>
      <c r="B971" s="242"/>
      <c r="C971" s="247"/>
      <c r="D971" s="247"/>
      <c r="E971" s="236"/>
      <c r="F971" s="236"/>
      <c r="G971" s="236"/>
      <c r="H971" s="251"/>
      <c r="I971" s="236"/>
      <c r="J971" s="242"/>
    </row>
    <row r="972" ht="22.5" customHeight="1">
      <c r="A972" s="242"/>
      <c r="B972" s="242"/>
      <c r="C972" s="247"/>
      <c r="D972" s="247"/>
      <c r="E972" s="236"/>
      <c r="F972" s="236"/>
      <c r="G972" s="236"/>
      <c r="H972" s="251"/>
      <c r="I972" s="236"/>
      <c r="J972" s="242"/>
    </row>
    <row r="973" ht="22.5" customHeight="1">
      <c r="A973" s="242"/>
      <c r="B973" s="242"/>
      <c r="C973" s="247"/>
      <c r="D973" s="247"/>
      <c r="E973" s="236"/>
      <c r="F973" s="236"/>
      <c r="G973" s="236"/>
      <c r="H973" s="251"/>
      <c r="I973" s="236"/>
      <c r="J973" s="242"/>
    </row>
    <row r="974" ht="22.5" customHeight="1">
      <c r="A974" s="242"/>
      <c r="B974" s="242"/>
      <c r="C974" s="247"/>
      <c r="D974" s="247"/>
      <c r="E974" s="236"/>
      <c r="F974" s="236"/>
      <c r="G974" s="236"/>
      <c r="H974" s="251"/>
      <c r="I974" s="236"/>
      <c r="J974" s="242"/>
    </row>
    <row r="975" ht="22.5" customHeight="1">
      <c r="A975" s="242"/>
      <c r="B975" s="242"/>
      <c r="C975" s="247"/>
      <c r="D975" s="247"/>
      <c r="E975" s="236"/>
      <c r="F975" s="236"/>
      <c r="G975" s="236"/>
      <c r="H975" s="251"/>
      <c r="I975" s="236"/>
      <c r="J975" s="242"/>
    </row>
    <row r="976" ht="22.5" customHeight="1">
      <c r="A976" s="242"/>
      <c r="B976" s="242"/>
      <c r="C976" s="247"/>
      <c r="D976" s="247"/>
      <c r="E976" s="236"/>
      <c r="F976" s="236"/>
      <c r="G976" s="236"/>
      <c r="H976" s="251"/>
      <c r="I976" s="236"/>
      <c r="J976" s="242"/>
    </row>
    <row r="977" ht="22.5" customHeight="1">
      <c r="A977" s="242"/>
      <c r="B977" s="242"/>
      <c r="C977" s="247"/>
      <c r="D977" s="247"/>
      <c r="E977" s="236"/>
      <c r="F977" s="236"/>
      <c r="G977" s="236"/>
      <c r="H977" s="251"/>
      <c r="I977" s="236"/>
      <c r="J977" s="242"/>
    </row>
    <row r="978" ht="22.5" customHeight="1">
      <c r="A978" s="242"/>
      <c r="B978" s="242"/>
      <c r="C978" s="247"/>
      <c r="D978" s="247"/>
      <c r="E978" s="236"/>
      <c r="F978" s="236"/>
      <c r="G978" s="236"/>
      <c r="H978" s="251"/>
      <c r="I978" s="236"/>
      <c r="J978" s="242"/>
    </row>
    <row r="979" ht="22.5" customHeight="1">
      <c r="A979" s="242"/>
      <c r="B979" s="242"/>
      <c r="C979" s="247"/>
      <c r="D979" s="247"/>
      <c r="E979" s="236"/>
      <c r="F979" s="236"/>
      <c r="G979" s="236"/>
      <c r="H979" s="251"/>
      <c r="I979" s="236"/>
      <c r="J979" s="242"/>
    </row>
    <row r="980" ht="22.5" customHeight="1">
      <c r="A980" s="242"/>
      <c r="B980" s="242"/>
      <c r="C980" s="247"/>
      <c r="D980" s="247"/>
      <c r="E980" s="236"/>
      <c r="F980" s="236"/>
      <c r="G980" s="236"/>
      <c r="H980" s="251"/>
      <c r="I980" s="236"/>
      <c r="J980" s="242"/>
    </row>
    <row r="981" ht="22.5" customHeight="1">
      <c r="A981" s="242"/>
      <c r="B981" s="242"/>
      <c r="C981" s="247"/>
      <c r="D981" s="247"/>
      <c r="E981" s="236"/>
      <c r="F981" s="236"/>
      <c r="G981" s="236"/>
      <c r="H981" s="251"/>
      <c r="I981" s="236"/>
      <c r="J981" s="242"/>
    </row>
    <row r="982" ht="22.5" customHeight="1">
      <c r="A982" s="242"/>
      <c r="B982" s="242"/>
      <c r="C982" s="247"/>
      <c r="D982" s="247"/>
      <c r="E982" s="236"/>
      <c r="F982" s="236"/>
      <c r="G982" s="236"/>
      <c r="H982" s="251"/>
      <c r="I982" s="236"/>
      <c r="J982" s="242"/>
    </row>
    <row r="983" ht="22.5" customHeight="1">
      <c r="A983" s="242"/>
      <c r="B983" s="242"/>
      <c r="C983" s="247"/>
      <c r="D983" s="247"/>
      <c r="E983" s="236"/>
      <c r="F983" s="236"/>
      <c r="G983" s="236"/>
      <c r="H983" s="251"/>
      <c r="I983" s="236"/>
      <c r="J983" s="242"/>
    </row>
    <row r="984" ht="22.5" customHeight="1">
      <c r="A984" s="242"/>
      <c r="B984" s="242"/>
      <c r="C984" s="247"/>
      <c r="D984" s="247"/>
      <c r="E984" s="236"/>
      <c r="F984" s="236"/>
      <c r="G984" s="236"/>
      <c r="H984" s="251"/>
      <c r="I984" s="236"/>
      <c r="J984" s="242"/>
    </row>
    <row r="985" ht="22.5" customHeight="1">
      <c r="A985" s="242"/>
      <c r="B985" s="242"/>
      <c r="C985" s="247"/>
      <c r="D985" s="247"/>
      <c r="E985" s="236"/>
      <c r="F985" s="236"/>
      <c r="G985" s="236"/>
      <c r="H985" s="251"/>
      <c r="I985" s="236"/>
      <c r="J985" s="242"/>
    </row>
    <row r="986" ht="22.5" customHeight="1">
      <c r="A986" s="242"/>
      <c r="B986" s="242"/>
      <c r="C986" s="247"/>
      <c r="D986" s="247"/>
      <c r="E986" s="236"/>
      <c r="F986" s="236"/>
      <c r="G986" s="236"/>
      <c r="H986" s="251"/>
      <c r="I986" s="236"/>
      <c r="J986" s="242"/>
    </row>
    <row r="987" ht="22.5" customHeight="1">
      <c r="A987" s="242"/>
      <c r="B987" s="242"/>
      <c r="C987" s="247"/>
      <c r="D987" s="247"/>
      <c r="E987" s="236"/>
      <c r="F987" s="236"/>
      <c r="G987" s="236"/>
      <c r="H987" s="251"/>
      <c r="I987" s="236"/>
      <c r="J987" s="242"/>
    </row>
    <row r="988" ht="22.5" customHeight="1">
      <c r="A988" s="242"/>
      <c r="B988" s="242"/>
      <c r="C988" s="247"/>
      <c r="D988" s="247"/>
      <c r="E988" s="236"/>
      <c r="F988" s="236"/>
      <c r="G988" s="236"/>
      <c r="H988" s="251"/>
      <c r="I988" s="236"/>
      <c r="J988" s="242"/>
    </row>
    <row r="989" ht="22.5" customHeight="1">
      <c r="A989" s="242"/>
      <c r="B989" s="242"/>
      <c r="C989" s="247"/>
      <c r="D989" s="247"/>
      <c r="E989" s="236"/>
      <c r="F989" s="236"/>
      <c r="G989" s="236"/>
      <c r="H989" s="251"/>
      <c r="I989" s="236"/>
      <c r="J989" s="242"/>
    </row>
    <row r="990" ht="22.5" customHeight="1">
      <c r="A990" s="242"/>
      <c r="B990" s="242"/>
      <c r="C990" s="247"/>
      <c r="D990" s="247"/>
      <c r="E990" s="236"/>
      <c r="F990" s="236"/>
      <c r="G990" s="236"/>
      <c r="H990" s="251"/>
      <c r="I990" s="236"/>
      <c r="J990" s="242"/>
    </row>
    <row r="991" ht="22.5" customHeight="1">
      <c r="A991" s="242"/>
      <c r="B991" s="242"/>
      <c r="C991" s="247"/>
      <c r="D991" s="247"/>
      <c r="E991" s="236"/>
      <c r="F991" s="236"/>
      <c r="G991" s="236"/>
      <c r="H991" s="251"/>
      <c r="I991" s="236"/>
      <c r="J991" s="242"/>
    </row>
    <row r="992" ht="22.5" customHeight="1">
      <c r="A992" s="242"/>
      <c r="B992" s="242"/>
      <c r="C992" s="247"/>
      <c r="D992" s="247"/>
      <c r="E992" s="236"/>
      <c r="F992" s="236"/>
      <c r="G992" s="236"/>
      <c r="H992" s="251"/>
      <c r="I992" s="236"/>
      <c r="J992" s="242"/>
    </row>
    <row r="993" ht="22.5" customHeight="1">
      <c r="A993" s="242"/>
      <c r="B993" s="242"/>
      <c r="C993" s="247"/>
      <c r="D993" s="247"/>
      <c r="E993" s="236"/>
      <c r="F993" s="236"/>
      <c r="G993" s="236"/>
      <c r="H993" s="251"/>
      <c r="I993" s="236"/>
      <c r="J993" s="242"/>
    </row>
    <row r="994" ht="22.5" customHeight="1">
      <c r="A994" s="242"/>
      <c r="B994" s="242"/>
      <c r="C994" s="247"/>
      <c r="D994" s="247"/>
      <c r="E994" s="236"/>
      <c r="F994" s="236"/>
      <c r="G994" s="236"/>
      <c r="H994" s="251"/>
      <c r="I994" s="236"/>
      <c r="J994" s="242"/>
    </row>
    <row r="995" ht="22.5" customHeight="1">
      <c r="A995" s="242"/>
      <c r="B995" s="242"/>
      <c r="C995" s="247"/>
      <c r="D995" s="247"/>
      <c r="E995" s="236"/>
      <c r="F995" s="236"/>
      <c r="G995" s="236"/>
      <c r="H995" s="251"/>
      <c r="I995" s="236"/>
      <c r="J995" s="242"/>
    </row>
    <row r="996" ht="22.5" customHeight="1">
      <c r="A996" s="242"/>
      <c r="B996" s="242"/>
      <c r="C996" s="247"/>
      <c r="D996" s="247"/>
      <c r="E996" s="236"/>
      <c r="F996" s="236"/>
      <c r="G996" s="236"/>
      <c r="H996" s="251"/>
      <c r="I996" s="236"/>
      <c r="J996" s="242"/>
    </row>
    <row r="997" ht="22.5" customHeight="1">
      <c r="A997" s="242"/>
      <c r="B997" s="242"/>
      <c r="C997" s="247"/>
      <c r="D997" s="247"/>
      <c r="E997" s="236"/>
      <c r="F997" s="236"/>
      <c r="G997" s="236"/>
      <c r="H997" s="251"/>
      <c r="I997" s="236"/>
      <c r="J997" s="242"/>
    </row>
    <row r="998" ht="22.5" customHeight="1">
      <c r="A998" s="242"/>
      <c r="B998" s="242"/>
      <c r="C998" s="247"/>
      <c r="D998" s="247"/>
      <c r="E998" s="236"/>
      <c r="F998" s="236"/>
      <c r="G998" s="236"/>
      <c r="H998" s="251"/>
      <c r="I998" s="236"/>
      <c r="J998" s="242"/>
    </row>
    <row r="999" ht="22.5" customHeight="1">
      <c r="A999" s="242"/>
      <c r="B999" s="242"/>
      <c r="C999" s="247"/>
      <c r="D999" s="247"/>
      <c r="E999" s="236"/>
      <c r="F999" s="236"/>
      <c r="G999" s="236"/>
      <c r="H999" s="251"/>
      <c r="I999" s="236"/>
      <c r="J999" s="242"/>
    </row>
    <row r="1000" ht="22.5" customHeight="1">
      <c r="A1000" s="242"/>
      <c r="B1000" s="242"/>
      <c r="C1000" s="247"/>
      <c r="D1000" s="247"/>
      <c r="E1000" s="236"/>
      <c r="F1000" s="236"/>
      <c r="G1000" s="236"/>
      <c r="H1000" s="251"/>
      <c r="I1000" s="236"/>
      <c r="J1000" s="242"/>
    </row>
    <row r="1001" ht="22.5" customHeight="1">
      <c r="A1001" s="242"/>
      <c r="B1001" s="242"/>
      <c r="C1001" s="247"/>
      <c r="D1001" s="247"/>
      <c r="E1001" s="238"/>
      <c r="F1001" s="238"/>
      <c r="G1001" s="238"/>
      <c r="H1001" s="251"/>
      <c r="I1001" s="238"/>
      <c r="J1001" s="242"/>
    </row>
    <row r="1002" ht="22.5" customHeight="1">
      <c r="A1002" s="242"/>
      <c r="B1002" s="242"/>
      <c r="C1002" s="247"/>
      <c r="D1002" s="247"/>
      <c r="E1002" s="238"/>
      <c r="F1002" s="238"/>
      <c r="G1002" s="238"/>
      <c r="H1002" s="251"/>
      <c r="I1002" s="238"/>
      <c r="J1002" s="242"/>
    </row>
    <row r="1003" ht="22.5" customHeight="1">
      <c r="A1003" s="242"/>
      <c r="B1003" s="242"/>
      <c r="C1003" s="247"/>
      <c r="D1003" s="247"/>
      <c r="E1003" s="238"/>
      <c r="F1003" s="238"/>
      <c r="G1003" s="238"/>
      <c r="H1003" s="251"/>
      <c r="I1003" s="238"/>
      <c r="J1003" s="242"/>
    </row>
  </sheetData>
  <dataValidations>
    <dataValidation type="custom" allowBlank="1" showDropDown="1" sqref="H2:H1003">
      <formula1>AND(ISNUMBER(H2),(NOT(OR(NOT(ISERROR(DATEVALUE(H2))), AND(ISNUMBER(H2), LEFT(CELL("format", H2))="D")))))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1.75"/>
    <col customWidth="1" min="3" max="3" width="9.88"/>
    <col customWidth="1" min="4" max="4" width="12.13"/>
    <col customWidth="1" min="5" max="5" width="16.38"/>
    <col customWidth="1" min="6" max="6" width="9.25"/>
    <col customWidth="1" min="7" max="7" width="18.5"/>
    <col customWidth="1" min="8" max="8" width="8.0"/>
    <col customWidth="1" min="9" max="9" width="10.38"/>
    <col customWidth="1" min="10" max="10" width="9.5"/>
    <col customWidth="1" min="11" max="12" width="21.75"/>
    <col customWidth="1" min="13" max="13" width="31.38"/>
  </cols>
  <sheetData>
    <row r="1" ht="22.5" customHeight="1">
      <c r="A1" s="252" t="s">
        <v>17</v>
      </c>
      <c r="B1" s="1" t="s">
        <v>0</v>
      </c>
      <c r="C1" s="252" t="s">
        <v>16</v>
      </c>
      <c r="D1" s="2" t="s">
        <v>1</v>
      </c>
      <c r="E1" s="1" t="s">
        <v>5</v>
      </c>
      <c r="F1" s="5" t="s">
        <v>6</v>
      </c>
      <c r="G1" s="253" t="s">
        <v>1075</v>
      </c>
      <c r="H1" s="252" t="s">
        <v>1076</v>
      </c>
      <c r="I1" s="252" t="s">
        <v>1077</v>
      </c>
      <c r="J1" s="252" t="s">
        <v>1078</v>
      </c>
      <c r="K1" s="254" t="s">
        <v>1079</v>
      </c>
      <c r="L1" s="254" t="s">
        <v>1080</v>
      </c>
      <c r="M1" s="252" t="s">
        <v>1081</v>
      </c>
    </row>
    <row r="2" ht="22.5" customHeight="1">
      <c r="A2" s="255" t="s">
        <v>29</v>
      </c>
      <c r="B2" s="256" t="s">
        <v>23</v>
      </c>
      <c r="C2" s="257" t="s">
        <v>28</v>
      </c>
      <c r="D2" s="258" t="s">
        <v>1082</v>
      </c>
      <c r="E2" s="259" t="s">
        <v>1083</v>
      </c>
      <c r="F2" s="256" t="s">
        <v>1084</v>
      </c>
      <c r="G2" s="260" t="s">
        <v>1085</v>
      </c>
      <c r="H2" s="255"/>
      <c r="I2" s="255"/>
      <c r="J2" s="255"/>
      <c r="K2" s="261" t="s">
        <v>1086</v>
      </c>
      <c r="L2" s="261" t="s">
        <v>1087</v>
      </c>
      <c r="M2" s="255" t="s">
        <v>1088</v>
      </c>
    </row>
    <row r="3" ht="22.5" customHeight="1">
      <c r="A3" s="257" t="s">
        <v>36</v>
      </c>
      <c r="B3" s="256" t="s">
        <v>30</v>
      </c>
      <c r="C3" s="257" t="s">
        <v>35</v>
      </c>
      <c r="D3" s="262" t="s">
        <v>1089</v>
      </c>
      <c r="E3" s="259" t="s">
        <v>1090</v>
      </c>
      <c r="F3" s="256" t="s">
        <v>1091</v>
      </c>
      <c r="G3" s="260" t="s">
        <v>1092</v>
      </c>
      <c r="H3" s="257"/>
      <c r="I3" s="257"/>
      <c r="J3" s="257"/>
      <c r="K3" s="263" t="s">
        <v>1093</v>
      </c>
      <c r="L3" s="263" t="s">
        <v>1094</v>
      </c>
      <c r="M3" s="257" t="s">
        <v>1095</v>
      </c>
    </row>
    <row r="4" ht="22.5" customHeight="1">
      <c r="A4" s="255" t="s">
        <v>43</v>
      </c>
      <c r="B4" s="264" t="s">
        <v>37</v>
      </c>
      <c r="C4" s="257" t="s">
        <v>42</v>
      </c>
      <c r="D4" s="258" t="s">
        <v>1096</v>
      </c>
      <c r="E4" s="259" t="s">
        <v>1097</v>
      </c>
      <c r="F4" s="256" t="s">
        <v>1098</v>
      </c>
      <c r="G4" s="260" t="s">
        <v>1099</v>
      </c>
      <c r="H4" s="255"/>
      <c r="I4" s="255"/>
      <c r="J4" s="255"/>
      <c r="K4" s="261" t="s">
        <v>1100</v>
      </c>
      <c r="L4" s="261" t="s">
        <v>1101</v>
      </c>
      <c r="M4" s="255" t="s">
        <v>1102</v>
      </c>
    </row>
    <row r="5" ht="22.5" customHeight="1">
      <c r="A5" s="255" t="s">
        <v>50</v>
      </c>
      <c r="B5" s="256" t="s">
        <v>44</v>
      </c>
      <c r="C5" s="257" t="s">
        <v>49</v>
      </c>
      <c r="D5" s="262" t="s">
        <v>1103</v>
      </c>
      <c r="E5" s="259" t="s">
        <v>1104</v>
      </c>
      <c r="F5" s="256" t="s">
        <v>1105</v>
      </c>
      <c r="G5" s="260" t="s">
        <v>1106</v>
      </c>
      <c r="H5" s="255"/>
      <c r="I5" s="255"/>
      <c r="J5" s="255"/>
      <c r="K5" s="261" t="s">
        <v>1107</v>
      </c>
      <c r="L5" s="261" t="s">
        <v>1108</v>
      </c>
      <c r="M5" s="255" t="s">
        <v>1109</v>
      </c>
    </row>
    <row r="6" ht="22.5" customHeight="1">
      <c r="A6" s="255" t="s">
        <v>51</v>
      </c>
      <c r="B6" s="264" t="s">
        <v>51</v>
      </c>
      <c r="C6" s="257" t="s">
        <v>56</v>
      </c>
      <c r="D6" s="265" t="s">
        <v>1110</v>
      </c>
      <c r="E6" s="259" t="s">
        <v>1111</v>
      </c>
      <c r="F6" s="256" t="s">
        <v>1112</v>
      </c>
      <c r="G6" s="260" t="s">
        <v>1113</v>
      </c>
      <c r="H6" s="255"/>
      <c r="I6" s="255"/>
      <c r="J6" s="255"/>
      <c r="K6" s="261" t="s">
        <v>1114</v>
      </c>
      <c r="L6" s="261" t="s">
        <v>1115</v>
      </c>
      <c r="M6" s="266" t="s">
        <v>1116</v>
      </c>
    </row>
    <row r="7" ht="22.5" customHeight="1">
      <c r="A7" s="255" t="s">
        <v>62</v>
      </c>
      <c r="B7" s="256" t="s">
        <v>57</v>
      </c>
      <c r="C7" s="257" t="s">
        <v>61</v>
      </c>
      <c r="D7" s="267" t="s">
        <v>1117</v>
      </c>
      <c r="E7" s="259" t="s">
        <v>1118</v>
      </c>
      <c r="F7" s="256" t="s">
        <v>1119</v>
      </c>
      <c r="G7" s="260" t="s">
        <v>1120</v>
      </c>
      <c r="H7" s="255"/>
      <c r="I7" s="255"/>
      <c r="J7" s="255"/>
      <c r="K7" s="261" t="s">
        <v>1121</v>
      </c>
      <c r="L7" s="261" t="s">
        <v>1122</v>
      </c>
      <c r="M7" s="255" t="s">
        <v>1123</v>
      </c>
    </row>
    <row r="8" ht="22.5" customHeight="1">
      <c r="A8" s="255" t="s">
        <v>68</v>
      </c>
      <c r="B8" s="268" t="s">
        <v>63</v>
      </c>
      <c r="C8" s="257" t="s">
        <v>67</v>
      </c>
      <c r="D8" s="265" t="s">
        <v>1124</v>
      </c>
      <c r="E8" s="259" t="s">
        <v>1125</v>
      </c>
      <c r="F8" s="256" t="s">
        <v>1126</v>
      </c>
      <c r="G8" s="260" t="s">
        <v>1127</v>
      </c>
      <c r="H8" s="255"/>
      <c r="I8" s="255"/>
      <c r="J8" s="255"/>
      <c r="K8" s="261" t="s">
        <v>1128</v>
      </c>
      <c r="L8" s="261" t="s">
        <v>1129</v>
      </c>
      <c r="M8" s="255" t="s">
        <v>1130</v>
      </c>
    </row>
    <row r="9" ht="22.5" customHeight="1">
      <c r="A9" s="255" t="s">
        <v>74</v>
      </c>
      <c r="B9" s="268" t="s">
        <v>69</v>
      </c>
      <c r="C9" s="257" t="s">
        <v>73</v>
      </c>
      <c r="D9" s="262" t="s">
        <v>1131</v>
      </c>
      <c r="E9" s="259" t="s">
        <v>1132</v>
      </c>
      <c r="F9" s="256" t="s">
        <v>1133</v>
      </c>
      <c r="G9" s="260" t="s">
        <v>1120</v>
      </c>
      <c r="H9" s="255"/>
      <c r="I9" s="255"/>
      <c r="J9" s="255"/>
      <c r="K9" s="261" t="s">
        <v>1134</v>
      </c>
      <c r="L9" s="261" t="s">
        <v>1135</v>
      </c>
      <c r="M9" s="255" t="s">
        <v>1136</v>
      </c>
    </row>
    <row r="10" ht="22.5" customHeight="1">
      <c r="A10" s="255" t="s">
        <v>80</v>
      </c>
      <c r="B10" s="264" t="s">
        <v>75</v>
      </c>
      <c r="C10" s="257" t="s">
        <v>79</v>
      </c>
      <c r="D10" s="265" t="s">
        <v>1137</v>
      </c>
      <c r="E10" s="259" t="s">
        <v>1138</v>
      </c>
      <c r="F10" s="256" t="s">
        <v>1139</v>
      </c>
      <c r="G10" s="260" t="s">
        <v>1140</v>
      </c>
      <c r="H10" s="255"/>
      <c r="I10" s="255"/>
      <c r="J10" s="255"/>
      <c r="K10" s="261" t="s">
        <v>1141</v>
      </c>
      <c r="L10" s="261" t="s">
        <v>1142</v>
      </c>
      <c r="M10" s="255" t="s">
        <v>1143</v>
      </c>
    </row>
    <row r="11" ht="22.5" customHeight="1">
      <c r="A11" s="255" t="s">
        <v>87</v>
      </c>
      <c r="B11" s="256" t="s">
        <v>81</v>
      </c>
      <c r="C11" s="257" t="s">
        <v>86</v>
      </c>
      <c r="D11" s="262" t="s">
        <v>1144</v>
      </c>
      <c r="E11" s="259" t="s">
        <v>1145</v>
      </c>
      <c r="F11" s="256" t="s">
        <v>1146</v>
      </c>
      <c r="G11" s="260" t="s">
        <v>1147</v>
      </c>
      <c r="H11" s="255"/>
      <c r="I11" s="255"/>
      <c r="J11" s="255"/>
      <c r="K11" s="261" t="s">
        <v>1148</v>
      </c>
      <c r="L11" s="261" t="s">
        <v>1149</v>
      </c>
      <c r="M11" s="255" t="s">
        <v>323</v>
      </c>
    </row>
    <row r="12" ht="22.5" customHeight="1">
      <c r="A12" s="255" t="s">
        <v>93</v>
      </c>
      <c r="B12" s="268" t="s">
        <v>88</v>
      </c>
      <c r="C12" s="257" t="s">
        <v>92</v>
      </c>
      <c r="D12" s="258" t="s">
        <v>1150</v>
      </c>
      <c r="E12" s="259" t="s">
        <v>1151</v>
      </c>
      <c r="F12" s="256" t="s">
        <v>1152</v>
      </c>
      <c r="G12" s="260" t="s">
        <v>1153</v>
      </c>
      <c r="H12" s="255"/>
      <c r="I12" s="255"/>
      <c r="J12" s="255"/>
      <c r="K12" s="261" t="s">
        <v>1154</v>
      </c>
      <c r="L12" s="261" t="s">
        <v>1155</v>
      </c>
      <c r="M12" s="255" t="s">
        <v>1130</v>
      </c>
    </row>
    <row r="13" ht="22.5" customHeight="1">
      <c r="A13" s="255" t="s">
        <v>99</v>
      </c>
      <c r="B13" s="256" t="s">
        <v>94</v>
      </c>
      <c r="C13" s="257" t="s">
        <v>98</v>
      </c>
      <c r="D13" s="262" t="s">
        <v>1156</v>
      </c>
      <c r="E13" s="259" t="s">
        <v>1157</v>
      </c>
      <c r="F13" s="256" t="s">
        <v>1158</v>
      </c>
      <c r="G13" s="260" t="s">
        <v>1159</v>
      </c>
      <c r="H13" s="255"/>
      <c r="I13" s="255"/>
      <c r="J13" s="255"/>
      <c r="K13" s="261" t="s">
        <v>1160</v>
      </c>
      <c r="L13" s="261" t="s">
        <v>1161</v>
      </c>
      <c r="M13" s="255" t="s">
        <v>1162</v>
      </c>
    </row>
    <row r="14" ht="22.5" customHeight="1">
      <c r="A14" s="257" t="s">
        <v>105</v>
      </c>
      <c r="B14" s="256" t="s">
        <v>100</v>
      </c>
      <c r="C14" s="257" t="s">
        <v>104</v>
      </c>
      <c r="D14" s="258" t="s">
        <v>1163</v>
      </c>
      <c r="E14" s="259" t="s">
        <v>1164</v>
      </c>
      <c r="F14" s="256" t="s">
        <v>1165</v>
      </c>
      <c r="G14" s="260" t="s">
        <v>1159</v>
      </c>
      <c r="H14" s="257"/>
      <c r="I14" s="257"/>
      <c r="J14" s="257"/>
      <c r="K14" s="261" t="s">
        <v>1166</v>
      </c>
      <c r="L14" s="261" t="s">
        <v>1167</v>
      </c>
      <c r="M14" s="257" t="s">
        <v>37</v>
      </c>
    </row>
    <row r="15" ht="22.5" customHeight="1">
      <c r="A15" s="257" t="s">
        <v>111</v>
      </c>
      <c r="B15" s="264" t="s">
        <v>106</v>
      </c>
      <c r="C15" s="257" t="s">
        <v>110</v>
      </c>
      <c r="D15" s="267" t="s">
        <v>1168</v>
      </c>
      <c r="E15" s="259" t="s">
        <v>1169</v>
      </c>
      <c r="F15" s="256" t="s">
        <v>1170</v>
      </c>
      <c r="G15" s="260" t="s">
        <v>1171</v>
      </c>
      <c r="H15" s="257"/>
      <c r="I15" s="257"/>
      <c r="J15" s="257"/>
      <c r="K15" s="261" t="s">
        <v>1172</v>
      </c>
      <c r="L15" s="261" t="s">
        <v>1173</v>
      </c>
      <c r="M15" s="255" t="s">
        <v>323</v>
      </c>
    </row>
    <row r="16" ht="22.5" customHeight="1">
      <c r="A16" s="255" t="s">
        <v>117</v>
      </c>
      <c r="B16" s="268" t="s">
        <v>112</v>
      </c>
      <c r="C16" s="257" t="s">
        <v>116</v>
      </c>
      <c r="D16" s="265" t="s">
        <v>1174</v>
      </c>
      <c r="E16" s="259" t="s">
        <v>1175</v>
      </c>
      <c r="F16" s="256" t="s">
        <v>1176</v>
      </c>
      <c r="G16" s="260" t="s">
        <v>1120</v>
      </c>
      <c r="H16" s="255"/>
      <c r="I16" s="255"/>
      <c r="J16" s="255"/>
      <c r="K16" s="261" t="s">
        <v>1177</v>
      </c>
      <c r="L16" s="261" t="s">
        <v>1178</v>
      </c>
      <c r="M16" s="255" t="s">
        <v>1179</v>
      </c>
    </row>
    <row r="17" ht="22.5" customHeight="1">
      <c r="A17" s="255" t="s">
        <v>124</v>
      </c>
      <c r="B17" s="256" t="s">
        <v>118</v>
      </c>
      <c r="C17" s="257" t="s">
        <v>123</v>
      </c>
      <c r="D17" s="267" t="s">
        <v>1180</v>
      </c>
      <c r="E17" s="259" t="s">
        <v>1181</v>
      </c>
      <c r="F17" s="256" t="s">
        <v>1182</v>
      </c>
      <c r="G17" s="260" t="s">
        <v>1153</v>
      </c>
      <c r="H17" s="255"/>
      <c r="I17" s="255"/>
      <c r="J17" s="255"/>
      <c r="K17" s="261" t="s">
        <v>1183</v>
      </c>
      <c r="L17" s="261" t="s">
        <v>1184</v>
      </c>
      <c r="M17" s="255" t="s">
        <v>1185</v>
      </c>
    </row>
    <row r="18" ht="22.5" customHeight="1">
      <c r="A18" s="269" t="s">
        <v>130</v>
      </c>
      <c r="B18" s="270" t="s">
        <v>130</v>
      </c>
      <c r="C18" s="271" t="s">
        <v>134</v>
      </c>
      <c r="D18" s="272" t="s">
        <v>1186</v>
      </c>
      <c r="E18" s="259" t="s">
        <v>1187</v>
      </c>
      <c r="F18" s="256" t="s">
        <v>1188</v>
      </c>
      <c r="G18" s="260" t="s">
        <v>1189</v>
      </c>
      <c r="H18" s="273"/>
      <c r="I18" s="274"/>
      <c r="J18" s="274"/>
      <c r="K18" s="275" t="s">
        <v>1190</v>
      </c>
      <c r="L18" s="276" t="s">
        <v>1191</v>
      </c>
      <c r="M18" s="277" t="s">
        <v>125</v>
      </c>
    </row>
    <row r="19" ht="22.5" customHeight="1">
      <c r="A19" s="255" t="s">
        <v>140</v>
      </c>
      <c r="B19" s="264" t="s">
        <v>135</v>
      </c>
      <c r="C19" s="257" t="s">
        <v>139</v>
      </c>
      <c r="D19" s="265" t="s">
        <v>1192</v>
      </c>
      <c r="E19" s="259" t="s">
        <v>1193</v>
      </c>
      <c r="F19" s="256" t="s">
        <v>1194</v>
      </c>
      <c r="G19" s="260" t="s">
        <v>1159</v>
      </c>
      <c r="H19" s="255"/>
      <c r="I19" s="255"/>
      <c r="J19" s="255"/>
      <c r="K19" s="261" t="s">
        <v>1195</v>
      </c>
      <c r="L19" s="261" t="s">
        <v>1196</v>
      </c>
      <c r="M19" s="255" t="s">
        <v>1197</v>
      </c>
    </row>
    <row r="20" ht="22.5" customHeight="1">
      <c r="A20" s="255" t="s">
        <v>146</v>
      </c>
      <c r="B20" s="264" t="s">
        <v>141</v>
      </c>
      <c r="C20" s="257" t="s">
        <v>145</v>
      </c>
      <c r="D20" s="267" t="s">
        <v>1174</v>
      </c>
      <c r="E20" s="259" t="s">
        <v>1198</v>
      </c>
      <c r="F20" s="256" t="s">
        <v>1199</v>
      </c>
      <c r="G20" s="260" t="s">
        <v>1147</v>
      </c>
      <c r="H20" s="255"/>
      <c r="I20" s="255"/>
      <c r="J20" s="255"/>
      <c r="K20" s="261" t="s">
        <v>1200</v>
      </c>
      <c r="L20" s="261" t="s">
        <v>1201</v>
      </c>
      <c r="M20" s="255" t="s">
        <v>323</v>
      </c>
    </row>
    <row r="21" ht="22.5" customHeight="1">
      <c r="A21" s="255" t="s">
        <v>152</v>
      </c>
      <c r="B21" s="256" t="s">
        <v>147</v>
      </c>
      <c r="C21" s="257" t="s">
        <v>151</v>
      </c>
      <c r="D21" s="258" t="s">
        <v>1168</v>
      </c>
      <c r="E21" s="259" t="s">
        <v>1202</v>
      </c>
      <c r="F21" s="256" t="s">
        <v>1203</v>
      </c>
      <c r="G21" s="260" t="s">
        <v>1153</v>
      </c>
      <c r="H21" s="255"/>
      <c r="I21" s="255"/>
      <c r="J21" s="255"/>
      <c r="K21" s="261" t="s">
        <v>1204</v>
      </c>
      <c r="L21" s="261" t="s">
        <v>1205</v>
      </c>
      <c r="M21" s="255" t="s">
        <v>1206</v>
      </c>
    </row>
    <row r="22" ht="22.5" customHeight="1">
      <c r="A22" s="255" t="s">
        <v>170</v>
      </c>
      <c r="B22" s="264" t="s">
        <v>165</v>
      </c>
      <c r="C22" s="257" t="s">
        <v>169</v>
      </c>
      <c r="D22" s="267" t="s">
        <v>1207</v>
      </c>
      <c r="E22" s="259" t="s">
        <v>1208</v>
      </c>
      <c r="F22" s="256" t="s">
        <v>1209</v>
      </c>
      <c r="G22" s="260" t="s">
        <v>1210</v>
      </c>
      <c r="H22" s="255"/>
      <c r="I22" s="255"/>
      <c r="J22" s="255"/>
      <c r="K22" s="261" t="s">
        <v>1211</v>
      </c>
      <c r="L22" s="261" t="s">
        <v>1212</v>
      </c>
      <c r="M22" s="255" t="s">
        <v>1213</v>
      </c>
    </row>
    <row r="23" ht="22.5" customHeight="1">
      <c r="A23" s="257" t="s">
        <v>158</v>
      </c>
      <c r="B23" s="256" t="s">
        <v>153</v>
      </c>
      <c r="C23" s="257" t="s">
        <v>157</v>
      </c>
      <c r="D23" s="267" t="s">
        <v>1214</v>
      </c>
      <c r="E23" s="259" t="s">
        <v>1215</v>
      </c>
      <c r="F23" s="256" t="s">
        <v>1216</v>
      </c>
      <c r="G23" s="260" t="s">
        <v>1217</v>
      </c>
      <c r="H23" s="257"/>
      <c r="I23" s="257"/>
      <c r="J23" s="257"/>
      <c r="K23" s="261" t="s">
        <v>1218</v>
      </c>
      <c r="L23" s="263" t="s">
        <v>1219</v>
      </c>
      <c r="M23" s="257" t="s">
        <v>1220</v>
      </c>
    </row>
    <row r="24" ht="22.5" customHeight="1">
      <c r="A24" s="255" t="s">
        <v>187</v>
      </c>
      <c r="B24" s="256" t="s">
        <v>182</v>
      </c>
      <c r="C24" s="257" t="s">
        <v>186</v>
      </c>
      <c r="D24" s="265" t="s">
        <v>1221</v>
      </c>
      <c r="E24" s="259" t="s">
        <v>1222</v>
      </c>
      <c r="F24" s="256" t="s">
        <v>1223</v>
      </c>
      <c r="G24" s="260" t="s">
        <v>1224</v>
      </c>
      <c r="H24" s="255"/>
      <c r="I24" s="255"/>
      <c r="J24" s="255"/>
      <c r="K24" s="261" t="s">
        <v>1225</v>
      </c>
      <c r="L24" s="261" t="s">
        <v>1226</v>
      </c>
      <c r="M24" s="255" t="s">
        <v>1227</v>
      </c>
    </row>
    <row r="25" ht="22.5" customHeight="1">
      <c r="A25" s="257" t="s">
        <v>251</v>
      </c>
      <c r="B25" s="264" t="s">
        <v>246</v>
      </c>
      <c r="C25" s="257" t="s">
        <v>250</v>
      </c>
      <c r="D25" s="267" t="s">
        <v>1228</v>
      </c>
      <c r="E25" s="259" t="s">
        <v>1229</v>
      </c>
      <c r="F25" s="256" t="s">
        <v>1230</v>
      </c>
      <c r="G25" s="260"/>
      <c r="H25" s="257"/>
      <c r="I25" s="257"/>
      <c r="J25" s="257"/>
      <c r="K25" s="263" t="s">
        <v>1231</v>
      </c>
      <c r="L25" s="263" t="s">
        <v>1232</v>
      </c>
      <c r="M25" s="257" t="s">
        <v>1233</v>
      </c>
    </row>
    <row r="26" ht="22.5" customHeight="1">
      <c r="A26" s="255" t="s">
        <v>269</v>
      </c>
      <c r="B26" s="264" t="s">
        <v>264</v>
      </c>
      <c r="C26" s="257" t="s">
        <v>268</v>
      </c>
      <c r="D26" s="265" t="s">
        <v>1228</v>
      </c>
      <c r="E26" s="259" t="s">
        <v>1234</v>
      </c>
      <c r="F26" s="256" t="s">
        <v>1235</v>
      </c>
      <c r="G26" s="260" t="s">
        <v>1236</v>
      </c>
      <c r="H26" s="268"/>
      <c r="I26" s="268"/>
      <c r="J26" s="268"/>
      <c r="K26" s="261" t="s">
        <v>1237</v>
      </c>
      <c r="L26" s="261" t="s">
        <v>1238</v>
      </c>
      <c r="M26" s="255" t="s">
        <v>1239</v>
      </c>
    </row>
    <row r="27" ht="22.5" customHeight="1">
      <c r="A27" s="255" t="s">
        <v>1240</v>
      </c>
      <c r="B27" s="256" t="s">
        <v>241</v>
      </c>
      <c r="C27" s="257" t="s">
        <v>245</v>
      </c>
      <c r="D27" s="272" t="s">
        <v>1241</v>
      </c>
      <c r="E27" s="259" t="s">
        <v>1242</v>
      </c>
      <c r="F27" s="256" t="s">
        <v>1243</v>
      </c>
      <c r="G27" s="260" t="s">
        <v>1147</v>
      </c>
      <c r="H27" s="268"/>
      <c r="I27" s="268"/>
      <c r="J27" s="268"/>
      <c r="K27" s="261" t="s">
        <v>1244</v>
      </c>
      <c r="L27" s="261" t="s">
        <v>1245</v>
      </c>
      <c r="M27" s="255" t="s">
        <v>1246</v>
      </c>
    </row>
    <row r="28" ht="22.5" customHeight="1">
      <c r="A28" s="278"/>
      <c r="B28" s="279"/>
      <c r="C28" s="257"/>
      <c r="D28" s="280"/>
      <c r="E28" s="281"/>
      <c r="F28" s="282"/>
      <c r="G28" s="260"/>
      <c r="H28" s="278"/>
      <c r="I28" s="278"/>
      <c r="J28" s="278"/>
      <c r="K28" s="283"/>
      <c r="L28" s="283"/>
      <c r="M28" s="278"/>
    </row>
    <row r="29">
      <c r="A29" s="79"/>
      <c r="B29" s="72"/>
      <c r="C29" s="75"/>
      <c r="D29" s="73"/>
      <c r="E29" s="76"/>
      <c r="F29" s="77"/>
      <c r="G29" s="284"/>
      <c r="H29" s="79"/>
      <c r="I29" s="79"/>
      <c r="J29" s="79"/>
      <c r="K29" s="285"/>
      <c r="L29" s="285"/>
      <c r="M29" s="79"/>
    </row>
    <row r="30">
      <c r="A30" s="79"/>
      <c r="B30" s="72"/>
      <c r="C30" s="88"/>
      <c r="D30" s="83"/>
      <c r="E30" s="76"/>
      <c r="F30" s="83"/>
      <c r="G30" s="286"/>
      <c r="H30" s="79"/>
      <c r="I30" s="79"/>
      <c r="J30" s="79"/>
      <c r="K30" s="285"/>
      <c r="L30" s="285"/>
      <c r="M30" s="79"/>
    </row>
    <row r="31">
      <c r="A31" s="88"/>
      <c r="B31" s="72"/>
      <c r="C31" s="88"/>
      <c r="D31" s="83"/>
      <c r="E31" s="76"/>
      <c r="F31" s="91"/>
      <c r="G31" s="287"/>
      <c r="H31" s="88"/>
      <c r="I31" s="88"/>
      <c r="J31" s="88"/>
      <c r="K31" s="288"/>
      <c r="L31" s="288"/>
      <c r="M31" s="88"/>
    </row>
    <row r="32">
      <c r="A32" s="88"/>
      <c r="B32" s="86"/>
      <c r="C32" s="88"/>
      <c r="D32" s="83"/>
      <c r="E32" s="76"/>
      <c r="F32" s="83"/>
      <c r="G32" s="286"/>
      <c r="H32" s="88"/>
      <c r="I32" s="88"/>
      <c r="J32" s="88"/>
      <c r="K32" s="288"/>
      <c r="L32" s="288"/>
      <c r="M32" s="88"/>
    </row>
    <row r="33">
      <c r="A33" s="88"/>
      <c r="B33" s="86"/>
      <c r="C33" s="88"/>
      <c r="D33" s="83"/>
      <c r="E33" s="76"/>
      <c r="F33" s="72"/>
      <c r="G33" s="289"/>
      <c r="H33" s="88"/>
      <c r="I33" s="88"/>
      <c r="J33" s="88"/>
      <c r="K33" s="288"/>
      <c r="L33" s="288"/>
      <c r="M33" s="88"/>
    </row>
    <row r="34">
      <c r="A34" s="88"/>
      <c r="B34" s="86"/>
      <c r="C34" s="88"/>
      <c r="D34" s="83"/>
      <c r="E34" s="76"/>
      <c r="F34" s="72"/>
      <c r="G34" s="289"/>
      <c r="H34" s="88"/>
      <c r="I34" s="88"/>
      <c r="J34" s="88"/>
      <c r="K34" s="288"/>
      <c r="L34" s="288"/>
      <c r="M34" s="88"/>
    </row>
    <row r="35">
      <c r="A35" s="88"/>
      <c r="B35" s="86"/>
      <c r="C35" s="88"/>
      <c r="D35" s="83"/>
      <c r="E35" s="76"/>
      <c r="F35" s="72"/>
      <c r="G35" s="289"/>
      <c r="H35" s="88"/>
      <c r="I35" s="88"/>
      <c r="J35" s="88"/>
      <c r="K35" s="288"/>
      <c r="L35" s="288"/>
      <c r="M35" s="88"/>
    </row>
    <row r="36">
      <c r="A36" s="88"/>
      <c r="B36" s="86"/>
      <c r="C36" s="88"/>
      <c r="D36" s="83"/>
      <c r="E36" s="76"/>
      <c r="F36" s="72"/>
      <c r="G36" s="289"/>
      <c r="H36" s="88"/>
      <c r="I36" s="88"/>
      <c r="J36" s="88"/>
      <c r="K36" s="288"/>
      <c r="L36" s="288"/>
      <c r="M36" s="88"/>
    </row>
    <row r="37">
      <c r="A37" s="88"/>
      <c r="B37" s="86"/>
      <c r="C37" s="88"/>
      <c r="D37" s="83"/>
      <c r="E37" s="76"/>
      <c r="F37" s="72"/>
      <c r="G37" s="289"/>
      <c r="H37" s="88"/>
      <c r="I37" s="88"/>
      <c r="J37" s="88"/>
      <c r="K37" s="288"/>
      <c r="L37" s="288"/>
      <c r="M37" s="88"/>
    </row>
    <row r="38">
      <c r="A38" s="88"/>
      <c r="B38" s="86"/>
      <c r="C38" s="88"/>
      <c r="D38" s="83"/>
      <c r="E38" s="76"/>
      <c r="F38" s="72"/>
      <c r="G38" s="289"/>
      <c r="H38" s="88"/>
      <c r="I38" s="88"/>
      <c r="J38" s="88"/>
      <c r="K38" s="288"/>
      <c r="L38" s="288"/>
      <c r="M38" s="88"/>
    </row>
    <row r="39">
      <c r="A39" s="88"/>
      <c r="B39" s="86"/>
      <c r="C39" s="88"/>
      <c r="D39" s="83"/>
      <c r="E39" s="76"/>
      <c r="F39" s="72"/>
      <c r="G39" s="289"/>
      <c r="H39" s="88"/>
      <c r="I39" s="88"/>
      <c r="J39" s="88"/>
      <c r="K39" s="288"/>
      <c r="L39" s="288"/>
      <c r="M39" s="88"/>
    </row>
  </sheetData>
  <dataValidations>
    <dataValidation type="custom" allowBlank="1" showDropDown="1" sqref="E2:E27">
      <formula1>AND(ISNUMBER(E2),(NOT(OR(NOT(ISERROR(DATEVALUE(E2))), AND(ISNUMBER(E2), LEFT(CELL("format", E2))="D")))))</formula1>
    </dataValidation>
    <dataValidation allowBlank="1" showDropDown="1" sqref="B2:B27 D2:D27 F2:F27"/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5.0"/>
  </cols>
  <sheetData>
    <row r="1" ht="22.5" customHeight="1">
      <c r="A1" s="1" t="s">
        <v>0</v>
      </c>
      <c r="B1" s="290" t="s">
        <v>1247</v>
      </c>
    </row>
    <row r="2" ht="22.5" customHeight="1">
      <c r="A2" s="291" t="s">
        <v>30</v>
      </c>
      <c r="B2" s="292" t="s">
        <v>1248</v>
      </c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293"/>
      <c r="S2" s="293"/>
      <c r="T2" s="293"/>
      <c r="U2" s="293"/>
      <c r="V2" s="293"/>
    </row>
    <row r="3" ht="22.5" customHeight="1">
      <c r="A3" s="294" t="s">
        <v>37</v>
      </c>
      <c r="B3" s="292" t="s">
        <v>1248</v>
      </c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293"/>
      <c r="S3" s="293"/>
      <c r="T3" s="293"/>
      <c r="U3" s="293"/>
      <c r="V3" s="293"/>
    </row>
    <row r="4" ht="22.5" customHeight="1">
      <c r="A4" s="256" t="s">
        <v>44</v>
      </c>
      <c r="B4" s="268" t="s">
        <v>1045</v>
      </c>
    </row>
    <row r="5" ht="22.5" customHeight="1">
      <c r="A5" s="291" t="s">
        <v>23</v>
      </c>
      <c r="B5" s="292" t="s">
        <v>1248</v>
      </c>
      <c r="C5" s="293"/>
      <c r="D5" s="293"/>
      <c r="E5" s="293"/>
      <c r="F5" s="293"/>
      <c r="G5" s="293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293"/>
      <c r="S5" s="293"/>
      <c r="T5" s="293"/>
      <c r="U5" s="293"/>
      <c r="V5" s="293"/>
    </row>
    <row r="6" ht="22.5" customHeight="1">
      <c r="A6" s="294" t="s">
        <v>51</v>
      </c>
      <c r="B6" s="292" t="s">
        <v>1248</v>
      </c>
      <c r="C6" s="293"/>
      <c r="D6" s="293"/>
      <c r="E6" s="293"/>
      <c r="F6" s="293"/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293"/>
      <c r="S6" s="293"/>
      <c r="T6" s="293"/>
      <c r="U6" s="293"/>
      <c r="V6" s="293"/>
    </row>
    <row r="7" ht="22.5" customHeight="1">
      <c r="A7" s="291" t="s">
        <v>81</v>
      </c>
      <c r="B7" s="292" t="s">
        <v>1248</v>
      </c>
      <c r="C7" s="293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3"/>
      <c r="P7" s="293"/>
      <c r="Q7" s="293"/>
      <c r="R7" s="293"/>
      <c r="S7" s="293"/>
      <c r="T7" s="293"/>
      <c r="U7" s="293"/>
      <c r="V7" s="293"/>
    </row>
    <row r="8" ht="22.5" customHeight="1">
      <c r="A8" s="256" t="s">
        <v>94</v>
      </c>
      <c r="B8" s="268" t="s">
        <v>1249</v>
      </c>
    </row>
    <row r="9" ht="22.5" customHeight="1">
      <c r="A9" s="292" t="s">
        <v>69</v>
      </c>
      <c r="B9" s="292" t="s">
        <v>1248</v>
      </c>
      <c r="C9" s="29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3"/>
      <c r="P9" s="293"/>
      <c r="Q9" s="293"/>
      <c r="R9" s="293"/>
      <c r="S9" s="293"/>
      <c r="T9" s="293"/>
      <c r="U9" s="293"/>
      <c r="V9" s="293"/>
    </row>
    <row r="10" ht="22.5" customHeight="1">
      <c r="A10" s="292" t="s">
        <v>63</v>
      </c>
      <c r="B10" s="292" t="s">
        <v>1248</v>
      </c>
      <c r="C10" s="293"/>
      <c r="D10" s="293"/>
      <c r="E10" s="293"/>
      <c r="F10" s="293"/>
      <c r="G10" s="293"/>
      <c r="H10" s="293"/>
      <c r="I10" s="293"/>
      <c r="J10" s="293"/>
      <c r="K10" s="293"/>
      <c r="L10" s="293"/>
      <c r="M10" s="293"/>
      <c r="N10" s="293"/>
      <c r="O10" s="293"/>
      <c r="P10" s="293"/>
      <c r="Q10" s="293"/>
      <c r="R10" s="293"/>
      <c r="S10" s="293"/>
      <c r="T10" s="293"/>
      <c r="U10" s="293"/>
      <c r="V10" s="293"/>
    </row>
    <row r="11" ht="22.5" customHeight="1">
      <c r="A11" s="264" t="s">
        <v>75</v>
      </c>
      <c r="B11" s="268" t="s">
        <v>1250</v>
      </c>
    </row>
    <row r="12" ht="22.5" customHeight="1">
      <c r="A12" s="264" t="s">
        <v>106</v>
      </c>
      <c r="B12" s="268" t="s">
        <v>1251</v>
      </c>
    </row>
    <row r="13" ht="22.5" customHeight="1">
      <c r="A13" s="292" t="s">
        <v>88</v>
      </c>
      <c r="B13" s="292" t="s">
        <v>1248</v>
      </c>
      <c r="C13" s="293"/>
      <c r="D13" s="293"/>
      <c r="E13" s="293"/>
      <c r="F13" s="293"/>
      <c r="G13" s="293"/>
      <c r="H13" s="293"/>
      <c r="I13" s="293"/>
      <c r="J13" s="293"/>
      <c r="K13" s="293"/>
      <c r="L13" s="293"/>
      <c r="M13" s="293"/>
      <c r="N13" s="293"/>
      <c r="O13" s="293"/>
      <c r="P13" s="293"/>
      <c r="Q13" s="293"/>
      <c r="R13" s="293"/>
      <c r="S13" s="293"/>
      <c r="T13" s="293"/>
      <c r="U13" s="293"/>
      <c r="V13" s="293"/>
    </row>
    <row r="14" ht="22.5" customHeight="1">
      <c r="A14" s="291" t="s">
        <v>100</v>
      </c>
      <c r="B14" s="292" t="s">
        <v>1248</v>
      </c>
      <c r="C14" s="293"/>
      <c r="D14" s="293"/>
      <c r="E14" s="293"/>
      <c r="F14" s="293"/>
      <c r="G14" s="293"/>
      <c r="H14" s="293"/>
      <c r="I14" s="293"/>
      <c r="J14" s="293"/>
      <c r="K14" s="293"/>
      <c r="L14" s="293"/>
      <c r="M14" s="293"/>
      <c r="N14" s="293"/>
      <c r="O14" s="293"/>
      <c r="P14" s="293"/>
      <c r="Q14" s="293"/>
      <c r="R14" s="293"/>
      <c r="S14" s="293"/>
      <c r="T14" s="293"/>
      <c r="U14" s="293"/>
      <c r="V14" s="293"/>
    </row>
    <row r="15" ht="22.5" customHeight="1">
      <c r="A15" s="291" t="s">
        <v>57</v>
      </c>
      <c r="B15" s="292" t="s">
        <v>1248</v>
      </c>
      <c r="C15" s="293"/>
      <c r="D15" s="293"/>
      <c r="E15" s="293"/>
      <c r="F15" s="293"/>
      <c r="G15" s="293"/>
      <c r="H15" s="293"/>
      <c r="I15" s="293"/>
      <c r="J15" s="293"/>
      <c r="K15" s="293"/>
      <c r="L15" s="293"/>
      <c r="M15" s="293"/>
      <c r="N15" s="293"/>
      <c r="O15" s="293"/>
      <c r="P15" s="293"/>
      <c r="Q15" s="293"/>
      <c r="R15" s="293"/>
      <c r="S15" s="293"/>
      <c r="T15" s="293"/>
      <c r="U15" s="293"/>
      <c r="V15" s="293"/>
    </row>
    <row r="16" ht="22.5" customHeight="1">
      <c r="A16" s="291" t="s">
        <v>118</v>
      </c>
      <c r="B16" s="292" t="s">
        <v>1248</v>
      </c>
      <c r="C16" s="293"/>
      <c r="D16" s="293"/>
      <c r="E16" s="293"/>
      <c r="F16" s="293"/>
      <c r="G16" s="293"/>
      <c r="H16" s="293"/>
      <c r="I16" s="293"/>
      <c r="J16" s="293"/>
      <c r="K16" s="293"/>
      <c r="L16" s="293"/>
      <c r="M16" s="293"/>
      <c r="N16" s="293"/>
      <c r="O16" s="293"/>
      <c r="P16" s="293"/>
      <c r="Q16" s="293"/>
      <c r="R16" s="293"/>
      <c r="S16" s="293"/>
      <c r="T16" s="293"/>
      <c r="U16" s="293"/>
      <c r="V16" s="293"/>
    </row>
    <row r="17" ht="22.5" customHeight="1">
      <c r="A17" s="264" t="s">
        <v>125</v>
      </c>
      <c r="B17" s="268" t="s">
        <v>1252</v>
      </c>
    </row>
    <row r="18" ht="22.5" customHeight="1">
      <c r="A18" s="256" t="s">
        <v>153</v>
      </c>
      <c r="B18" s="268" t="s">
        <v>1253</v>
      </c>
    </row>
    <row r="19" ht="22.5" customHeight="1">
      <c r="A19" s="264" t="s">
        <v>246</v>
      </c>
      <c r="B19" s="292" t="s">
        <v>1248</v>
      </c>
    </row>
    <row r="20" ht="22.5" customHeight="1">
      <c r="A20" s="264" t="s">
        <v>130</v>
      </c>
      <c r="B20" s="268" t="s">
        <v>1254</v>
      </c>
    </row>
    <row r="21" ht="22.5" customHeight="1">
      <c r="A21" s="268" t="s">
        <v>112</v>
      </c>
      <c r="B21" s="268" t="s">
        <v>1255</v>
      </c>
    </row>
    <row r="22" ht="22.5" customHeight="1">
      <c r="A22" s="264" t="s">
        <v>165</v>
      </c>
      <c r="B22" s="268" t="s">
        <v>1256</v>
      </c>
    </row>
    <row r="23" ht="22.5" customHeight="1">
      <c r="A23" s="256" t="s">
        <v>171</v>
      </c>
      <c r="B23" s="268" t="s">
        <v>1257</v>
      </c>
    </row>
    <row r="24" ht="22.5" customHeight="1">
      <c r="A24" s="256" t="s">
        <v>206</v>
      </c>
      <c r="B24" s="268" t="s">
        <v>1258</v>
      </c>
    </row>
    <row r="25" ht="22.5" customHeight="1">
      <c r="A25" s="256" t="s">
        <v>147</v>
      </c>
      <c r="B25" s="268" t="s">
        <v>1259</v>
      </c>
    </row>
    <row r="26" ht="22.5" customHeight="1">
      <c r="A26" s="264" t="s">
        <v>141</v>
      </c>
      <c r="B26" s="268" t="s">
        <v>1260</v>
      </c>
    </row>
    <row r="27" ht="22.5" customHeight="1">
      <c r="A27" s="291" t="s">
        <v>182</v>
      </c>
      <c r="B27" s="292" t="s">
        <v>1248</v>
      </c>
      <c r="C27" s="293"/>
      <c r="D27" s="293"/>
      <c r="E27" s="293"/>
      <c r="F27" s="293"/>
      <c r="G27" s="293"/>
      <c r="H27" s="293"/>
      <c r="I27" s="293"/>
      <c r="J27" s="293"/>
      <c r="K27" s="293"/>
      <c r="L27" s="293"/>
      <c r="M27" s="293"/>
      <c r="N27" s="293"/>
      <c r="O27" s="293"/>
      <c r="P27" s="293"/>
      <c r="Q27" s="293"/>
      <c r="R27" s="293"/>
      <c r="S27" s="293"/>
      <c r="T27" s="293"/>
      <c r="U27" s="293"/>
      <c r="V27" s="293"/>
    </row>
    <row r="28" ht="22.5" customHeight="1">
      <c r="A28" s="256" t="s">
        <v>258</v>
      </c>
      <c r="B28" s="268" t="s">
        <v>1261</v>
      </c>
    </row>
    <row r="29" ht="22.5" customHeight="1">
      <c r="A29" s="264" t="s">
        <v>159</v>
      </c>
      <c r="B29" s="292" t="s">
        <v>1248</v>
      </c>
    </row>
    <row r="30" ht="22.5" customHeight="1">
      <c r="A30" s="264" t="s">
        <v>323</v>
      </c>
      <c r="B30" s="268" t="s">
        <v>1262</v>
      </c>
    </row>
    <row r="31" ht="22.5" customHeight="1">
      <c r="A31" s="264" t="s">
        <v>264</v>
      </c>
      <c r="B31" s="268" t="s">
        <v>1263</v>
      </c>
    </row>
    <row r="32" ht="22.5" customHeight="1">
      <c r="A32" s="256" t="s">
        <v>218</v>
      </c>
      <c r="B32" s="268" t="s">
        <v>1264</v>
      </c>
    </row>
    <row r="33" ht="22.5" customHeight="1">
      <c r="A33" s="264" t="s">
        <v>135</v>
      </c>
      <c r="B33" s="268" t="s">
        <v>1265</v>
      </c>
    </row>
    <row r="34" ht="22.5" customHeight="1">
      <c r="A34" s="294" t="s">
        <v>188</v>
      </c>
      <c r="B34" s="292" t="s">
        <v>1248</v>
      </c>
      <c r="C34" s="293"/>
      <c r="D34" s="293"/>
      <c r="E34" s="293"/>
      <c r="F34" s="293"/>
      <c r="G34" s="293"/>
      <c r="H34" s="293"/>
      <c r="I34" s="293"/>
      <c r="J34" s="293"/>
      <c r="K34" s="293"/>
      <c r="L34" s="293"/>
      <c r="M34" s="293"/>
      <c r="N34" s="293"/>
      <c r="O34" s="293"/>
      <c r="P34" s="293"/>
      <c r="Q34" s="293"/>
      <c r="R34" s="293"/>
      <c r="S34" s="293"/>
      <c r="T34" s="293"/>
      <c r="U34" s="293"/>
      <c r="V34" s="293"/>
    </row>
    <row r="35" ht="22.5" customHeight="1">
      <c r="A35" s="256" t="s">
        <v>177</v>
      </c>
      <c r="B35" s="268" t="s">
        <v>1266</v>
      </c>
    </row>
    <row r="36" ht="22.5" customHeight="1">
      <c r="A36" s="256" t="s">
        <v>305</v>
      </c>
      <c r="B36" s="268" t="s">
        <v>1267</v>
      </c>
    </row>
    <row r="37" ht="22.5" customHeight="1">
      <c r="A37" s="291" t="s">
        <v>212</v>
      </c>
      <c r="B37" s="292" t="s">
        <v>1248</v>
      </c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293"/>
      <c r="V37" s="293"/>
    </row>
    <row r="38" ht="22.5" customHeight="1">
      <c r="A38" s="292" t="s">
        <v>1268</v>
      </c>
      <c r="B38" s="292" t="s">
        <v>1248</v>
      </c>
    </row>
    <row r="39" ht="22.5" customHeight="1">
      <c r="A39" s="256" t="s">
        <v>229</v>
      </c>
      <c r="B39" s="268" t="s">
        <v>1269</v>
      </c>
    </row>
    <row r="40" ht="22.5" customHeight="1">
      <c r="A40" s="264" t="s">
        <v>252</v>
      </c>
      <c r="B40" s="268" t="s">
        <v>1270</v>
      </c>
    </row>
    <row r="41" ht="22.5" customHeight="1">
      <c r="A41" s="264" t="s">
        <v>276</v>
      </c>
      <c r="B41" s="268" t="s">
        <v>1250</v>
      </c>
    </row>
    <row r="42" ht="22.5" customHeight="1">
      <c r="A42" s="292" t="s">
        <v>200</v>
      </c>
      <c r="B42" s="292" t="s">
        <v>1248</v>
      </c>
    </row>
    <row r="43" ht="22.5" customHeight="1">
      <c r="A43" s="291" t="s">
        <v>270</v>
      </c>
      <c r="B43" s="292" t="s">
        <v>1248</v>
      </c>
    </row>
    <row r="44" ht="22.5" customHeight="1">
      <c r="A44" s="256" t="s">
        <v>311</v>
      </c>
      <c r="B44" s="268" t="s">
        <v>1271</v>
      </c>
    </row>
    <row r="45" ht="22.5" customHeight="1">
      <c r="A45" s="256" t="s">
        <v>223</v>
      </c>
      <c r="B45" s="268" t="s">
        <v>1272</v>
      </c>
    </row>
    <row r="46" ht="22.5" customHeight="1">
      <c r="A46" s="264" t="s">
        <v>299</v>
      </c>
      <c r="B46" s="295"/>
    </row>
    <row r="47" ht="22.5" customHeight="1">
      <c r="A47" s="268" t="s">
        <v>287</v>
      </c>
      <c r="B47" s="268" t="s">
        <v>1273</v>
      </c>
    </row>
    <row r="48" ht="22.5" customHeight="1">
      <c r="A48" s="256" t="s">
        <v>335</v>
      </c>
      <c r="B48" s="268" t="s">
        <v>1274</v>
      </c>
    </row>
    <row r="49" ht="22.5" customHeight="1">
      <c r="A49" s="256" t="s">
        <v>241</v>
      </c>
      <c r="B49" s="268" t="s">
        <v>1275</v>
      </c>
    </row>
    <row r="50" ht="22.5" customHeight="1">
      <c r="A50" s="268" t="s">
        <v>235</v>
      </c>
      <c r="B50" s="268" t="s">
        <v>1276</v>
      </c>
    </row>
    <row r="51" ht="22.5" customHeight="1">
      <c r="A51" s="268" t="s">
        <v>293</v>
      </c>
      <c r="B51" s="268" t="s">
        <v>1277</v>
      </c>
    </row>
    <row r="52" ht="22.5" customHeight="1">
      <c r="A52" s="256" t="s">
        <v>437</v>
      </c>
      <c r="B52" s="268" t="s">
        <v>1278</v>
      </c>
    </row>
    <row r="53" ht="22.5" customHeight="1">
      <c r="A53" s="264" t="s">
        <v>515</v>
      </c>
      <c r="B53" s="268" t="s">
        <v>1279</v>
      </c>
    </row>
    <row r="54" ht="22.5" customHeight="1">
      <c r="A54" s="264" t="s">
        <v>377</v>
      </c>
      <c r="B54" s="268" t="s">
        <v>1280</v>
      </c>
    </row>
    <row r="55" ht="22.5" customHeight="1">
      <c r="A55" s="256" t="s">
        <v>281</v>
      </c>
      <c r="B55" s="268" t="s">
        <v>1281</v>
      </c>
    </row>
    <row r="56" ht="22.5" customHeight="1">
      <c r="A56" s="264" t="s">
        <v>353</v>
      </c>
      <c r="B56" s="295"/>
    </row>
    <row r="57" ht="22.5" customHeight="1">
      <c r="A57" s="256" t="s">
        <v>347</v>
      </c>
      <c r="B57" s="268" t="s">
        <v>1282</v>
      </c>
    </row>
    <row r="58" ht="22.5" customHeight="1">
      <c r="A58" s="272" t="s">
        <v>400</v>
      </c>
      <c r="B58" s="268" t="s">
        <v>1283</v>
      </c>
    </row>
    <row r="59" ht="22.5" customHeight="1">
      <c r="A59" s="264" t="s">
        <v>479</v>
      </c>
      <c r="B59" s="268" t="s">
        <v>1282</v>
      </c>
    </row>
    <row r="60" ht="22.5" customHeight="1">
      <c r="A60" s="264" t="s">
        <v>329</v>
      </c>
      <c r="B60" s="268" t="s">
        <v>1284</v>
      </c>
    </row>
    <row r="61" ht="22.5" customHeight="1">
      <c r="A61" s="256" t="s">
        <v>371</v>
      </c>
      <c r="B61" s="268" t="s">
        <v>1285</v>
      </c>
    </row>
    <row r="62" ht="22.5" customHeight="1">
      <c r="A62" s="256" t="s">
        <v>383</v>
      </c>
      <c r="B62" s="268" t="s">
        <v>1286</v>
      </c>
    </row>
    <row r="63" ht="22.5" customHeight="1">
      <c r="A63" s="268" t="s">
        <v>365</v>
      </c>
      <c r="B63" s="268" t="s">
        <v>1287</v>
      </c>
    </row>
    <row r="64" ht="22.5" customHeight="1">
      <c r="A64" s="268" t="s">
        <v>1288</v>
      </c>
      <c r="B64" s="268" t="s">
        <v>1272</v>
      </c>
    </row>
    <row r="65" ht="22.5" customHeight="1">
      <c r="A65" s="256" t="s">
        <v>431</v>
      </c>
      <c r="B65" s="268" t="s">
        <v>1279</v>
      </c>
    </row>
    <row r="66" ht="22.5" customHeight="1">
      <c r="A66" s="256" t="s">
        <v>455</v>
      </c>
      <c r="B66" s="268" t="s">
        <v>1289</v>
      </c>
    </row>
    <row r="67" ht="22.5" customHeight="1">
      <c r="A67" s="264" t="s">
        <v>497</v>
      </c>
      <c r="B67" s="268" t="s">
        <v>1290</v>
      </c>
    </row>
    <row r="68" ht="22.5" customHeight="1">
      <c r="A68" s="256" t="s">
        <v>425</v>
      </c>
      <c r="B68" s="268" t="s">
        <v>1291</v>
      </c>
    </row>
    <row r="69" ht="22.5" customHeight="1">
      <c r="A69" s="264" t="s">
        <v>1292</v>
      </c>
      <c r="B69" s="268" t="s">
        <v>1293</v>
      </c>
    </row>
    <row r="70" ht="22.5" customHeight="1">
      <c r="A70" s="268" t="s">
        <v>389</v>
      </c>
      <c r="B70" s="268" t="s">
        <v>1294</v>
      </c>
    </row>
    <row r="71" ht="22.5" customHeight="1">
      <c r="A71" s="256" t="s">
        <v>419</v>
      </c>
      <c r="B71" s="295"/>
    </row>
    <row r="72" ht="22.5" customHeight="1">
      <c r="A72" s="256" t="s">
        <v>520</v>
      </c>
      <c r="B72" s="268" t="s">
        <v>1295</v>
      </c>
    </row>
    <row r="73" ht="22.5" customHeight="1">
      <c r="A73" s="256" t="s">
        <v>449</v>
      </c>
      <c r="B73" s="268" t="s">
        <v>1296</v>
      </c>
    </row>
    <row r="74" ht="22.5" customHeight="1">
      <c r="A74" s="264" t="s">
        <v>491</v>
      </c>
      <c r="B74" s="268" t="s">
        <v>1297</v>
      </c>
    </row>
    <row r="75" ht="22.5" customHeight="1">
      <c r="A75" s="256" t="s">
        <v>407</v>
      </c>
      <c r="B75" s="268" t="s">
        <v>1298</v>
      </c>
    </row>
    <row r="76" ht="22.5" customHeight="1">
      <c r="A76" s="256" t="s">
        <v>503</v>
      </c>
      <c r="B76" s="268" t="s">
        <v>1299</v>
      </c>
    </row>
    <row r="77" ht="22.5" customHeight="1">
      <c r="A77" s="256" t="s">
        <v>537</v>
      </c>
      <c r="B77" s="268" t="s">
        <v>1300</v>
      </c>
    </row>
    <row r="78" ht="22.5" customHeight="1">
      <c r="A78" s="256" t="s">
        <v>461</v>
      </c>
      <c r="B78" s="268" t="s">
        <v>1289</v>
      </c>
    </row>
    <row r="79" ht="22.5" customHeight="1">
      <c r="A79" s="256" t="s">
        <v>509</v>
      </c>
      <c r="B79" s="268" t="s">
        <v>1301</v>
      </c>
    </row>
    <row r="80" ht="22.5" customHeight="1">
      <c r="A80" s="256" t="s">
        <v>359</v>
      </c>
      <c r="B80" s="268" t="s">
        <v>1272</v>
      </c>
    </row>
    <row r="81" ht="22.5" customHeight="1">
      <c r="A81" s="256" t="s">
        <v>585</v>
      </c>
      <c r="B81" s="268" t="s">
        <v>1253</v>
      </c>
    </row>
    <row r="82" ht="22.5" customHeight="1">
      <c r="A82" s="256" t="s">
        <v>609</v>
      </c>
      <c r="B82" s="268" t="s">
        <v>1302</v>
      </c>
    </row>
    <row r="83" ht="22.5" customHeight="1">
      <c r="A83" s="256" t="s">
        <v>567</v>
      </c>
      <c r="B83" s="268" t="s">
        <v>1303</v>
      </c>
    </row>
    <row r="84" ht="22.5" customHeight="1">
      <c r="A84" s="264" t="s">
        <v>632</v>
      </c>
      <c r="B84" s="268" t="s">
        <v>1304</v>
      </c>
    </row>
    <row r="85" ht="22.5" customHeight="1">
      <c r="A85" s="256" t="s">
        <v>573</v>
      </c>
      <c r="B85" s="268" t="s">
        <v>1260</v>
      </c>
    </row>
    <row r="86" ht="22.5" customHeight="1">
      <c r="A86" s="268" t="s">
        <v>443</v>
      </c>
      <c r="B86" s="268" t="s">
        <v>1305</v>
      </c>
    </row>
    <row r="87" ht="22.5" customHeight="1">
      <c r="A87" s="256" t="s">
        <v>626</v>
      </c>
      <c r="B87" s="268" t="s">
        <v>1306</v>
      </c>
    </row>
    <row r="88" ht="22.5" customHeight="1">
      <c r="A88" s="256" t="s">
        <v>579</v>
      </c>
      <c r="B88" s="268" t="s">
        <v>1307</v>
      </c>
    </row>
    <row r="89" ht="22.5" customHeight="1">
      <c r="A89" s="256" t="s">
        <v>621</v>
      </c>
      <c r="B89" s="268" t="s">
        <v>1308</v>
      </c>
    </row>
    <row r="90" ht="22.5" customHeight="1">
      <c r="A90" s="256" t="s">
        <v>473</v>
      </c>
      <c r="B90" s="268" t="s">
        <v>1309</v>
      </c>
    </row>
    <row r="91" ht="22.5" customHeight="1">
      <c r="A91" s="264" t="s">
        <v>467</v>
      </c>
      <c r="B91" s="268" t="s">
        <v>1310</v>
      </c>
    </row>
    <row r="92" ht="22.5" customHeight="1">
      <c r="A92" s="256" t="s">
        <v>543</v>
      </c>
      <c r="B92" s="268" t="s">
        <v>1291</v>
      </c>
    </row>
    <row r="93" ht="22.5" customHeight="1">
      <c r="A93" s="256" t="s">
        <v>597</v>
      </c>
      <c r="B93" s="268" t="s">
        <v>1311</v>
      </c>
    </row>
    <row r="94" ht="22.5" customHeight="1">
      <c r="A94" s="256" t="s">
        <v>591</v>
      </c>
      <c r="B94" s="268" t="s">
        <v>1312</v>
      </c>
    </row>
    <row r="95" ht="22.5" customHeight="1">
      <c r="A95" s="256" t="s">
        <v>643</v>
      </c>
      <c r="B95" s="268" t="s">
        <v>1313</v>
      </c>
    </row>
    <row r="96" ht="22.5" customHeight="1">
      <c r="A96" s="256" t="s">
        <v>531</v>
      </c>
      <c r="B96" s="268" t="s">
        <v>1314</v>
      </c>
    </row>
    <row r="97" ht="22.5" customHeight="1">
      <c r="A97" s="264" t="s">
        <v>666</v>
      </c>
      <c r="B97" s="268" t="s">
        <v>1315</v>
      </c>
    </row>
    <row r="98" ht="22.5" customHeight="1">
      <c r="A98" s="264" t="s">
        <v>395</v>
      </c>
      <c r="B98" s="268" t="s">
        <v>1316</v>
      </c>
    </row>
    <row r="99" ht="22.5" customHeight="1">
      <c r="A99" s="264" t="s">
        <v>603</v>
      </c>
      <c r="B99" s="268" t="s">
        <v>1317</v>
      </c>
    </row>
    <row r="100" ht="22.5" customHeight="1">
      <c r="A100" s="268" t="s">
        <v>413</v>
      </c>
      <c r="B100" s="268" t="s">
        <v>1318</v>
      </c>
    </row>
    <row r="101" ht="22.5" customHeight="1">
      <c r="A101" s="256" t="s">
        <v>678</v>
      </c>
      <c r="B101" s="268" t="s">
        <v>1319</v>
      </c>
    </row>
    <row r="102" ht="22.5" customHeight="1">
      <c r="A102" s="264" t="s">
        <v>638</v>
      </c>
      <c r="B102" s="268" t="s">
        <v>1320</v>
      </c>
    </row>
    <row r="103" ht="22.5" customHeight="1">
      <c r="A103" s="256" t="s">
        <v>485</v>
      </c>
      <c r="B103" s="268" t="s">
        <v>1321</v>
      </c>
    </row>
    <row r="104" ht="22.5" customHeight="1">
      <c r="A104" s="264" t="s">
        <v>672</v>
      </c>
      <c r="B104" s="268" t="s">
        <v>1322</v>
      </c>
    </row>
    <row r="105" ht="22.5" customHeight="1">
      <c r="A105" s="256" t="s">
        <v>696</v>
      </c>
      <c r="B105" s="268" t="s">
        <v>1323</v>
      </c>
    </row>
    <row r="106" ht="22.5" customHeight="1">
      <c r="A106" s="268" t="s">
        <v>655</v>
      </c>
      <c r="B106" s="268" t="s">
        <v>1324</v>
      </c>
    </row>
    <row r="107" ht="22.5" customHeight="1">
      <c r="A107" s="264" t="s">
        <v>555</v>
      </c>
      <c r="B107" s="268" t="s">
        <v>1325</v>
      </c>
    </row>
    <row r="108" ht="22.5" customHeight="1">
      <c r="A108" s="268" t="s">
        <v>561</v>
      </c>
      <c r="B108" s="268" t="s">
        <v>1326</v>
      </c>
    </row>
    <row r="109" ht="22.5" customHeight="1">
      <c r="A109" s="264" t="s">
        <v>549</v>
      </c>
      <c r="B109" s="295"/>
    </row>
    <row r="110" ht="22.5" customHeight="1">
      <c r="A110" s="256" t="s">
        <v>690</v>
      </c>
      <c r="B110" s="295"/>
    </row>
    <row r="111" ht="22.5" customHeight="1">
      <c r="A111" s="256" t="s">
        <v>732</v>
      </c>
      <c r="B111" s="295"/>
    </row>
    <row r="112" ht="22.5" customHeight="1">
      <c r="A112" s="256" t="s">
        <v>684</v>
      </c>
      <c r="B112" s="295"/>
    </row>
    <row r="113" ht="22.5" customHeight="1">
      <c r="A113" s="264" t="s">
        <v>615</v>
      </c>
      <c r="B113" s="295"/>
    </row>
    <row r="114" ht="22.5" customHeight="1">
      <c r="A114" s="264" t="s">
        <v>1327</v>
      </c>
      <c r="B114" s="295"/>
    </row>
    <row r="115" ht="22.5" customHeight="1">
      <c r="A115" s="256" t="s">
        <v>750</v>
      </c>
      <c r="B115" s="295"/>
    </row>
    <row r="116" ht="22.5" customHeight="1">
      <c r="A116" s="256" t="s">
        <v>649</v>
      </c>
      <c r="B116" s="295"/>
    </row>
    <row r="117" ht="22.5" customHeight="1">
      <c r="A117" s="264" t="s">
        <v>774</v>
      </c>
      <c r="B117" s="295"/>
    </row>
    <row r="118" ht="22.5" customHeight="1">
      <c r="A118" s="256" t="s">
        <v>708</v>
      </c>
      <c r="B118" s="295"/>
    </row>
    <row r="119" ht="22.5" customHeight="1">
      <c r="A119" s="256" t="s">
        <v>762</v>
      </c>
      <c r="B119" s="295"/>
    </row>
    <row r="120" ht="22.5" customHeight="1">
      <c r="A120" s="264" t="s">
        <v>768</v>
      </c>
      <c r="B120" s="295"/>
    </row>
    <row r="121" ht="22.5" customHeight="1">
      <c r="A121" s="256" t="s">
        <v>826</v>
      </c>
      <c r="B121" s="295"/>
    </row>
    <row r="122" ht="22.5" customHeight="1">
      <c r="A122" s="256" t="s">
        <v>791</v>
      </c>
      <c r="B122" s="295"/>
    </row>
    <row r="123" ht="22.5" customHeight="1">
      <c r="A123" s="256" t="s">
        <v>832</v>
      </c>
      <c r="B123" s="295"/>
    </row>
    <row r="124" ht="22.5" customHeight="1">
      <c r="A124" s="256" t="s">
        <v>660</v>
      </c>
      <c r="B124" s="295"/>
    </row>
    <row r="125" ht="22.5" customHeight="1">
      <c r="A125" s="256" t="s">
        <v>720</v>
      </c>
      <c r="B125" s="295"/>
    </row>
    <row r="126" ht="22.5" customHeight="1">
      <c r="A126" s="256" t="s">
        <v>738</v>
      </c>
      <c r="B126" s="295"/>
    </row>
    <row r="127" ht="22.5" customHeight="1">
      <c r="A127" s="256" t="s">
        <v>797</v>
      </c>
      <c r="B127" s="295"/>
    </row>
    <row r="128" ht="22.5" customHeight="1">
      <c r="A128" s="264" t="s">
        <v>714</v>
      </c>
      <c r="B128" s="295"/>
    </row>
    <row r="129" ht="22.5" customHeight="1">
      <c r="A129" s="256" t="s">
        <v>702</v>
      </c>
      <c r="B129" s="295"/>
    </row>
    <row r="130" ht="22.5" customHeight="1">
      <c r="A130" s="264" t="s">
        <v>808</v>
      </c>
      <c r="B130" s="295"/>
    </row>
    <row r="131" ht="22.5" customHeight="1">
      <c r="A131" s="264" t="s">
        <v>726</v>
      </c>
      <c r="B131" s="295"/>
    </row>
    <row r="132" ht="22.5" customHeight="1">
      <c r="A132" s="256" t="s">
        <v>786</v>
      </c>
      <c r="B132" s="295"/>
    </row>
    <row r="133" ht="22.5" customHeight="1">
      <c r="A133" s="256" t="s">
        <v>803</v>
      </c>
      <c r="B133" s="295"/>
    </row>
    <row r="134" ht="22.5" customHeight="1">
      <c r="A134" s="264" t="s">
        <v>844</v>
      </c>
      <c r="B134" s="295"/>
    </row>
    <row r="135" ht="22.5" customHeight="1">
      <c r="A135" s="256" t="s">
        <v>780</v>
      </c>
      <c r="B135" s="295"/>
    </row>
    <row r="136" ht="22.5" customHeight="1">
      <c r="A136" s="256" t="s">
        <v>856</v>
      </c>
      <c r="B136" s="295"/>
    </row>
    <row r="137" ht="22.5" customHeight="1">
      <c r="A137" s="256" t="s">
        <v>862</v>
      </c>
      <c r="B137" s="295"/>
    </row>
    <row r="138" ht="22.5" customHeight="1">
      <c r="A138" s="256" t="s">
        <v>897</v>
      </c>
      <c r="B138" s="295"/>
    </row>
    <row r="139" ht="22.5" customHeight="1">
      <c r="A139" s="256" t="s">
        <v>879</v>
      </c>
      <c r="B139" s="295"/>
    </row>
    <row r="140" ht="22.5" customHeight="1">
      <c r="A140" s="256" t="s">
        <v>756</v>
      </c>
      <c r="B140" s="295"/>
    </row>
    <row r="141" ht="22.5" customHeight="1">
      <c r="A141" s="264" t="s">
        <v>838</v>
      </c>
      <c r="B141" s="295"/>
    </row>
    <row r="142" ht="22.5" customHeight="1">
      <c r="A142" s="296" t="s">
        <v>868</v>
      </c>
      <c r="B142" s="295"/>
    </row>
    <row r="143" ht="22.5" customHeight="1">
      <c r="A143" s="272" t="s">
        <v>744</v>
      </c>
      <c r="B143" s="295"/>
    </row>
    <row r="144" ht="22.5" customHeight="1">
      <c r="A144" s="256" t="s">
        <v>850</v>
      </c>
      <c r="B144" s="295"/>
    </row>
    <row r="145" ht="22.5" customHeight="1">
      <c r="A145" s="256" t="s">
        <v>820</v>
      </c>
      <c r="B145" s="295"/>
    </row>
    <row r="146" ht="22.5" customHeight="1">
      <c r="A146" s="256" t="s">
        <v>926</v>
      </c>
      <c r="B146" s="295"/>
    </row>
    <row r="147" ht="22.5" customHeight="1">
      <c r="A147" s="264" t="s">
        <v>891</v>
      </c>
      <c r="B147" s="295"/>
    </row>
    <row r="148" ht="22.5" customHeight="1">
      <c r="A148" s="264" t="s">
        <v>814</v>
      </c>
      <c r="B148" s="295"/>
    </row>
    <row r="149" ht="22.5" customHeight="1">
      <c r="A149" s="256" t="s">
        <v>885</v>
      </c>
      <c r="B149" s="295"/>
    </row>
    <row r="150" ht="22.5" customHeight="1">
      <c r="A150" s="264" t="s">
        <v>903</v>
      </c>
      <c r="B150" s="295"/>
    </row>
    <row r="151" ht="22.5" customHeight="1">
      <c r="A151" s="264" t="s">
        <v>908</v>
      </c>
      <c r="B151" s="295"/>
    </row>
    <row r="152" ht="22.5" customHeight="1">
      <c r="A152" s="264" t="s">
        <v>874</v>
      </c>
      <c r="B152" s="295"/>
    </row>
    <row r="153" ht="22.5" customHeight="1">
      <c r="A153" s="264" t="s">
        <v>938</v>
      </c>
      <c r="B153" s="295"/>
    </row>
    <row r="154" ht="22.5" customHeight="1">
      <c r="A154" s="264" t="s">
        <v>920</v>
      </c>
      <c r="B154" s="295"/>
    </row>
    <row r="155" ht="22.5" customHeight="1">
      <c r="A155" s="264" t="s">
        <v>932</v>
      </c>
      <c r="B155" s="295"/>
    </row>
    <row r="156" ht="22.5" customHeight="1">
      <c r="A156" s="264" t="s">
        <v>914</v>
      </c>
      <c r="B156" s="295"/>
    </row>
    <row r="157" ht="22.5" customHeight="1">
      <c r="A157" s="264" t="s">
        <v>962</v>
      </c>
      <c r="B157" s="295"/>
    </row>
    <row r="158" ht="22.5" customHeight="1">
      <c r="A158" s="256" t="s">
        <v>950</v>
      </c>
      <c r="B158" s="295"/>
    </row>
    <row r="159" ht="22.5" customHeight="1">
      <c r="A159" s="256" t="s">
        <v>944</v>
      </c>
      <c r="B159" s="295"/>
    </row>
    <row r="160" ht="22.5" customHeight="1">
      <c r="A160" s="264" t="s">
        <v>968</v>
      </c>
      <c r="B160" s="295"/>
    </row>
    <row r="161" ht="22.5" customHeight="1">
      <c r="A161" s="264" t="s">
        <v>956</v>
      </c>
      <c r="B161" s="295"/>
    </row>
    <row r="162" ht="22.5" customHeight="1">
      <c r="A162" s="256" t="s">
        <v>974</v>
      </c>
      <c r="B162" s="295"/>
    </row>
    <row r="163" ht="22.5" customHeight="1">
      <c r="A163" s="256" t="s">
        <v>992</v>
      </c>
      <c r="B163" s="295"/>
    </row>
    <row r="164" ht="22.5" customHeight="1">
      <c r="A164" s="256" t="s">
        <v>980</v>
      </c>
      <c r="B164" s="295"/>
    </row>
    <row r="165" ht="22.5" customHeight="1">
      <c r="A165" s="264" t="s">
        <v>986</v>
      </c>
      <c r="B165" s="295"/>
    </row>
    <row r="166" ht="22.5" customHeight="1">
      <c r="A166" s="264" t="s">
        <v>998</v>
      </c>
      <c r="B166" s="295"/>
    </row>
    <row r="167" ht="22.5" customHeight="1">
      <c r="A167" s="264" t="s">
        <v>1004</v>
      </c>
      <c r="B167" s="295"/>
    </row>
    <row r="168" ht="22.5" customHeight="1">
      <c r="A168" s="256" t="s">
        <v>1016</v>
      </c>
      <c r="B168" s="295"/>
    </row>
    <row r="169" ht="22.5" customHeight="1">
      <c r="A169" s="256" t="s">
        <v>1010</v>
      </c>
      <c r="B169" s="295"/>
    </row>
    <row r="170" ht="22.5" customHeight="1">
      <c r="A170" s="297" t="s">
        <v>1021</v>
      </c>
      <c r="B170" s="295"/>
    </row>
    <row r="171" ht="22.5" customHeight="1">
      <c r="A171" s="264" t="s">
        <v>1026</v>
      </c>
      <c r="B171" s="295"/>
    </row>
    <row r="172" ht="22.5" customHeight="1">
      <c r="A172" s="264" t="s">
        <v>1032</v>
      </c>
      <c r="B172" s="295"/>
    </row>
    <row r="173" ht="22.5" customHeight="1">
      <c r="A173" s="264" t="s">
        <v>1038</v>
      </c>
      <c r="B173" s="295"/>
    </row>
    <row r="174" ht="22.5" customHeight="1">
      <c r="A174" s="279" t="s">
        <v>1044</v>
      </c>
      <c r="B174" s="295"/>
    </row>
    <row r="175" ht="22.5" customHeight="1">
      <c r="A175" s="264"/>
      <c r="B175" s="295"/>
    </row>
    <row r="176" ht="22.5" customHeight="1">
      <c r="A176" s="264"/>
      <c r="B176" s="295"/>
    </row>
    <row r="177" ht="22.5" customHeight="1">
      <c r="A177" s="264"/>
      <c r="B177" s="295"/>
    </row>
    <row r="178" ht="22.5" customHeight="1">
      <c r="A178" s="264"/>
      <c r="B178" s="295"/>
    </row>
    <row r="179" ht="22.5" customHeight="1">
      <c r="A179" s="264"/>
      <c r="B179" s="295"/>
    </row>
    <row r="180" ht="22.5" customHeight="1">
      <c r="A180" s="264"/>
      <c r="B180" s="295"/>
    </row>
    <row r="181" ht="22.5" customHeight="1">
      <c r="A181" s="264"/>
      <c r="B181" s="295"/>
    </row>
    <row r="182" ht="22.5" customHeight="1">
      <c r="A182" s="264"/>
      <c r="B182" s="295"/>
    </row>
    <row r="183" ht="22.5" customHeight="1">
      <c r="A183" s="264"/>
      <c r="B183" s="295"/>
    </row>
    <row r="184" ht="22.5" customHeight="1">
      <c r="A184" s="264"/>
      <c r="B184" s="295"/>
    </row>
    <row r="185" ht="22.5" customHeight="1">
      <c r="A185" s="264"/>
      <c r="B185" s="295"/>
    </row>
  </sheetData>
  <dataValidations>
    <dataValidation allowBlank="1" showDropDown="1" sqref="A2:A185"/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3" width="20.63"/>
    <col customWidth="1" min="4" max="4" width="12.63"/>
    <col customWidth="1" min="5" max="5" width="12.88"/>
    <col customWidth="1" min="6" max="6" width="16.38"/>
    <col customWidth="1" min="7" max="7" width="12.13"/>
    <col customWidth="1" min="8" max="8" width="17.38"/>
    <col customWidth="1" min="9" max="9" width="11.75"/>
    <col customWidth="1" min="10" max="10" width="7.88"/>
    <col customWidth="1" min="11" max="11" width="12.25"/>
    <col customWidth="1" min="12" max="12" width="12.38"/>
    <col customWidth="1" min="13" max="13" width="9.5"/>
    <col customWidth="1" min="15" max="15" width="10.25"/>
    <col customWidth="1" min="16" max="16" width="10.38"/>
    <col customWidth="1" min="19" max="19" width="16.75"/>
    <col customWidth="1" min="20" max="20" width="11.38"/>
  </cols>
  <sheetData>
    <row r="1" ht="22.5" customHeight="1">
      <c r="A1" s="252" t="s">
        <v>4</v>
      </c>
      <c r="B1" s="3" t="s">
        <v>2</v>
      </c>
      <c r="C1" s="3" t="s">
        <v>3</v>
      </c>
      <c r="D1" s="1" t="s">
        <v>0</v>
      </c>
      <c r="E1" s="2" t="s">
        <v>1</v>
      </c>
      <c r="F1" s="1" t="s">
        <v>5</v>
      </c>
      <c r="G1" s="5" t="s">
        <v>6</v>
      </c>
      <c r="H1" s="1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7" t="s">
        <v>12</v>
      </c>
      <c r="N1" s="4" t="s">
        <v>13</v>
      </c>
      <c r="O1" s="4" t="s">
        <v>14</v>
      </c>
      <c r="P1" s="252" t="s">
        <v>15</v>
      </c>
      <c r="Q1" s="252" t="s">
        <v>16</v>
      </c>
      <c r="R1" s="252" t="s">
        <v>17</v>
      </c>
      <c r="S1" s="252" t="s">
        <v>1078</v>
      </c>
      <c r="T1" s="298" t="s">
        <v>22</v>
      </c>
    </row>
    <row r="2" ht="22.5" customHeight="1">
      <c r="A2" s="257" t="s">
        <v>47</v>
      </c>
      <c r="B2" s="299" t="s">
        <v>76</v>
      </c>
      <c r="C2" s="300" t="s">
        <v>77</v>
      </c>
      <c r="D2" s="256" t="s">
        <v>44</v>
      </c>
      <c r="E2" s="301">
        <f t="shared" ref="E2:E26" si="1">SUM(J2*K2)</f>
        <v>579087437.2</v>
      </c>
      <c r="F2" s="281">
        <f t="shared" ref="F2:F26" si="2">SUM(G2*E2)</f>
        <v>4595932041317</v>
      </c>
      <c r="G2" s="282">
        <v>7936.507936507936</v>
      </c>
      <c r="H2" s="259">
        <v>1.11736673849464E13</v>
      </c>
      <c r="I2" s="282">
        <f t="shared" ref="I2:I26" si="3">sum(H2/E2)</f>
        <v>19295.30269</v>
      </c>
      <c r="J2" s="302">
        <v>98.918</v>
      </c>
      <c r="K2" s="303">
        <v>5854217.0</v>
      </c>
      <c r="L2" s="304">
        <f t="shared" ref="L2:L26" si="4">SUM(K2*0.386102)</f>
        <v>2260324.892</v>
      </c>
      <c r="M2" s="305">
        <v>0.712</v>
      </c>
      <c r="N2" s="306">
        <v>5.23</v>
      </c>
      <c r="O2" s="307">
        <v>88.0</v>
      </c>
      <c r="P2" s="257" t="s">
        <v>48</v>
      </c>
      <c r="Q2" s="257" t="s">
        <v>49</v>
      </c>
      <c r="R2" s="255" t="s">
        <v>50</v>
      </c>
      <c r="S2" s="308">
        <f t="shared" ref="S2:S26" si="5">SUM(F2*T2)</f>
        <v>122711385503</v>
      </c>
      <c r="T2" s="309">
        <v>0.0267</v>
      </c>
    </row>
    <row r="3" ht="22.5" customHeight="1">
      <c r="A3" s="257" t="s">
        <v>47</v>
      </c>
      <c r="B3" s="310" t="s">
        <v>556</v>
      </c>
      <c r="C3" s="310" t="s">
        <v>557</v>
      </c>
      <c r="D3" s="264" t="s">
        <v>264</v>
      </c>
      <c r="E3" s="311">
        <f t="shared" si="1"/>
        <v>88057484.85</v>
      </c>
      <c r="F3" s="281">
        <f t="shared" si="2"/>
        <v>225385229080</v>
      </c>
      <c r="G3" s="282">
        <v>2559.5238095238096</v>
      </c>
      <c r="H3" s="281">
        <v>7.325019945111609E11</v>
      </c>
      <c r="I3" s="282">
        <f t="shared" si="3"/>
        <v>8318.452381</v>
      </c>
      <c r="J3" s="302">
        <v>118.194</v>
      </c>
      <c r="K3" s="303">
        <v>745025.0</v>
      </c>
      <c r="L3" s="304">
        <f t="shared" si="4"/>
        <v>287655.6426</v>
      </c>
      <c r="M3" s="305">
        <v>0.637</v>
      </c>
      <c r="N3" s="306">
        <v>5.31</v>
      </c>
      <c r="O3" s="307">
        <v>940.0</v>
      </c>
      <c r="P3" s="257" t="s">
        <v>267</v>
      </c>
      <c r="Q3" s="257" t="s">
        <v>268</v>
      </c>
      <c r="R3" s="268" t="s">
        <v>269</v>
      </c>
      <c r="S3" s="312">
        <f t="shared" si="5"/>
        <v>4733089811</v>
      </c>
      <c r="T3" s="313">
        <v>0.021</v>
      </c>
    </row>
    <row r="4" ht="22.5" customHeight="1">
      <c r="A4" s="257" t="s">
        <v>47</v>
      </c>
      <c r="B4" s="314" t="s">
        <v>869</v>
      </c>
      <c r="C4" s="314" t="s">
        <v>870</v>
      </c>
      <c r="D4" s="256" t="s">
        <v>218</v>
      </c>
      <c r="E4" s="315">
        <f t="shared" si="1"/>
        <v>74091042.08</v>
      </c>
      <c r="F4" s="281">
        <f t="shared" si="2"/>
        <v>361634848267</v>
      </c>
      <c r="G4" s="282">
        <v>4880.952380952381</v>
      </c>
      <c r="H4" s="281">
        <v>7.59433181361E11</v>
      </c>
      <c r="I4" s="282">
        <f t="shared" si="3"/>
        <v>10250</v>
      </c>
      <c r="J4" s="302">
        <v>66.603</v>
      </c>
      <c r="K4" s="303">
        <v>1112428.0</v>
      </c>
      <c r="L4" s="304">
        <f t="shared" si="4"/>
        <v>429510.6757</v>
      </c>
      <c r="M4" s="305">
        <v>0.655</v>
      </c>
      <c r="N4" s="306">
        <v>7.61</v>
      </c>
      <c r="O4" s="307">
        <v>81.0</v>
      </c>
      <c r="P4" s="278" t="s">
        <v>221</v>
      </c>
      <c r="Q4" s="257" t="s">
        <v>222</v>
      </c>
      <c r="R4" s="255" t="s">
        <v>218</v>
      </c>
      <c r="S4" s="308">
        <f t="shared" si="5"/>
        <v>7232696965</v>
      </c>
      <c r="T4" s="316">
        <v>0.02</v>
      </c>
    </row>
    <row r="5" ht="22.5" customHeight="1">
      <c r="A5" s="257" t="s">
        <v>47</v>
      </c>
      <c r="B5" s="317" t="s">
        <v>880</v>
      </c>
      <c r="C5" s="310" t="s">
        <v>881</v>
      </c>
      <c r="D5" s="256" t="s">
        <v>696</v>
      </c>
      <c r="E5" s="311">
        <f t="shared" si="1"/>
        <v>45062542.28</v>
      </c>
      <c r="F5" s="281">
        <f t="shared" si="2"/>
        <v>10550357120</v>
      </c>
      <c r="G5" s="282">
        <v>234.12698412698413</v>
      </c>
      <c r="H5" s="281">
        <v>3.977484634305825E10</v>
      </c>
      <c r="I5" s="282">
        <f t="shared" si="3"/>
        <v>882.6587302</v>
      </c>
      <c r="J5" s="302">
        <v>25.796</v>
      </c>
      <c r="K5" s="303">
        <v>1746881.0</v>
      </c>
      <c r="L5" s="304">
        <f t="shared" si="4"/>
        <v>674474.2479</v>
      </c>
      <c r="M5" s="305">
        <v>0.505</v>
      </c>
      <c r="N5" s="306">
        <v>4.96</v>
      </c>
      <c r="O5" s="307">
        <v>950.0</v>
      </c>
      <c r="P5" s="278" t="s">
        <v>699</v>
      </c>
      <c r="Q5" s="257" t="s">
        <v>700</v>
      </c>
      <c r="R5" s="255" t="s">
        <v>701</v>
      </c>
      <c r="S5" s="308">
        <f t="shared" si="5"/>
        <v>392473284.9</v>
      </c>
      <c r="T5" s="318">
        <v>0.0372</v>
      </c>
    </row>
    <row r="6" ht="22.5" customHeight="1">
      <c r="A6" s="257" t="s">
        <v>47</v>
      </c>
      <c r="B6" s="319" t="s">
        <v>432</v>
      </c>
      <c r="C6" s="314" t="s">
        <v>433</v>
      </c>
      <c r="D6" s="256" t="s">
        <v>585</v>
      </c>
      <c r="E6" s="315">
        <f t="shared" si="1"/>
        <v>36356117.2</v>
      </c>
      <c r="F6" s="281">
        <f t="shared" si="2"/>
        <v>40395685782</v>
      </c>
      <c r="G6" s="282">
        <v>1111.111111111111</v>
      </c>
      <c r="H6" s="281">
        <v>1.4017302966431116E11</v>
      </c>
      <c r="I6" s="282">
        <f t="shared" si="3"/>
        <v>3855.555556</v>
      </c>
      <c r="J6" s="302">
        <v>74.302</v>
      </c>
      <c r="K6" s="303">
        <v>489302.0</v>
      </c>
      <c r="L6" s="304">
        <f t="shared" si="4"/>
        <v>188920.4808</v>
      </c>
      <c r="M6" s="305">
        <v>0.56</v>
      </c>
      <c r="N6" s="306">
        <v>2.09</v>
      </c>
      <c r="O6" s="307">
        <v>910.0</v>
      </c>
      <c r="P6" s="278" t="s">
        <v>588</v>
      </c>
      <c r="Q6" s="257" t="s">
        <v>589</v>
      </c>
      <c r="R6" s="257" t="s">
        <v>590</v>
      </c>
      <c r="S6" s="312">
        <f t="shared" si="5"/>
        <v>0</v>
      </c>
      <c r="T6" s="316"/>
    </row>
    <row r="7" ht="22.5" customHeight="1">
      <c r="A7" s="257" t="s">
        <v>47</v>
      </c>
      <c r="B7" s="317" t="s">
        <v>183</v>
      </c>
      <c r="C7" s="310" t="s">
        <v>184</v>
      </c>
      <c r="D7" s="264" t="s">
        <v>497</v>
      </c>
      <c r="E7" s="311">
        <f t="shared" si="1"/>
        <v>30642963.19</v>
      </c>
      <c r="F7" s="281">
        <f t="shared" si="2"/>
        <v>55813968660</v>
      </c>
      <c r="G7" s="282">
        <v>1821.4285714285713</v>
      </c>
      <c r="H7" s="281">
        <v>1.9479075062414786E11</v>
      </c>
      <c r="I7" s="282">
        <f t="shared" si="3"/>
        <v>6356.785714</v>
      </c>
      <c r="J7" s="302">
        <v>40.038</v>
      </c>
      <c r="K7" s="303">
        <v>765347.0</v>
      </c>
      <c r="L7" s="304">
        <f t="shared" si="4"/>
        <v>295502.0074</v>
      </c>
      <c r="M7" s="305">
        <v>0.553</v>
      </c>
      <c r="N7" s="306">
        <v>4.51</v>
      </c>
      <c r="O7" s="307">
        <v>942.0</v>
      </c>
      <c r="P7" s="257" t="s">
        <v>500</v>
      </c>
      <c r="Q7" s="257" t="s">
        <v>501</v>
      </c>
      <c r="R7" s="257" t="s">
        <v>502</v>
      </c>
      <c r="S7" s="312">
        <f t="shared" si="5"/>
        <v>0</v>
      </c>
      <c r="T7" s="313"/>
    </row>
    <row r="8" ht="22.5" customHeight="1">
      <c r="A8" s="257" t="s">
        <v>47</v>
      </c>
      <c r="B8" s="314" t="s">
        <v>604</v>
      </c>
      <c r="C8" s="314" t="s">
        <v>605</v>
      </c>
      <c r="D8" s="264" t="s">
        <v>632</v>
      </c>
      <c r="E8" s="315">
        <f t="shared" si="1"/>
        <v>30421695.15</v>
      </c>
      <c r="F8" s="281">
        <f t="shared" si="2"/>
        <v>33077557425</v>
      </c>
      <c r="G8" s="282">
        <v>1087.3015873015872</v>
      </c>
      <c r="H8" s="281">
        <v>1.2701782051199998E11</v>
      </c>
      <c r="I8" s="282">
        <f t="shared" si="3"/>
        <v>4175.238095</v>
      </c>
      <c r="J8" s="302">
        <v>65.835</v>
      </c>
      <c r="K8" s="303">
        <v>462090.0</v>
      </c>
      <c r="L8" s="304">
        <f t="shared" si="4"/>
        <v>178413.8732</v>
      </c>
      <c r="M8" s="305">
        <v>0.487</v>
      </c>
      <c r="N8" s="306">
        <v>2.68</v>
      </c>
      <c r="O8" s="307">
        <v>947.0</v>
      </c>
      <c r="P8" s="278" t="s">
        <v>635</v>
      </c>
      <c r="Q8" s="257" t="s">
        <v>636</v>
      </c>
      <c r="R8" s="257" t="s">
        <v>637</v>
      </c>
      <c r="S8" s="312">
        <f t="shared" si="5"/>
        <v>0</v>
      </c>
      <c r="T8" s="316"/>
    </row>
    <row r="9" ht="22.5" customHeight="1">
      <c r="A9" s="257" t="s">
        <v>47</v>
      </c>
      <c r="B9" s="320" t="s">
        <v>219</v>
      </c>
      <c r="C9" s="321" t="s">
        <v>220</v>
      </c>
      <c r="D9" s="256" t="s">
        <v>609</v>
      </c>
      <c r="E9" s="322">
        <f t="shared" si="1"/>
        <v>29421789.86</v>
      </c>
      <c r="F9" s="281">
        <f t="shared" si="2"/>
        <v>35259446581</v>
      </c>
      <c r="G9" s="282">
        <v>1198.4126984126983</v>
      </c>
      <c r="H9" s="281">
        <v>1.3081254681421445E11</v>
      </c>
      <c r="I9" s="282">
        <f t="shared" si="3"/>
        <v>4446.111111</v>
      </c>
      <c r="J9" s="302">
        <v>51.206</v>
      </c>
      <c r="K9" s="303">
        <v>574577.0</v>
      </c>
      <c r="L9" s="304">
        <f t="shared" si="4"/>
        <v>221845.3289</v>
      </c>
      <c r="M9" s="305">
        <v>0.512</v>
      </c>
      <c r="N9" s="306">
        <v>5.62</v>
      </c>
      <c r="O9" s="307">
        <v>932.0</v>
      </c>
      <c r="P9" s="257" t="s">
        <v>612</v>
      </c>
      <c r="Q9" s="257" t="s">
        <v>613</v>
      </c>
      <c r="R9" s="255" t="s">
        <v>614</v>
      </c>
      <c r="S9" s="312">
        <f t="shared" si="5"/>
        <v>0</v>
      </c>
      <c r="T9" s="313"/>
    </row>
    <row r="10" ht="22.5" customHeight="1">
      <c r="A10" s="257" t="s">
        <v>47</v>
      </c>
      <c r="B10" s="319" t="s">
        <v>119</v>
      </c>
      <c r="C10" s="314" t="s">
        <v>120</v>
      </c>
      <c r="D10" s="256" t="s">
        <v>826</v>
      </c>
      <c r="E10" s="315">
        <f t="shared" si="1"/>
        <v>27332520.6</v>
      </c>
      <c r="F10" s="281">
        <f t="shared" si="2"/>
        <v>8243141133</v>
      </c>
      <c r="G10" s="282">
        <v>301.58730158730157</v>
      </c>
      <c r="H10" s="281">
        <v>3.4291467114666668E10</v>
      </c>
      <c r="I10" s="282">
        <f t="shared" si="3"/>
        <v>1254.603175</v>
      </c>
      <c r="J10" s="302">
        <v>46.2</v>
      </c>
      <c r="K10" s="303">
        <v>591613.0</v>
      </c>
      <c r="L10" s="304">
        <f t="shared" si="4"/>
        <v>228422.9625</v>
      </c>
      <c r="M10" s="305">
        <v>0.427</v>
      </c>
      <c r="N10" s="306">
        <v>1.98</v>
      </c>
      <c r="O10" s="307">
        <v>949.0</v>
      </c>
      <c r="P10" s="257" t="s">
        <v>829</v>
      </c>
      <c r="Q10" s="257" t="s">
        <v>830</v>
      </c>
      <c r="R10" s="257" t="s">
        <v>831</v>
      </c>
      <c r="S10" s="312">
        <f t="shared" si="5"/>
        <v>0</v>
      </c>
      <c r="T10" s="316"/>
    </row>
    <row r="11" ht="22.5" customHeight="1">
      <c r="A11" s="257" t="s">
        <v>47</v>
      </c>
      <c r="B11" s="310" t="s">
        <v>390</v>
      </c>
      <c r="C11" s="310" t="s">
        <v>391</v>
      </c>
      <c r="D11" s="256" t="s">
        <v>791</v>
      </c>
      <c r="E11" s="311">
        <f t="shared" si="1"/>
        <v>22993720.48</v>
      </c>
      <c r="F11" s="281">
        <f t="shared" si="2"/>
        <v>10036941481</v>
      </c>
      <c r="G11" s="282">
        <v>436.5079365079365</v>
      </c>
      <c r="H11" s="281">
        <v>3.3222276302477776E10</v>
      </c>
      <c r="I11" s="282">
        <f t="shared" si="3"/>
        <v>1444.84127</v>
      </c>
      <c r="J11" s="302">
        <v>11.164</v>
      </c>
      <c r="K11" s="303">
        <v>2059631.0</v>
      </c>
      <c r="L11" s="304">
        <f t="shared" si="4"/>
        <v>795227.6484</v>
      </c>
      <c r="M11" s="305">
        <v>0.595</v>
      </c>
      <c r="N11" s="306">
        <v>6.57</v>
      </c>
      <c r="O11" s="307">
        <v>80.0</v>
      </c>
      <c r="P11" s="278" t="s">
        <v>794</v>
      </c>
      <c r="Q11" s="257" t="s">
        <v>795</v>
      </c>
      <c r="R11" s="257" t="s">
        <v>796</v>
      </c>
      <c r="S11" s="312">
        <f t="shared" si="5"/>
        <v>0</v>
      </c>
      <c r="T11" s="313"/>
    </row>
    <row r="12" ht="22.5" customHeight="1">
      <c r="A12" s="257" t="s">
        <v>47</v>
      </c>
      <c r="B12" s="299" t="s">
        <v>957</v>
      </c>
      <c r="C12" s="300" t="s">
        <v>958</v>
      </c>
      <c r="D12" s="256" t="s">
        <v>678</v>
      </c>
      <c r="E12" s="301">
        <f t="shared" si="1"/>
        <v>17339111.02</v>
      </c>
      <c r="F12" s="281">
        <f t="shared" si="2"/>
        <v>23187620689</v>
      </c>
      <c r="G12" s="282">
        <v>1337.3015873015872</v>
      </c>
      <c r="H12" s="281">
        <v>7.906978655100555E10</v>
      </c>
      <c r="I12" s="282">
        <f t="shared" si="3"/>
        <v>4560.198413</v>
      </c>
      <c r="J12" s="302">
        <v>44.66</v>
      </c>
      <c r="K12" s="303">
        <v>388247.0</v>
      </c>
      <c r="L12" s="304">
        <f t="shared" si="4"/>
        <v>149902.9432</v>
      </c>
      <c r="M12" s="305">
        <v>0.572</v>
      </c>
      <c r="N12" s="306">
        <v>4.39</v>
      </c>
      <c r="O12" s="307">
        <v>946.0</v>
      </c>
      <c r="P12" s="278" t="s">
        <v>681</v>
      </c>
      <c r="Q12" s="257" t="s">
        <v>682</v>
      </c>
      <c r="R12" s="257" t="s">
        <v>683</v>
      </c>
      <c r="S12" s="312">
        <f t="shared" si="5"/>
        <v>0</v>
      </c>
      <c r="T12" s="316"/>
    </row>
    <row r="13" ht="22.5" customHeight="1">
      <c r="A13" s="257" t="s">
        <v>47</v>
      </c>
      <c r="B13" s="321" t="s">
        <v>342</v>
      </c>
      <c r="C13" s="321" t="s">
        <v>343</v>
      </c>
      <c r="D13" s="264" t="s">
        <v>774</v>
      </c>
      <c r="E13" s="322">
        <f t="shared" si="1"/>
        <v>13153004.48</v>
      </c>
      <c r="F13" s="281">
        <f t="shared" si="2"/>
        <v>11274003840</v>
      </c>
      <c r="G13" s="282">
        <v>857.1428571428571</v>
      </c>
      <c r="H13" s="281">
        <v>4.3066694668799995E10</v>
      </c>
      <c r="I13" s="282">
        <f t="shared" si="3"/>
        <v>3274.285714</v>
      </c>
      <c r="J13" s="302">
        <v>12.32</v>
      </c>
      <c r="K13" s="303">
        <v>1067614.0</v>
      </c>
      <c r="L13" s="304">
        <f t="shared" si="4"/>
        <v>412207.9006</v>
      </c>
      <c r="M13" s="305">
        <v>0.492</v>
      </c>
      <c r="N13" s="306">
        <v>1.76</v>
      </c>
      <c r="O13" s="307">
        <v>941.0</v>
      </c>
      <c r="P13" s="278" t="s">
        <v>777</v>
      </c>
      <c r="Q13" s="257" t="s">
        <v>778</v>
      </c>
      <c r="R13" s="257" t="s">
        <v>779</v>
      </c>
      <c r="S13" s="312">
        <f t="shared" si="5"/>
        <v>0</v>
      </c>
      <c r="T13" s="298"/>
    </row>
    <row r="14" ht="22.5" customHeight="1">
      <c r="A14" s="257" t="s">
        <v>47</v>
      </c>
      <c r="B14" s="319" t="s">
        <v>420</v>
      </c>
      <c r="C14" s="314" t="s">
        <v>421</v>
      </c>
      <c r="D14" s="256" t="s">
        <v>597</v>
      </c>
      <c r="E14" s="315">
        <f t="shared" si="1"/>
        <v>12584519.64</v>
      </c>
      <c r="F14" s="281">
        <f t="shared" si="2"/>
        <v>36555033240</v>
      </c>
      <c r="G14" s="282">
        <v>2904.7619047619046</v>
      </c>
      <c r="H14" s="281">
        <v>1.0125744207479997E11</v>
      </c>
      <c r="I14" s="282">
        <f t="shared" si="3"/>
        <v>8046.190476</v>
      </c>
      <c r="J14" s="302">
        <v>83.16</v>
      </c>
      <c r="K14" s="303">
        <v>151329.0</v>
      </c>
      <c r="L14" s="304">
        <f t="shared" si="4"/>
        <v>58428.42956</v>
      </c>
      <c r="M14" s="305">
        <v>0.691</v>
      </c>
      <c r="N14" s="306">
        <v>4.21</v>
      </c>
      <c r="O14" s="307">
        <v>951.0</v>
      </c>
      <c r="P14" s="278" t="s">
        <v>600</v>
      </c>
      <c r="Q14" s="257" t="s">
        <v>601</v>
      </c>
      <c r="R14" s="257" t="s">
        <v>602</v>
      </c>
      <c r="S14" s="312">
        <f t="shared" si="5"/>
        <v>0</v>
      </c>
      <c r="T14" s="298"/>
    </row>
    <row r="15" ht="22.5" customHeight="1">
      <c r="A15" s="257" t="s">
        <v>47</v>
      </c>
      <c r="B15" s="320" t="s">
        <v>31</v>
      </c>
      <c r="C15" s="321" t="s">
        <v>32</v>
      </c>
      <c r="D15" s="256" t="s">
        <v>419</v>
      </c>
      <c r="E15" s="322">
        <f t="shared" si="1"/>
        <v>11203256.37</v>
      </c>
      <c r="F15" s="281">
        <f t="shared" si="2"/>
        <v>93360469750</v>
      </c>
      <c r="G15" s="282">
        <v>8333.333333333334</v>
      </c>
      <c r="H15" s="259">
        <v>1.7539303345E11</v>
      </c>
      <c r="I15" s="282">
        <f t="shared" si="3"/>
        <v>15655.54047</v>
      </c>
      <c r="J15" s="302">
        <v>28.874</v>
      </c>
      <c r="K15" s="303">
        <v>388005.0</v>
      </c>
      <c r="L15" s="304">
        <f t="shared" si="4"/>
        <v>149809.5065</v>
      </c>
      <c r="M15" s="305">
        <v>0.779</v>
      </c>
      <c r="N15" s="306">
        <v>8.74</v>
      </c>
      <c r="O15" s="307">
        <v>82.0</v>
      </c>
      <c r="P15" s="278" t="s">
        <v>422</v>
      </c>
      <c r="Q15" s="257" t="s">
        <v>423</v>
      </c>
      <c r="R15" s="255" t="s">
        <v>424</v>
      </c>
      <c r="S15" s="312">
        <f t="shared" si="5"/>
        <v>0</v>
      </c>
      <c r="T15" s="298"/>
    </row>
    <row r="16" ht="22.5" customHeight="1">
      <c r="A16" s="257" t="s">
        <v>47</v>
      </c>
      <c r="B16" s="299" t="s">
        <v>798</v>
      </c>
      <c r="C16" s="300" t="s">
        <v>799</v>
      </c>
      <c r="D16" s="256" t="s">
        <v>856</v>
      </c>
      <c r="E16" s="301">
        <f t="shared" si="1"/>
        <v>9388939.206</v>
      </c>
      <c r="F16" s="281">
        <f t="shared" si="2"/>
        <v>6259292804</v>
      </c>
      <c r="G16" s="282">
        <v>666.6666666666666</v>
      </c>
      <c r="H16" s="281">
        <v>1.821454205964E10</v>
      </c>
      <c r="I16" s="282">
        <f t="shared" si="3"/>
        <v>1940</v>
      </c>
      <c r="J16" s="302">
        <v>40.422</v>
      </c>
      <c r="K16" s="303">
        <v>232273.0</v>
      </c>
      <c r="L16" s="304">
        <f t="shared" si="4"/>
        <v>89681.06985</v>
      </c>
      <c r="M16" s="305">
        <v>0.474</v>
      </c>
      <c r="N16" s="306">
        <v>1.35</v>
      </c>
      <c r="O16" s="307">
        <v>911.0</v>
      </c>
      <c r="P16" s="278" t="s">
        <v>859</v>
      </c>
      <c r="Q16" s="257" t="s">
        <v>860</v>
      </c>
      <c r="R16" s="257" t="s">
        <v>861</v>
      </c>
      <c r="S16" s="312">
        <f t="shared" si="5"/>
        <v>0</v>
      </c>
      <c r="T16" s="298"/>
    </row>
    <row r="17" ht="22.5" customHeight="1">
      <c r="A17" s="257" t="s">
        <v>47</v>
      </c>
      <c r="B17" s="310" t="s">
        <v>775</v>
      </c>
      <c r="C17" s="310" t="s">
        <v>776</v>
      </c>
      <c r="D17" s="256" t="s">
        <v>473</v>
      </c>
      <c r="E17" s="311">
        <f t="shared" si="1"/>
        <v>8871251.235</v>
      </c>
      <c r="F17" s="281">
        <f t="shared" si="2"/>
        <v>67590485600</v>
      </c>
      <c r="G17" s="282">
        <v>7619.047619047619</v>
      </c>
      <c r="H17" s="259">
        <v>1.06948499432E11</v>
      </c>
      <c r="I17" s="282">
        <f t="shared" si="3"/>
        <v>12055.6274</v>
      </c>
      <c r="J17" s="302">
        <v>33.495</v>
      </c>
      <c r="K17" s="303">
        <v>264853.0</v>
      </c>
      <c r="L17" s="304">
        <f t="shared" si="4"/>
        <v>102260.273</v>
      </c>
      <c r="M17" s="305">
        <v>0.728</v>
      </c>
      <c r="N17" s="306">
        <v>6.92</v>
      </c>
      <c r="O17" s="307">
        <v>945.0</v>
      </c>
      <c r="P17" s="278" t="s">
        <v>476</v>
      </c>
      <c r="Q17" s="257" t="s">
        <v>477</v>
      </c>
      <c r="R17" s="257" t="s">
        <v>478</v>
      </c>
      <c r="S17" s="312">
        <f t="shared" si="5"/>
        <v>0</v>
      </c>
      <c r="T17" s="298"/>
    </row>
    <row r="18" ht="22.5" customHeight="1">
      <c r="A18" s="257" t="s">
        <v>47</v>
      </c>
      <c r="B18" s="314" t="s">
        <v>236</v>
      </c>
      <c r="C18" s="314" t="s">
        <v>237</v>
      </c>
      <c r="D18" s="256" t="s">
        <v>579</v>
      </c>
      <c r="E18" s="315">
        <f t="shared" si="1"/>
        <v>7849449.684</v>
      </c>
      <c r="F18" s="281">
        <f t="shared" si="2"/>
        <v>43608053800</v>
      </c>
      <c r="G18" s="282">
        <v>5555.555555555556</v>
      </c>
      <c r="H18" s="281">
        <v>1.12508778804E11</v>
      </c>
      <c r="I18" s="282">
        <f t="shared" si="3"/>
        <v>14333.33333</v>
      </c>
      <c r="J18" s="302">
        <v>34.266</v>
      </c>
      <c r="K18" s="303">
        <v>229074.0</v>
      </c>
      <c r="L18" s="304">
        <f t="shared" si="4"/>
        <v>88445.92955</v>
      </c>
      <c r="M18" s="305">
        <v>0.717</v>
      </c>
      <c r="N18" s="306">
        <v>4.88</v>
      </c>
      <c r="O18" s="307">
        <v>83.0</v>
      </c>
      <c r="P18" s="278" t="s">
        <v>582</v>
      </c>
      <c r="Q18" s="257" t="s">
        <v>583</v>
      </c>
      <c r="R18" s="255" t="s">
        <v>584</v>
      </c>
      <c r="S18" s="312">
        <f t="shared" si="5"/>
        <v>0</v>
      </c>
      <c r="T18" s="298"/>
    </row>
    <row r="19" ht="22.5" customHeight="1">
      <c r="A19" s="257" t="s">
        <v>47</v>
      </c>
      <c r="B19" s="310" t="s">
        <v>909</v>
      </c>
      <c r="C19" s="310" t="s">
        <v>910</v>
      </c>
      <c r="D19" s="256" t="s">
        <v>832</v>
      </c>
      <c r="E19" s="311">
        <f t="shared" si="1"/>
        <v>7437016.588</v>
      </c>
      <c r="F19" s="281">
        <f t="shared" si="2"/>
        <v>7879696147</v>
      </c>
      <c r="G19" s="282">
        <v>1059.5238095238094</v>
      </c>
      <c r="H19" s="281">
        <v>3.222795724045095E10</v>
      </c>
      <c r="I19" s="282">
        <f t="shared" si="3"/>
        <v>4333.452381</v>
      </c>
      <c r="J19" s="302">
        <v>21.946</v>
      </c>
      <c r="K19" s="303">
        <v>338878.0</v>
      </c>
      <c r="L19" s="304">
        <f t="shared" si="4"/>
        <v>130841.4736</v>
      </c>
      <c r="M19" s="305">
        <v>0.456</v>
      </c>
      <c r="N19" s="306">
        <v>2.87</v>
      </c>
      <c r="O19" s="307">
        <v>931.0</v>
      </c>
      <c r="P19" s="278" t="s">
        <v>835</v>
      </c>
      <c r="Q19" s="257" t="s">
        <v>836</v>
      </c>
      <c r="R19" s="257" t="s">
        <v>837</v>
      </c>
      <c r="S19" s="312">
        <f t="shared" si="5"/>
        <v>0</v>
      </c>
      <c r="T19" s="298"/>
    </row>
    <row r="20" ht="22.5" customHeight="1">
      <c r="A20" s="257" t="s">
        <v>47</v>
      </c>
      <c r="B20" s="319" t="s">
        <v>253</v>
      </c>
      <c r="C20" s="314" t="s">
        <v>254</v>
      </c>
      <c r="D20" s="264" t="s">
        <v>666</v>
      </c>
      <c r="E20" s="315">
        <f t="shared" si="1"/>
        <v>7181169.024</v>
      </c>
      <c r="F20" s="281">
        <f t="shared" si="2"/>
        <v>25362065204</v>
      </c>
      <c r="G20" s="282">
        <v>3531.746031746032</v>
      </c>
      <c r="H20" s="281">
        <v>8.44556771286857E10</v>
      </c>
      <c r="I20" s="282">
        <f t="shared" si="3"/>
        <v>11760.71429</v>
      </c>
      <c r="J20" s="302">
        <v>71.996</v>
      </c>
      <c r="K20" s="303">
        <v>99744.0</v>
      </c>
      <c r="L20" s="304">
        <f t="shared" si="4"/>
        <v>38511.35789</v>
      </c>
      <c r="M20" s="305">
        <v>0.576</v>
      </c>
      <c r="N20" s="306">
        <v>6.43</v>
      </c>
      <c r="O20" s="307">
        <v>943.0</v>
      </c>
      <c r="P20" s="278" t="s">
        <v>669</v>
      </c>
      <c r="Q20" s="257" t="s">
        <v>670</v>
      </c>
      <c r="R20" s="255" t="s">
        <v>671</v>
      </c>
      <c r="S20" s="312">
        <f t="shared" si="5"/>
        <v>0</v>
      </c>
      <c r="T20" s="298"/>
    </row>
    <row r="21" ht="22.5" customHeight="1">
      <c r="A21" s="257" t="s">
        <v>47</v>
      </c>
      <c r="B21" s="317" t="s">
        <v>1011</v>
      </c>
      <c r="C21" s="310" t="s">
        <v>1012</v>
      </c>
      <c r="D21" s="264" t="s">
        <v>962</v>
      </c>
      <c r="E21" s="311">
        <f t="shared" si="1"/>
        <v>5131190.176</v>
      </c>
      <c r="F21" s="281">
        <f t="shared" si="2"/>
        <v>814474631.1</v>
      </c>
      <c r="G21" s="282">
        <v>158.73015873015873</v>
      </c>
      <c r="H21" s="281">
        <v>3.5592541380942855E9</v>
      </c>
      <c r="I21" s="282">
        <f t="shared" si="3"/>
        <v>693.6507937</v>
      </c>
      <c r="J21" s="302">
        <v>32.3994</v>
      </c>
      <c r="K21" s="303">
        <v>158373.0</v>
      </c>
      <c r="L21" s="304">
        <f t="shared" si="4"/>
        <v>61148.13205</v>
      </c>
      <c r="M21" s="305">
        <v>0.445</v>
      </c>
      <c r="N21" s="306">
        <v>0.95</v>
      </c>
      <c r="O21" s="307">
        <v>963.0</v>
      </c>
      <c r="P21" s="278" t="s">
        <v>965</v>
      </c>
      <c r="Q21" s="257" t="s">
        <v>966</v>
      </c>
      <c r="R21" s="257" t="s">
        <v>967</v>
      </c>
      <c r="S21" s="312">
        <f t="shared" si="5"/>
        <v>0</v>
      </c>
      <c r="T21" s="298"/>
    </row>
    <row r="22" ht="22.5" customHeight="1">
      <c r="A22" s="257" t="s">
        <v>47</v>
      </c>
      <c r="B22" s="299" t="s">
        <v>763</v>
      </c>
      <c r="C22" s="300" t="s">
        <v>764</v>
      </c>
      <c r="D22" s="264" t="s">
        <v>555</v>
      </c>
      <c r="E22" s="301">
        <f t="shared" si="1"/>
        <v>3626297.371</v>
      </c>
      <c r="F22" s="281">
        <f t="shared" si="2"/>
        <v>46911624720</v>
      </c>
      <c r="G22" s="282">
        <v>12936.507936507936</v>
      </c>
      <c r="H22" s="259">
        <v>6.85144119121667E10</v>
      </c>
      <c r="I22" s="282">
        <f t="shared" si="3"/>
        <v>18893.76543</v>
      </c>
      <c r="J22" s="302">
        <v>169.003</v>
      </c>
      <c r="K22" s="303">
        <v>21457.0</v>
      </c>
      <c r="L22" s="304">
        <f t="shared" si="4"/>
        <v>8284.590614</v>
      </c>
      <c r="M22" s="305">
        <v>0.776</v>
      </c>
      <c r="N22" s="306">
        <v>7.18</v>
      </c>
      <c r="O22" s="307">
        <v>944.0</v>
      </c>
      <c r="P22" s="278" t="s">
        <v>558</v>
      </c>
      <c r="Q22" s="257" t="s">
        <v>559</v>
      </c>
      <c r="R22" s="257" t="s">
        <v>560</v>
      </c>
      <c r="S22" s="312">
        <f t="shared" si="5"/>
        <v>0</v>
      </c>
      <c r="T22" s="298"/>
    </row>
    <row r="23" ht="22.5" customHeight="1">
      <c r="A23" s="257" t="s">
        <v>47</v>
      </c>
      <c r="B23" s="320" t="s">
        <v>661</v>
      </c>
      <c r="C23" s="321" t="s">
        <v>662</v>
      </c>
      <c r="D23" s="256" t="s">
        <v>879</v>
      </c>
      <c r="E23" s="322">
        <f t="shared" si="1"/>
        <v>2549416.1</v>
      </c>
      <c r="F23" s="281">
        <f t="shared" si="2"/>
        <v>4856030667</v>
      </c>
      <c r="G23" s="282">
        <v>1904.7619047619048</v>
      </c>
      <c r="H23" s="281">
        <v>1.6073461506666664E10</v>
      </c>
      <c r="I23" s="282">
        <f t="shared" si="3"/>
        <v>6304.761905</v>
      </c>
      <c r="J23" s="302">
        <v>10.78</v>
      </c>
      <c r="K23" s="303">
        <v>236495.0</v>
      </c>
      <c r="L23" s="304">
        <f t="shared" si="4"/>
        <v>91311.19249</v>
      </c>
      <c r="M23" s="305">
        <v>0.589</v>
      </c>
      <c r="N23" s="306">
        <v>2.44</v>
      </c>
      <c r="O23" s="307">
        <v>930.0</v>
      </c>
      <c r="P23" s="278" t="s">
        <v>882</v>
      </c>
      <c r="Q23" s="257" t="s">
        <v>883</v>
      </c>
      <c r="R23" s="257" t="s">
        <v>884</v>
      </c>
      <c r="S23" s="312">
        <f t="shared" si="5"/>
        <v>0</v>
      </c>
      <c r="T23" s="298"/>
    </row>
    <row r="24" ht="22.5" customHeight="1">
      <c r="A24" s="257" t="s">
        <v>47</v>
      </c>
      <c r="B24" s="319" t="s">
        <v>769</v>
      </c>
      <c r="C24" s="314" t="s">
        <v>770</v>
      </c>
      <c r="D24" s="264" t="s">
        <v>932</v>
      </c>
      <c r="E24" s="315">
        <f t="shared" si="1"/>
        <v>233966.306</v>
      </c>
      <c r="F24" s="281">
        <f t="shared" si="2"/>
        <v>1439078469</v>
      </c>
      <c r="G24" s="282">
        <v>6150.793650793651</v>
      </c>
      <c r="H24" s="281">
        <v>3.7847763746388893E9</v>
      </c>
      <c r="I24" s="282">
        <f t="shared" si="3"/>
        <v>16176.5873</v>
      </c>
      <c r="J24" s="302">
        <v>21.946</v>
      </c>
      <c r="K24" s="303">
        <v>10661.0</v>
      </c>
      <c r="L24" s="304">
        <f t="shared" si="4"/>
        <v>4116.233422</v>
      </c>
      <c r="M24" s="305">
        <v>0.703</v>
      </c>
      <c r="N24" s="306">
        <v>6.07</v>
      </c>
      <c r="O24" s="307">
        <v>129.0</v>
      </c>
      <c r="P24" s="278" t="s">
        <v>935</v>
      </c>
      <c r="Q24" s="257" t="s">
        <v>936</v>
      </c>
      <c r="R24" s="257" t="s">
        <v>937</v>
      </c>
      <c r="S24" s="312">
        <f t="shared" si="5"/>
        <v>0</v>
      </c>
      <c r="T24" s="298"/>
    </row>
    <row r="25" ht="22.5" customHeight="1">
      <c r="A25" s="257" t="s">
        <v>47</v>
      </c>
      <c r="B25" s="320" t="s">
        <v>306</v>
      </c>
      <c r="C25" s="321" t="s">
        <v>307</v>
      </c>
      <c r="D25" s="264" t="s">
        <v>998</v>
      </c>
      <c r="E25" s="322">
        <f t="shared" si="1"/>
        <v>51690.1</v>
      </c>
      <c r="F25" s="281">
        <f t="shared" si="2"/>
        <v>252296916.7</v>
      </c>
      <c r="G25" s="282">
        <v>4880.952380952381</v>
      </c>
      <c r="H25" s="281">
        <v>6.004666616666666E8</v>
      </c>
      <c r="I25" s="282">
        <f t="shared" si="3"/>
        <v>11616.66667</v>
      </c>
      <c r="J25" s="302">
        <v>94.325</v>
      </c>
      <c r="K25" s="303">
        <v>548.0</v>
      </c>
      <c r="L25" s="304">
        <f t="shared" si="4"/>
        <v>211.583896</v>
      </c>
      <c r="M25" s="305">
        <v>0.759</v>
      </c>
      <c r="N25" s="306">
        <v>8.34</v>
      </c>
      <c r="O25" s="307">
        <v>344.0</v>
      </c>
      <c r="P25" s="278" t="s">
        <v>1001</v>
      </c>
      <c r="Q25" s="257" t="s">
        <v>1002</v>
      </c>
      <c r="R25" s="257" t="s">
        <v>1003</v>
      </c>
      <c r="S25" s="312">
        <f t="shared" si="5"/>
        <v>0</v>
      </c>
      <c r="T25" s="298"/>
    </row>
    <row r="26" ht="22.5" customHeight="1">
      <c r="A26" s="257" t="s">
        <v>47</v>
      </c>
      <c r="B26" s="299" t="s">
        <v>821</v>
      </c>
      <c r="C26" s="300" t="s">
        <v>822</v>
      </c>
      <c r="D26" s="264" t="s">
        <v>1032</v>
      </c>
      <c r="E26" s="301">
        <f t="shared" si="1"/>
        <v>10360.45</v>
      </c>
      <c r="F26" s="281">
        <f t="shared" si="2"/>
        <v>36590478.17</v>
      </c>
      <c r="G26" s="282">
        <v>3531.746031746032</v>
      </c>
      <c r="H26" s="281">
        <v>9.074438587301588E7</v>
      </c>
      <c r="I26" s="282">
        <f t="shared" si="3"/>
        <v>8758.730159</v>
      </c>
      <c r="J26" s="302">
        <v>19.01</v>
      </c>
      <c r="K26" s="303">
        <v>545.0</v>
      </c>
      <c r="L26" s="304">
        <f t="shared" si="4"/>
        <v>210.42559</v>
      </c>
      <c r="M26" s="305">
        <v>0.747</v>
      </c>
      <c r="N26" s="306">
        <v>6.12</v>
      </c>
      <c r="O26" s="307">
        <v>345.0</v>
      </c>
      <c r="P26" s="278" t="s">
        <v>1035</v>
      </c>
      <c r="Q26" s="257" t="s">
        <v>1036</v>
      </c>
      <c r="R26" s="257" t="s">
        <v>1037</v>
      </c>
      <c r="S26" s="312">
        <f t="shared" si="5"/>
        <v>0</v>
      </c>
      <c r="T26" s="298"/>
    </row>
    <row r="27" ht="22.5" customHeight="1">
      <c r="A27" s="257" t="s">
        <v>1045</v>
      </c>
      <c r="B27" s="323"/>
      <c r="C27" s="323"/>
      <c r="D27" s="279" t="s">
        <v>1044</v>
      </c>
      <c r="E27" s="280">
        <f>SUM(Acrola[Population])</f>
        <v>1070077951</v>
      </c>
      <c r="F27" s="281">
        <f>SUM(Acrola[GDP (Nominal)])</f>
        <v>5745716033804</v>
      </c>
      <c r="G27" s="282">
        <f>sum(Acrola[[#TOTALS],[GDP (Nominal)]]/Acrola[[#TOTALS],[Population]])</f>
        <v>5369.4369</v>
      </c>
      <c r="H27" s="281">
        <f>SUM(Acrola[GDP (PPP)])</f>
        <v>14211450824582</v>
      </c>
      <c r="I27" s="282">
        <f>sum(Acrola[[#TOTALS],[GDP (PPP)]]/Acrola[[#TOTALS],[Population]])</f>
        <v>13280.76222</v>
      </c>
      <c r="J27" s="324">
        <f>sum(Acrola[[#TOTALS],[Population]]/Acrola[[#TOTALS],[Area (Km)]])</f>
        <v>59.48444257</v>
      </c>
      <c r="K27" s="304">
        <f>SUM(Acrola[Area (Km)])</f>
        <v>17989207</v>
      </c>
      <c r="L27" s="304">
        <f>SUM(Acrola[Area (Mi)])</f>
        <v>6945668.801</v>
      </c>
      <c r="M27" s="257" t="s">
        <v>1045</v>
      </c>
      <c r="N27" s="257" t="s">
        <v>1045</v>
      </c>
      <c r="O27" s="257" t="s">
        <v>1045</v>
      </c>
      <c r="P27" s="257" t="s">
        <v>1045</v>
      </c>
      <c r="Q27" s="257" t="s">
        <v>186</v>
      </c>
      <c r="R27" s="278"/>
      <c r="S27" s="325">
        <f>SUM(Acrola[Military])</f>
        <v>135069645564</v>
      </c>
      <c r="T27" s="326"/>
    </row>
    <row r="28">
      <c r="A28" s="75"/>
      <c r="B28" s="74"/>
      <c r="C28" s="74"/>
      <c r="D28" s="72"/>
      <c r="E28" s="73"/>
      <c r="F28" s="76"/>
      <c r="G28" s="77"/>
      <c r="H28" s="76"/>
      <c r="I28" s="77"/>
      <c r="J28" s="78"/>
      <c r="K28" s="76"/>
      <c r="L28" s="76"/>
      <c r="M28" s="72"/>
      <c r="N28" s="72"/>
      <c r="O28" s="72"/>
      <c r="P28" s="75"/>
      <c r="Q28" s="75"/>
      <c r="R28" s="79"/>
      <c r="S28" s="79"/>
      <c r="T28" s="327"/>
    </row>
    <row r="29">
      <c r="A29" s="85"/>
      <c r="B29" s="84"/>
      <c r="C29" s="84"/>
      <c r="D29" s="72"/>
      <c r="E29" s="83"/>
      <c r="F29" s="76"/>
      <c r="G29" s="83"/>
      <c r="H29" s="76"/>
      <c r="I29" s="83"/>
      <c r="J29" s="86"/>
      <c r="K29" s="76"/>
      <c r="L29" s="76"/>
      <c r="M29" s="87"/>
      <c r="N29" s="72"/>
      <c r="O29" s="76"/>
      <c r="P29" s="79"/>
      <c r="Q29" s="88"/>
      <c r="R29" s="79"/>
      <c r="S29" s="88"/>
      <c r="T29" s="328"/>
    </row>
    <row r="30">
      <c r="A30" s="85"/>
      <c r="B30" s="84"/>
      <c r="C30" s="84"/>
      <c r="D30" s="72"/>
      <c r="E30" s="83"/>
      <c r="F30" s="76"/>
      <c r="G30" s="91"/>
      <c r="H30" s="76"/>
      <c r="I30" s="91"/>
      <c r="J30" s="86"/>
      <c r="K30" s="76"/>
      <c r="L30" s="76"/>
      <c r="M30" s="87"/>
      <c r="N30" s="72"/>
      <c r="O30" s="76"/>
      <c r="P30" s="79"/>
      <c r="Q30" s="88"/>
      <c r="R30" s="88"/>
      <c r="S30" s="88"/>
      <c r="T30" s="328"/>
    </row>
    <row r="31">
      <c r="A31" s="85"/>
      <c r="B31" s="84"/>
      <c r="C31" s="84"/>
      <c r="D31" s="86"/>
      <c r="E31" s="83"/>
      <c r="F31" s="76"/>
      <c r="G31" s="83"/>
      <c r="H31" s="76"/>
      <c r="I31" s="83"/>
      <c r="J31" s="86"/>
      <c r="K31" s="76"/>
      <c r="L31" s="76"/>
      <c r="M31" s="87"/>
      <c r="N31" s="72"/>
      <c r="O31" s="76"/>
      <c r="P31" s="79"/>
      <c r="Q31" s="88"/>
      <c r="R31" s="88"/>
      <c r="S31" s="88"/>
      <c r="T31" s="328"/>
    </row>
    <row r="32">
      <c r="A32" s="85"/>
      <c r="B32" s="84"/>
      <c r="C32" s="84"/>
      <c r="D32" s="86"/>
      <c r="E32" s="83"/>
      <c r="F32" s="76"/>
      <c r="G32" s="72"/>
      <c r="H32" s="76"/>
      <c r="I32" s="72"/>
      <c r="J32" s="86"/>
      <c r="K32" s="76"/>
      <c r="L32" s="76"/>
      <c r="M32" s="87"/>
      <c r="N32" s="72"/>
      <c r="O32" s="76"/>
      <c r="P32" s="79"/>
      <c r="Q32" s="88"/>
      <c r="R32" s="88"/>
      <c r="S32" s="88"/>
      <c r="T32" s="328"/>
    </row>
    <row r="33">
      <c r="A33" s="85"/>
      <c r="B33" s="84"/>
      <c r="C33" s="84"/>
      <c r="D33" s="86"/>
      <c r="E33" s="83"/>
      <c r="F33" s="76"/>
      <c r="G33" s="72"/>
      <c r="H33" s="76"/>
      <c r="I33" s="72"/>
      <c r="J33" s="86"/>
      <c r="K33" s="76"/>
      <c r="L33" s="76"/>
      <c r="M33" s="87"/>
      <c r="N33" s="72"/>
      <c r="O33" s="76"/>
      <c r="P33" s="79"/>
      <c r="Q33" s="88"/>
      <c r="R33" s="88"/>
      <c r="S33" s="88"/>
      <c r="T33" s="328"/>
    </row>
    <row r="34">
      <c r="A34" s="85"/>
      <c r="B34" s="84"/>
      <c r="C34" s="84"/>
      <c r="D34" s="86"/>
      <c r="E34" s="83"/>
      <c r="F34" s="76"/>
      <c r="G34" s="72"/>
      <c r="H34" s="76"/>
      <c r="I34" s="72"/>
      <c r="J34" s="86"/>
      <c r="K34" s="76"/>
      <c r="L34" s="76"/>
      <c r="M34" s="87"/>
      <c r="N34" s="72"/>
      <c r="O34" s="76"/>
      <c r="P34" s="79"/>
      <c r="Q34" s="88"/>
      <c r="R34" s="88"/>
      <c r="S34" s="88"/>
      <c r="T34" s="328"/>
    </row>
    <row r="35">
      <c r="A35" s="85"/>
      <c r="B35" s="84"/>
      <c r="C35" s="84"/>
      <c r="D35" s="86"/>
      <c r="E35" s="83"/>
      <c r="F35" s="76"/>
      <c r="G35" s="72"/>
      <c r="H35" s="76"/>
      <c r="I35" s="72"/>
      <c r="J35" s="86"/>
      <c r="K35" s="76"/>
      <c r="L35" s="76"/>
      <c r="M35" s="87"/>
      <c r="N35" s="72"/>
      <c r="O35" s="76"/>
      <c r="P35" s="79"/>
      <c r="Q35" s="88"/>
      <c r="R35" s="88"/>
      <c r="S35" s="88"/>
      <c r="T35" s="328"/>
    </row>
    <row r="36">
      <c r="A36" s="85"/>
      <c r="B36" s="84"/>
      <c r="C36" s="84"/>
      <c r="D36" s="86"/>
      <c r="E36" s="83"/>
      <c r="F36" s="76"/>
      <c r="G36" s="72"/>
      <c r="H36" s="76"/>
      <c r="I36" s="72"/>
      <c r="J36" s="86"/>
      <c r="K36" s="76"/>
      <c r="L36" s="76"/>
      <c r="M36" s="87"/>
      <c r="N36" s="72"/>
      <c r="O36" s="76"/>
      <c r="P36" s="79"/>
      <c r="Q36" s="88"/>
      <c r="R36" s="88"/>
      <c r="S36" s="88"/>
      <c r="T36" s="328"/>
    </row>
    <row r="37">
      <c r="A37" s="85"/>
      <c r="B37" s="84"/>
      <c r="C37" s="84"/>
      <c r="D37" s="86"/>
      <c r="E37" s="83"/>
      <c r="F37" s="76"/>
      <c r="G37" s="72"/>
      <c r="H37" s="76"/>
      <c r="I37" s="72"/>
      <c r="J37" s="86"/>
      <c r="K37" s="76"/>
      <c r="L37" s="76"/>
      <c r="M37" s="87"/>
      <c r="N37" s="72"/>
      <c r="O37" s="76"/>
      <c r="P37" s="79"/>
      <c r="Q37" s="88"/>
      <c r="R37" s="88"/>
      <c r="S37" s="88"/>
      <c r="T37" s="328"/>
    </row>
    <row r="38">
      <c r="A38" s="85"/>
      <c r="B38" s="84"/>
      <c r="C38" s="84"/>
      <c r="D38" s="86"/>
      <c r="E38" s="83"/>
      <c r="F38" s="76"/>
      <c r="G38" s="72"/>
      <c r="H38" s="76"/>
      <c r="I38" s="72"/>
      <c r="J38" s="86"/>
      <c r="K38" s="76"/>
      <c r="L38" s="76"/>
      <c r="M38" s="87"/>
      <c r="N38" s="72"/>
      <c r="O38" s="76"/>
      <c r="P38" s="79"/>
      <c r="Q38" s="88"/>
      <c r="R38" s="88"/>
      <c r="S38" s="88"/>
      <c r="T38" s="328"/>
    </row>
  </sheetData>
  <dataValidations>
    <dataValidation type="custom" allowBlank="1" showDropDown="1" sqref="F2:I26">
      <formula1>AND(ISNUMBER(F2),(NOT(OR(NOT(ISERROR(DATEVALUE(F2))), AND(ISNUMBER(F2), LEFT(CELL("format", F2))="D")))))</formula1>
    </dataValidation>
    <dataValidation allowBlank="1" showDropDown="1" sqref="D2:D26"/>
  </dataValidations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3" width="20.63"/>
    <col customWidth="1" min="4" max="4" width="12.63"/>
    <col customWidth="1" min="5" max="5" width="12.88"/>
    <col customWidth="1" min="6" max="6" width="16.38"/>
    <col customWidth="1" min="7" max="7" width="12.13"/>
    <col customWidth="1" min="8" max="8" width="17.38"/>
    <col customWidth="1" min="9" max="9" width="11.75"/>
    <col customWidth="1" min="10" max="10" width="7.88"/>
    <col customWidth="1" min="11" max="11" width="12.25"/>
    <col customWidth="1" min="12" max="12" width="12.38"/>
    <col customWidth="1" min="13" max="13" width="9.5"/>
    <col customWidth="1" min="15" max="15" width="10.25"/>
    <col customWidth="1" min="16" max="16" width="10.38"/>
    <col customWidth="1" min="19" max="19" width="16.75"/>
    <col customWidth="1" min="20" max="20" width="11.38"/>
  </cols>
  <sheetData>
    <row r="1" ht="22.5" customHeight="1">
      <c r="A1" s="252" t="s">
        <v>4</v>
      </c>
      <c r="B1" s="3" t="s">
        <v>2</v>
      </c>
      <c r="C1" s="3" t="s">
        <v>3</v>
      </c>
      <c r="D1" s="1" t="s">
        <v>0</v>
      </c>
      <c r="E1" s="2" t="s">
        <v>1</v>
      </c>
      <c r="F1" s="1" t="s">
        <v>5</v>
      </c>
      <c r="G1" s="5" t="s">
        <v>6</v>
      </c>
      <c r="H1" s="1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7" t="s">
        <v>12</v>
      </c>
      <c r="N1" s="4" t="s">
        <v>13</v>
      </c>
      <c r="O1" s="4" t="s">
        <v>14</v>
      </c>
      <c r="P1" s="252" t="s">
        <v>15</v>
      </c>
      <c r="Q1" s="252" t="s">
        <v>16</v>
      </c>
      <c r="R1" s="252" t="s">
        <v>17</v>
      </c>
      <c r="S1" s="252" t="s">
        <v>1078</v>
      </c>
      <c r="T1" s="298" t="s">
        <v>22</v>
      </c>
    </row>
    <row r="2" ht="22.5" customHeight="1">
      <c r="A2" s="257" t="s">
        <v>26</v>
      </c>
      <c r="B2" s="320" t="s">
        <v>224</v>
      </c>
      <c r="C2" s="321" t="s">
        <v>225</v>
      </c>
      <c r="D2" s="268" t="s">
        <v>1288</v>
      </c>
      <c r="E2" s="322">
        <f t="shared" ref="E2:E21" si="1">SUM(J2*K2)</f>
        <v>9533899.723</v>
      </c>
      <c r="F2" s="281">
        <f t="shared" ref="F2:F21" si="2">SUM(G2*E2)</f>
        <v>187273030265</v>
      </c>
      <c r="G2" s="282">
        <v>19642.85714285714</v>
      </c>
      <c r="H2" s="281">
        <v>2.022548726865857E11</v>
      </c>
      <c r="I2" s="282">
        <f t="shared" ref="I2:I21" si="3">sum(H2/E2)</f>
        <v>21214.28571</v>
      </c>
      <c r="J2" s="302">
        <v>2.7099</v>
      </c>
      <c r="K2" s="303">
        <v>3518174.0</v>
      </c>
      <c r="L2" s="304">
        <f t="shared" ref="L2:L21" si="4">SUM(K2*0.386102)</f>
        <v>1358374.018</v>
      </c>
      <c r="M2" s="305">
        <v>0.945</v>
      </c>
      <c r="N2" s="306">
        <v>8.44</v>
      </c>
      <c r="O2" s="307">
        <v>24.0</v>
      </c>
      <c r="P2" s="278" t="s">
        <v>1328</v>
      </c>
      <c r="Q2" s="257" t="s">
        <v>321</v>
      </c>
      <c r="R2" s="257" t="s">
        <v>1329</v>
      </c>
      <c r="S2" s="312">
        <f t="shared" ref="S2:S21" si="5">SUM(F2*T2)</f>
        <v>0</v>
      </c>
      <c r="T2" s="298"/>
    </row>
    <row r="3" ht="22.5" customHeight="1">
      <c r="A3" s="257" t="s">
        <v>26</v>
      </c>
      <c r="B3" s="319" t="s">
        <v>650</v>
      </c>
      <c r="C3" s="314" t="s">
        <v>651</v>
      </c>
      <c r="D3" s="256" t="s">
        <v>23</v>
      </c>
      <c r="E3" s="315">
        <f t="shared" si="1"/>
        <v>301115278.2</v>
      </c>
      <c r="F3" s="281">
        <f t="shared" si="2"/>
        <v>8579395623719</v>
      </c>
      <c r="G3" s="282">
        <v>28492.0634920635</v>
      </c>
      <c r="H3" s="281">
        <v>8.579395623719494E12</v>
      </c>
      <c r="I3" s="282">
        <f t="shared" si="3"/>
        <v>28492.06349</v>
      </c>
      <c r="J3" s="302">
        <v>127.8124</v>
      </c>
      <c r="K3" s="303">
        <v>2355916.0</v>
      </c>
      <c r="L3" s="304">
        <f t="shared" si="4"/>
        <v>909623.8794</v>
      </c>
      <c r="M3" s="305">
        <v>0.942</v>
      </c>
      <c r="N3" s="306">
        <v>8.66</v>
      </c>
      <c r="O3" s="307">
        <v>20.0</v>
      </c>
      <c r="P3" s="278" t="s">
        <v>27</v>
      </c>
      <c r="Q3" s="257" t="s">
        <v>28</v>
      </c>
      <c r="R3" s="255" t="s">
        <v>29</v>
      </c>
      <c r="S3" s="308">
        <f t="shared" si="5"/>
        <v>292557390769</v>
      </c>
      <c r="T3" s="329">
        <v>0.0341</v>
      </c>
    </row>
    <row r="4" ht="22.5" customHeight="1">
      <c r="A4" s="257" t="s">
        <v>26</v>
      </c>
      <c r="B4" s="321" t="s">
        <v>201</v>
      </c>
      <c r="C4" s="321" t="s">
        <v>202</v>
      </c>
      <c r="D4" s="256" t="s">
        <v>57</v>
      </c>
      <c r="E4" s="322">
        <f t="shared" si="1"/>
        <v>74667446.56</v>
      </c>
      <c r="F4" s="281">
        <f t="shared" si="2"/>
        <v>2642990568619</v>
      </c>
      <c r="G4" s="282">
        <v>35396.8253968254</v>
      </c>
      <c r="H4" s="281">
        <v>2.1910391813852168E12</v>
      </c>
      <c r="I4" s="282">
        <f t="shared" si="3"/>
        <v>29343.96825</v>
      </c>
      <c r="J4" s="302">
        <v>40.0399</v>
      </c>
      <c r="K4" s="330">
        <v>1864826.0</v>
      </c>
      <c r="L4" s="304">
        <f t="shared" si="4"/>
        <v>720013.0483</v>
      </c>
      <c r="M4" s="305">
        <v>0.969</v>
      </c>
      <c r="N4" s="306">
        <v>9.04</v>
      </c>
      <c r="O4" s="307">
        <v>22.0</v>
      </c>
      <c r="P4" s="278" t="s">
        <v>60</v>
      </c>
      <c r="Q4" s="257" t="s">
        <v>61</v>
      </c>
      <c r="R4" s="255" t="s">
        <v>62</v>
      </c>
      <c r="S4" s="308">
        <f t="shared" si="5"/>
        <v>57617194396</v>
      </c>
      <c r="T4" s="331">
        <v>0.0218</v>
      </c>
    </row>
    <row r="5" ht="22.5" customHeight="1">
      <c r="A5" s="257" t="s">
        <v>26</v>
      </c>
      <c r="B5" s="299" t="s">
        <v>300</v>
      </c>
      <c r="C5" s="300" t="s">
        <v>301</v>
      </c>
      <c r="D5" s="256" t="s">
        <v>223</v>
      </c>
      <c r="E5" s="301">
        <f t="shared" si="1"/>
        <v>15795087.26</v>
      </c>
      <c r="F5" s="281">
        <f t="shared" si="2"/>
        <v>294590913242</v>
      </c>
      <c r="G5" s="282">
        <v>18650.79365079365</v>
      </c>
      <c r="H5" s="281">
        <v>4.301027333336445E11</v>
      </c>
      <c r="I5" s="282">
        <f t="shared" si="3"/>
        <v>27230.15873</v>
      </c>
      <c r="J5" s="302">
        <v>8.8549</v>
      </c>
      <c r="K5" s="303">
        <v>1783768.0</v>
      </c>
      <c r="L5" s="304">
        <f t="shared" si="4"/>
        <v>688716.3923</v>
      </c>
      <c r="M5" s="305">
        <v>0.874</v>
      </c>
      <c r="N5" s="306">
        <v>9.25</v>
      </c>
      <c r="O5" s="307">
        <v>27.0</v>
      </c>
      <c r="P5" s="278" t="s">
        <v>226</v>
      </c>
      <c r="Q5" s="257" t="s">
        <v>227</v>
      </c>
      <c r="R5" s="257" t="s">
        <v>228</v>
      </c>
      <c r="S5" s="312">
        <f t="shared" si="5"/>
        <v>0</v>
      </c>
      <c r="T5" s="298"/>
    </row>
    <row r="6" ht="22.5" customHeight="1">
      <c r="A6" s="257" t="s">
        <v>26</v>
      </c>
      <c r="B6" s="320" t="s">
        <v>408</v>
      </c>
      <c r="C6" s="321" t="s">
        <v>409</v>
      </c>
      <c r="D6" s="264" t="s">
        <v>1292</v>
      </c>
      <c r="E6" s="322">
        <f t="shared" si="1"/>
        <v>6524522.109</v>
      </c>
      <c r="F6" s="281">
        <f t="shared" si="2"/>
        <v>161300685473</v>
      </c>
      <c r="G6" s="282">
        <v>24722.222222222223</v>
      </c>
      <c r="H6" s="281">
        <v>1.8388278143865E11</v>
      </c>
      <c r="I6" s="282">
        <f t="shared" si="3"/>
        <v>28183.33333</v>
      </c>
      <c r="J6" s="302">
        <v>4.0803</v>
      </c>
      <c r="K6" s="303">
        <v>1599030.0</v>
      </c>
      <c r="L6" s="304">
        <f t="shared" si="4"/>
        <v>617388.6811</v>
      </c>
      <c r="M6" s="305">
        <v>0.908</v>
      </c>
      <c r="N6" s="306">
        <v>7.39</v>
      </c>
      <c r="O6" s="307">
        <v>28.0</v>
      </c>
      <c r="P6" s="278" t="s">
        <v>344</v>
      </c>
      <c r="Q6" s="257" t="s">
        <v>345</v>
      </c>
      <c r="R6" s="257" t="s">
        <v>1330</v>
      </c>
      <c r="S6" s="312">
        <f t="shared" si="5"/>
        <v>0</v>
      </c>
      <c r="T6" s="298"/>
    </row>
    <row r="7" ht="22.5" customHeight="1">
      <c r="A7" s="257" t="s">
        <v>26</v>
      </c>
      <c r="B7" s="319" t="s">
        <v>622</v>
      </c>
      <c r="C7" s="314" t="s">
        <v>623</v>
      </c>
      <c r="D7" s="256" t="s">
        <v>147</v>
      </c>
      <c r="E7" s="315">
        <f t="shared" si="1"/>
        <v>53637197.89</v>
      </c>
      <c r="F7" s="281">
        <f t="shared" si="2"/>
        <v>834356411649</v>
      </c>
      <c r="G7" s="282">
        <v>15555.555555555555</v>
      </c>
      <c r="H7" s="259">
        <v>1.20993956628841E12</v>
      </c>
      <c r="I7" s="282">
        <f t="shared" si="3"/>
        <v>22557.84444</v>
      </c>
      <c r="J7" s="302">
        <v>45.8077</v>
      </c>
      <c r="K7" s="303">
        <v>1170921.0</v>
      </c>
      <c r="L7" s="304">
        <f t="shared" si="4"/>
        <v>452094.9399</v>
      </c>
      <c r="M7" s="305">
        <v>0.868</v>
      </c>
      <c r="N7" s="306">
        <v>6.73</v>
      </c>
      <c r="O7" s="307">
        <v>26.0</v>
      </c>
      <c r="P7" s="257" t="s">
        <v>150</v>
      </c>
      <c r="Q7" s="257" t="s">
        <v>151</v>
      </c>
      <c r="R7" s="255" t="s">
        <v>152</v>
      </c>
      <c r="S7" s="308">
        <f t="shared" si="5"/>
        <v>14350930280</v>
      </c>
      <c r="T7" s="298">
        <v>0.0172</v>
      </c>
    </row>
    <row r="8" ht="22.5" customHeight="1">
      <c r="A8" s="257" t="s">
        <v>26</v>
      </c>
      <c r="B8" s="321" t="s">
        <v>64</v>
      </c>
      <c r="C8" s="321" t="s">
        <v>65</v>
      </c>
      <c r="D8" s="256" t="s">
        <v>407</v>
      </c>
      <c r="E8" s="322">
        <f t="shared" si="1"/>
        <v>6585929.991</v>
      </c>
      <c r="F8" s="281">
        <f t="shared" si="2"/>
        <v>96175485583</v>
      </c>
      <c r="G8" s="282">
        <v>14603.174603174602</v>
      </c>
      <c r="H8" s="281">
        <v>1.5580428664422858E11</v>
      </c>
      <c r="I8" s="282">
        <f t="shared" si="3"/>
        <v>23657.14286</v>
      </c>
      <c r="J8" s="302">
        <v>11.9346</v>
      </c>
      <c r="K8" s="303">
        <v>551835.0</v>
      </c>
      <c r="L8" s="304">
        <f t="shared" si="4"/>
        <v>213064.5972</v>
      </c>
      <c r="M8" s="305">
        <v>0.862</v>
      </c>
      <c r="N8" s="306">
        <v>6.91</v>
      </c>
      <c r="O8" s="307">
        <v>29.0</v>
      </c>
      <c r="P8" s="278" t="s">
        <v>410</v>
      </c>
      <c r="Q8" s="257" t="s">
        <v>411</v>
      </c>
      <c r="R8" s="257" t="s">
        <v>412</v>
      </c>
      <c r="S8" s="312">
        <f t="shared" si="5"/>
        <v>0</v>
      </c>
      <c r="T8" s="298"/>
    </row>
    <row r="9" ht="22.5" customHeight="1">
      <c r="A9" s="257" t="s">
        <v>26</v>
      </c>
      <c r="B9" s="314" t="s">
        <v>288</v>
      </c>
      <c r="C9" s="314" t="s">
        <v>289</v>
      </c>
      <c r="D9" s="264" t="s">
        <v>615</v>
      </c>
      <c r="E9" s="315">
        <f t="shared" si="1"/>
        <v>3347590.216</v>
      </c>
      <c r="F9" s="281">
        <f t="shared" si="2"/>
        <v>34937151856</v>
      </c>
      <c r="G9" s="282">
        <v>10436.507936507936</v>
      </c>
      <c r="H9" s="281">
        <v>5.34538423403175E10</v>
      </c>
      <c r="I9" s="282">
        <f t="shared" si="3"/>
        <v>15967.85714</v>
      </c>
      <c r="J9" s="302">
        <v>16.5551</v>
      </c>
      <c r="K9" s="303">
        <v>202209.0</v>
      </c>
      <c r="L9" s="304">
        <f t="shared" si="4"/>
        <v>78073.29932</v>
      </c>
      <c r="M9" s="305">
        <v>0.901</v>
      </c>
      <c r="N9" s="306">
        <v>8.59</v>
      </c>
      <c r="O9" s="307">
        <v>211.0</v>
      </c>
      <c r="P9" s="278" t="s">
        <v>618</v>
      </c>
      <c r="Q9" s="257" t="s">
        <v>619</v>
      </c>
      <c r="R9" s="257" t="s">
        <v>620</v>
      </c>
      <c r="S9" s="312">
        <f t="shared" si="5"/>
        <v>0</v>
      </c>
      <c r="T9" s="298"/>
    </row>
    <row r="10" ht="22.5" customHeight="1">
      <c r="A10" s="257" t="s">
        <v>26</v>
      </c>
      <c r="B10" s="320" t="s">
        <v>259</v>
      </c>
      <c r="C10" s="321" t="s">
        <v>260</v>
      </c>
      <c r="D10" s="256" t="s">
        <v>359</v>
      </c>
      <c r="E10" s="322">
        <f t="shared" si="1"/>
        <v>7438559.464</v>
      </c>
      <c r="F10" s="281">
        <f t="shared" si="2"/>
        <v>135192866449</v>
      </c>
      <c r="G10" s="282">
        <v>18174.603174603173</v>
      </c>
      <c r="H10" s="281">
        <v>1.446563671003111E11</v>
      </c>
      <c r="I10" s="282">
        <f t="shared" si="3"/>
        <v>19446.8254</v>
      </c>
      <c r="J10" s="302">
        <v>44.2666</v>
      </c>
      <c r="K10" s="303">
        <v>168040.0</v>
      </c>
      <c r="L10" s="304">
        <f t="shared" si="4"/>
        <v>64880.58008</v>
      </c>
      <c r="M10" s="305">
        <v>0.955</v>
      </c>
      <c r="N10" s="306">
        <v>8.77</v>
      </c>
      <c r="O10" s="307">
        <v>213.0</v>
      </c>
      <c r="P10" s="278" t="s">
        <v>362</v>
      </c>
      <c r="Q10" s="257" t="s">
        <v>363</v>
      </c>
      <c r="R10" s="257" t="s">
        <v>364</v>
      </c>
      <c r="S10" s="312">
        <f t="shared" si="5"/>
        <v>0</v>
      </c>
      <c r="T10" s="298"/>
    </row>
    <row r="11" ht="22.5" customHeight="1">
      <c r="A11" s="257" t="s">
        <v>26</v>
      </c>
      <c r="B11" s="299" t="s">
        <v>230</v>
      </c>
      <c r="C11" s="300" t="s">
        <v>231</v>
      </c>
      <c r="D11" s="256" t="s">
        <v>485</v>
      </c>
      <c r="E11" s="301">
        <f t="shared" si="1"/>
        <v>4620319.75</v>
      </c>
      <c r="F11" s="281">
        <f t="shared" si="2"/>
        <v>59404111071</v>
      </c>
      <c r="G11" s="282">
        <v>12857.142857142857</v>
      </c>
      <c r="H11" s="281">
        <v>7.603726217142857E10</v>
      </c>
      <c r="I11" s="282">
        <f t="shared" si="3"/>
        <v>16457.14286</v>
      </c>
      <c r="J11" s="302">
        <v>35.0356</v>
      </c>
      <c r="K11" s="303">
        <v>131875.0</v>
      </c>
      <c r="L11" s="304">
        <f t="shared" si="4"/>
        <v>50917.20125</v>
      </c>
      <c r="M11" s="305">
        <v>0.939</v>
      </c>
      <c r="N11" s="306">
        <v>7.68</v>
      </c>
      <c r="O11" s="307">
        <v>246.0</v>
      </c>
      <c r="P11" s="257" t="s">
        <v>488</v>
      </c>
      <c r="Q11" s="257" t="s">
        <v>489</v>
      </c>
      <c r="R11" s="257" t="s">
        <v>490</v>
      </c>
      <c r="S11" s="312">
        <f t="shared" si="5"/>
        <v>0</v>
      </c>
      <c r="T11" s="298"/>
    </row>
    <row r="12" ht="22.5" customHeight="1">
      <c r="A12" s="257" t="s">
        <v>26</v>
      </c>
      <c r="B12" s="320" t="s">
        <v>691</v>
      </c>
      <c r="C12" s="321" t="s">
        <v>692</v>
      </c>
      <c r="D12" s="256" t="s">
        <v>537</v>
      </c>
      <c r="E12" s="322">
        <f t="shared" si="1"/>
        <v>27120467.56</v>
      </c>
      <c r="F12" s="281">
        <f t="shared" si="2"/>
        <v>50581824409</v>
      </c>
      <c r="G12" s="282">
        <v>1865.079365079365</v>
      </c>
      <c r="H12" s="281">
        <v>1.502280184932686E11</v>
      </c>
      <c r="I12" s="282">
        <f t="shared" si="3"/>
        <v>5539.285714</v>
      </c>
      <c r="J12" s="302">
        <v>214.0729</v>
      </c>
      <c r="K12" s="330">
        <v>126688.0</v>
      </c>
      <c r="L12" s="304">
        <f t="shared" si="4"/>
        <v>48914.49018</v>
      </c>
      <c r="M12" s="305">
        <v>0.736</v>
      </c>
      <c r="N12" s="306">
        <v>2.57</v>
      </c>
      <c r="O12" s="307">
        <v>711.0</v>
      </c>
      <c r="P12" s="278" t="s">
        <v>540</v>
      </c>
      <c r="Q12" s="257" t="s">
        <v>541</v>
      </c>
      <c r="R12" s="257" t="s">
        <v>542</v>
      </c>
      <c r="S12" s="312">
        <f t="shared" si="5"/>
        <v>0</v>
      </c>
      <c r="T12" s="298"/>
    </row>
    <row r="13" ht="22.5" customHeight="1">
      <c r="A13" s="257" t="s">
        <v>26</v>
      </c>
      <c r="B13" s="319" t="s">
        <v>166</v>
      </c>
      <c r="C13" s="314" t="s">
        <v>167</v>
      </c>
      <c r="D13" s="256" t="s">
        <v>531</v>
      </c>
      <c r="E13" s="315">
        <f t="shared" si="1"/>
        <v>4523612.812</v>
      </c>
      <c r="F13" s="281">
        <f t="shared" si="2"/>
        <v>50800889917</v>
      </c>
      <c r="G13" s="282">
        <v>11230.15873015873</v>
      </c>
      <c r="H13" s="281">
        <v>8.839354845563524E10</v>
      </c>
      <c r="I13" s="282">
        <f t="shared" si="3"/>
        <v>19540.47619</v>
      </c>
      <c r="J13" s="302">
        <v>47.7406</v>
      </c>
      <c r="K13" s="303">
        <v>94754.0</v>
      </c>
      <c r="L13" s="304">
        <f t="shared" si="4"/>
        <v>36584.70891</v>
      </c>
      <c r="M13" s="305">
        <v>0.856</v>
      </c>
      <c r="N13" s="306">
        <v>8.12</v>
      </c>
      <c r="O13" s="307">
        <v>247.0</v>
      </c>
      <c r="P13" s="278" t="s">
        <v>534</v>
      </c>
      <c r="Q13" s="257" t="s">
        <v>535</v>
      </c>
      <c r="R13" s="257" t="s">
        <v>536</v>
      </c>
      <c r="S13" s="312">
        <f t="shared" si="5"/>
        <v>0</v>
      </c>
      <c r="T13" s="298"/>
    </row>
    <row r="14" ht="22.5" customHeight="1">
      <c r="A14" s="257" t="s">
        <v>26</v>
      </c>
      <c r="B14" s="321" t="s">
        <v>656</v>
      </c>
      <c r="C14" s="321" t="s">
        <v>657</v>
      </c>
      <c r="D14" s="264" t="s">
        <v>467</v>
      </c>
      <c r="E14" s="322">
        <f t="shared" si="1"/>
        <v>13705583.66</v>
      </c>
      <c r="F14" s="281">
        <f t="shared" si="2"/>
        <v>69071790646</v>
      </c>
      <c r="G14" s="282">
        <v>5039.68253968254</v>
      </c>
      <c r="H14" s="259">
        <v>1.04030093141235E11</v>
      </c>
      <c r="I14" s="282">
        <f t="shared" si="3"/>
        <v>7590.343889</v>
      </c>
      <c r="J14" s="302">
        <v>171.2299</v>
      </c>
      <c r="K14" s="303">
        <v>80042.0</v>
      </c>
      <c r="L14" s="304">
        <f t="shared" si="4"/>
        <v>30904.37628</v>
      </c>
      <c r="M14" s="305">
        <v>0.668</v>
      </c>
      <c r="N14" s="306">
        <v>5.24</v>
      </c>
      <c r="O14" s="307">
        <v>210.0</v>
      </c>
      <c r="P14" s="257" t="s">
        <v>470</v>
      </c>
      <c r="Q14" s="257" t="s">
        <v>471</v>
      </c>
      <c r="R14" s="257" t="s">
        <v>472</v>
      </c>
      <c r="S14" s="312">
        <f t="shared" si="5"/>
        <v>0</v>
      </c>
      <c r="T14" s="298"/>
    </row>
    <row r="15" ht="22.5" customHeight="1">
      <c r="A15" s="257" t="s">
        <v>26</v>
      </c>
      <c r="B15" s="299" t="s">
        <v>504</v>
      </c>
      <c r="C15" s="300" t="s">
        <v>505</v>
      </c>
      <c r="D15" s="256" t="s">
        <v>720</v>
      </c>
      <c r="E15" s="301">
        <f t="shared" si="1"/>
        <v>2170549.55</v>
      </c>
      <c r="F15" s="281">
        <f t="shared" si="2"/>
        <v>18087912918</v>
      </c>
      <c r="G15" s="282">
        <v>8333.333333333334</v>
      </c>
      <c r="H15" s="281">
        <v>3.0387693701400005E10</v>
      </c>
      <c r="I15" s="282">
        <f t="shared" si="3"/>
        <v>14000</v>
      </c>
      <c r="J15" s="302">
        <v>52.3617</v>
      </c>
      <c r="K15" s="303">
        <v>41453.0</v>
      </c>
      <c r="L15" s="304">
        <f t="shared" si="4"/>
        <v>16005.08621</v>
      </c>
      <c r="M15" s="305">
        <v>0.883</v>
      </c>
      <c r="N15" s="306">
        <v>6.18</v>
      </c>
      <c r="O15" s="307">
        <v>242.0</v>
      </c>
      <c r="P15" s="257" t="s">
        <v>723</v>
      </c>
      <c r="Q15" s="257" t="s">
        <v>724</v>
      </c>
      <c r="R15" s="257" t="s">
        <v>725</v>
      </c>
      <c r="S15" s="312">
        <f t="shared" si="5"/>
        <v>0</v>
      </c>
      <c r="T15" s="298"/>
    </row>
    <row r="16" ht="22.5" customHeight="1">
      <c r="A16" s="257" t="s">
        <v>26</v>
      </c>
      <c r="B16" s="317" t="s">
        <v>673</v>
      </c>
      <c r="C16" s="310" t="s">
        <v>674</v>
      </c>
      <c r="D16" s="264" t="s">
        <v>714</v>
      </c>
      <c r="E16" s="311">
        <f t="shared" si="1"/>
        <v>1300163.451</v>
      </c>
      <c r="F16" s="281">
        <f t="shared" si="2"/>
        <v>18934920101</v>
      </c>
      <c r="G16" s="282">
        <v>14563.492063492064</v>
      </c>
      <c r="H16" s="281">
        <v>2.650888814187222E10</v>
      </c>
      <c r="I16" s="282">
        <f t="shared" si="3"/>
        <v>20388.88889</v>
      </c>
      <c r="J16" s="302">
        <v>38.1179</v>
      </c>
      <c r="K16" s="303">
        <v>34109.0</v>
      </c>
      <c r="L16" s="304">
        <f t="shared" si="4"/>
        <v>13169.55312</v>
      </c>
      <c r="M16" s="305">
        <v>0.907</v>
      </c>
      <c r="N16" s="306">
        <v>7.85</v>
      </c>
      <c r="O16" s="307">
        <v>215.0</v>
      </c>
      <c r="P16" s="278" t="s">
        <v>717</v>
      </c>
      <c r="Q16" s="257" t="s">
        <v>718</v>
      </c>
      <c r="R16" s="257" t="s">
        <v>719</v>
      </c>
      <c r="S16" s="312">
        <f t="shared" si="5"/>
        <v>0</v>
      </c>
      <c r="T16" s="298"/>
    </row>
    <row r="17" ht="22.5" customHeight="1">
      <c r="A17" s="257" t="s">
        <v>26</v>
      </c>
      <c r="B17" s="314" t="s">
        <v>845</v>
      </c>
      <c r="C17" s="314" t="s">
        <v>846</v>
      </c>
      <c r="D17" s="256" t="s">
        <v>803</v>
      </c>
      <c r="E17" s="315">
        <f t="shared" si="1"/>
        <v>2166682.557</v>
      </c>
      <c r="F17" s="281">
        <f t="shared" si="2"/>
        <v>8683926123</v>
      </c>
      <c r="G17" s="282">
        <v>4007.936507936508</v>
      </c>
      <c r="H17" s="281">
        <v>2.0754583433761353E10</v>
      </c>
      <c r="I17" s="282">
        <f t="shared" si="3"/>
        <v>9578.968254</v>
      </c>
      <c r="J17" s="302">
        <v>63.5279</v>
      </c>
      <c r="K17" s="303">
        <v>34106.0</v>
      </c>
      <c r="L17" s="304">
        <f t="shared" si="4"/>
        <v>13168.39481</v>
      </c>
      <c r="M17" s="305">
        <v>0.762</v>
      </c>
      <c r="N17" s="306">
        <v>5.19</v>
      </c>
      <c r="O17" s="307">
        <v>245.0</v>
      </c>
      <c r="P17" s="278" t="s">
        <v>806</v>
      </c>
      <c r="Q17" s="257" t="s">
        <v>807</v>
      </c>
      <c r="R17" s="257" t="s">
        <v>803</v>
      </c>
      <c r="S17" s="312">
        <f t="shared" si="5"/>
        <v>0</v>
      </c>
      <c r="T17" s="298"/>
    </row>
    <row r="18" ht="22.5" customHeight="1">
      <c r="A18" s="257" t="s">
        <v>26</v>
      </c>
      <c r="B18" s="320" t="s">
        <v>45</v>
      </c>
      <c r="C18" s="321" t="s">
        <v>46</v>
      </c>
      <c r="D18" s="256" t="s">
        <v>786</v>
      </c>
      <c r="E18" s="322">
        <f t="shared" si="1"/>
        <v>1405386.767</v>
      </c>
      <c r="F18" s="281">
        <f t="shared" si="2"/>
        <v>10205784859</v>
      </c>
      <c r="G18" s="282">
        <v>7261.9047619047615</v>
      </c>
      <c r="H18" s="281">
        <v>2.081980111134E10</v>
      </c>
      <c r="I18" s="282">
        <f t="shared" si="3"/>
        <v>14814.28571</v>
      </c>
      <c r="J18" s="302">
        <v>55.0506</v>
      </c>
      <c r="K18" s="303">
        <v>25529.0</v>
      </c>
      <c r="L18" s="304">
        <f t="shared" si="4"/>
        <v>9856.797958</v>
      </c>
      <c r="M18" s="305">
        <v>0.815</v>
      </c>
      <c r="N18" s="306">
        <v>7.36</v>
      </c>
      <c r="O18" s="307">
        <v>241.0</v>
      </c>
      <c r="P18" s="278" t="s">
        <v>789</v>
      </c>
      <c r="Q18" s="257" t="s">
        <v>790</v>
      </c>
      <c r="R18" s="257" t="s">
        <v>786</v>
      </c>
      <c r="S18" s="312">
        <f t="shared" si="5"/>
        <v>0</v>
      </c>
      <c r="T18" s="298"/>
    </row>
    <row r="19" ht="22.5" customHeight="1">
      <c r="A19" s="257" t="s">
        <v>26</v>
      </c>
      <c r="B19" s="319" t="s">
        <v>574</v>
      </c>
      <c r="C19" s="314" t="s">
        <v>575</v>
      </c>
      <c r="D19" s="264" t="s">
        <v>908</v>
      </c>
      <c r="E19" s="315">
        <f t="shared" si="1"/>
        <v>635532.1569</v>
      </c>
      <c r="F19" s="281">
        <f t="shared" si="2"/>
        <v>2824587364</v>
      </c>
      <c r="G19" s="282">
        <v>4444.444444444444</v>
      </c>
      <c r="H19" s="281">
        <v>6.553042684479999E9</v>
      </c>
      <c r="I19" s="282">
        <f t="shared" si="3"/>
        <v>10311.11111</v>
      </c>
      <c r="J19" s="302">
        <v>34.6509</v>
      </c>
      <c r="K19" s="303">
        <v>18341.0</v>
      </c>
      <c r="L19" s="304">
        <f t="shared" si="4"/>
        <v>7081.496782</v>
      </c>
      <c r="M19" s="305">
        <v>0.774</v>
      </c>
      <c r="N19" s="306">
        <v>6.92</v>
      </c>
      <c r="O19" s="307">
        <v>271.0</v>
      </c>
      <c r="P19" s="278" t="s">
        <v>911</v>
      </c>
      <c r="Q19" s="257" t="s">
        <v>912</v>
      </c>
      <c r="R19" s="257" t="s">
        <v>913</v>
      </c>
      <c r="S19" s="312">
        <f t="shared" si="5"/>
        <v>0</v>
      </c>
      <c r="T19" s="298"/>
    </row>
    <row r="20" ht="22.5" customHeight="1">
      <c r="A20" s="257" t="s">
        <v>26</v>
      </c>
      <c r="B20" s="317" t="s">
        <v>438</v>
      </c>
      <c r="C20" s="310" t="s">
        <v>439</v>
      </c>
      <c r="D20" s="256" t="s">
        <v>756</v>
      </c>
      <c r="E20" s="311">
        <f t="shared" si="1"/>
        <v>833491.136</v>
      </c>
      <c r="F20" s="281">
        <f t="shared" si="2"/>
        <v>13990744069</v>
      </c>
      <c r="G20" s="282">
        <v>16785.714285714286</v>
      </c>
      <c r="H20" s="281">
        <v>1.5809540797485714E10</v>
      </c>
      <c r="I20" s="282">
        <f t="shared" si="3"/>
        <v>18967.85714</v>
      </c>
      <c r="J20" s="302">
        <v>97.0304</v>
      </c>
      <c r="K20" s="303">
        <v>8590.0</v>
      </c>
      <c r="L20" s="304">
        <f t="shared" si="4"/>
        <v>3316.61618</v>
      </c>
      <c r="M20" s="332">
        <v>0.95</v>
      </c>
      <c r="N20" s="306">
        <v>8.07</v>
      </c>
      <c r="O20" s="307">
        <v>214.0</v>
      </c>
      <c r="P20" s="278" t="s">
        <v>759</v>
      </c>
      <c r="Q20" s="257" t="s">
        <v>760</v>
      </c>
      <c r="R20" s="255" t="s">
        <v>761</v>
      </c>
      <c r="S20" s="312">
        <f t="shared" si="5"/>
        <v>0</v>
      </c>
      <c r="T20" s="298"/>
    </row>
    <row r="21" ht="22.5" customHeight="1">
      <c r="A21" s="257" t="s">
        <v>26</v>
      </c>
      <c r="B21" s="300" t="s">
        <v>745</v>
      </c>
      <c r="C21" s="300" t="s">
        <v>746</v>
      </c>
      <c r="D21" s="256" t="s">
        <v>702</v>
      </c>
      <c r="E21" s="301">
        <f t="shared" si="1"/>
        <v>1158762.78</v>
      </c>
      <c r="F21" s="281">
        <f t="shared" si="2"/>
        <v>19450660950</v>
      </c>
      <c r="G21" s="282">
        <v>16785.714285714286</v>
      </c>
      <c r="H21" s="281">
        <v>2.54803658445E10</v>
      </c>
      <c r="I21" s="282">
        <f t="shared" si="3"/>
        <v>21989.28571</v>
      </c>
      <c r="J21" s="302">
        <v>175.172</v>
      </c>
      <c r="K21" s="303">
        <v>6615.0</v>
      </c>
      <c r="L21" s="304">
        <f t="shared" si="4"/>
        <v>2554.06473</v>
      </c>
      <c r="M21" s="305">
        <v>0.914</v>
      </c>
      <c r="N21" s="306">
        <v>8.98</v>
      </c>
      <c r="O21" s="307">
        <v>243.0</v>
      </c>
      <c r="P21" s="278" t="s">
        <v>705</v>
      </c>
      <c r="Q21" s="257" t="s">
        <v>706</v>
      </c>
      <c r="R21" s="257" t="s">
        <v>707</v>
      </c>
      <c r="S21" s="312">
        <f t="shared" si="5"/>
        <v>0</v>
      </c>
      <c r="T21" s="298"/>
    </row>
    <row r="22" ht="22.5" customHeight="1">
      <c r="A22" s="257" t="s">
        <v>1045</v>
      </c>
      <c r="B22" s="323"/>
      <c r="C22" s="323"/>
      <c r="D22" s="279" t="s">
        <v>1044</v>
      </c>
      <c r="E22" s="280">
        <f>SUM(Atirha[Population])</f>
        <v>538286063.5</v>
      </c>
      <c r="F22" s="281">
        <f>SUM(Atirha[GDP (Nominal)])</f>
        <v>13288249889282</v>
      </c>
      <c r="G22" s="282">
        <f>sum(Atirha[[#TOTALS],[GDP (Nominal)]]/Atirha[[#TOTALS],[Population]])</f>
        <v>24686.22316</v>
      </c>
      <c r="H22" s="281">
        <f>SUM(Atirha[GDP (PPP)])</f>
        <v>13715532092913</v>
      </c>
      <c r="I22" s="282">
        <f>sum(Atirha[[#TOTALS],[GDP (PPP)]]/Atirha[[#TOTALS],[Population]])</f>
        <v>25480.00593</v>
      </c>
      <c r="J22" s="324">
        <f>sum(Atirha[[#TOTALS],[Population]]/Atirha[[#TOTALS],[Area (Km)]])</f>
        <v>38.95874916</v>
      </c>
      <c r="K22" s="304">
        <f>SUM(Atirha[Area (Km)])</f>
        <v>13816821</v>
      </c>
      <c r="L22" s="304">
        <f>SUM(Atirha[Area (Mi)])</f>
        <v>5334702.222</v>
      </c>
      <c r="M22" s="257" t="s">
        <v>1045</v>
      </c>
      <c r="N22" s="257" t="s">
        <v>1045</v>
      </c>
      <c r="O22" s="257" t="s">
        <v>1045</v>
      </c>
      <c r="P22" s="257" t="s">
        <v>1045</v>
      </c>
      <c r="Q22" s="257" t="s">
        <v>186</v>
      </c>
      <c r="R22" s="278"/>
      <c r="S22" s="325">
        <f>SUM(Atirha[Military])</f>
        <v>364525515445</v>
      </c>
      <c r="T22" s="326"/>
    </row>
    <row r="23">
      <c r="A23" s="75"/>
      <c r="B23" s="74"/>
      <c r="C23" s="74"/>
      <c r="D23" s="72"/>
      <c r="E23" s="73"/>
      <c r="F23" s="76"/>
      <c r="G23" s="77"/>
      <c r="H23" s="76"/>
      <c r="I23" s="77"/>
      <c r="J23" s="78"/>
      <c r="K23" s="76"/>
      <c r="L23" s="76"/>
      <c r="M23" s="72"/>
      <c r="N23" s="72"/>
      <c r="O23" s="72"/>
      <c r="P23" s="75"/>
      <c r="Q23" s="75"/>
      <c r="R23" s="79"/>
      <c r="S23" s="79"/>
      <c r="T23" s="327"/>
    </row>
    <row r="24">
      <c r="A24" s="85"/>
      <c r="B24" s="84"/>
      <c r="C24" s="84"/>
      <c r="D24" s="72"/>
      <c r="E24" s="83"/>
      <c r="F24" s="76"/>
      <c r="G24" s="83"/>
      <c r="H24" s="76"/>
      <c r="I24" s="83"/>
      <c r="J24" s="86"/>
      <c r="K24" s="76"/>
      <c r="L24" s="76"/>
      <c r="M24" s="87"/>
      <c r="N24" s="72"/>
      <c r="O24" s="76"/>
      <c r="P24" s="79"/>
      <c r="Q24" s="88"/>
      <c r="R24" s="79"/>
      <c r="S24" s="88"/>
      <c r="T24" s="328"/>
    </row>
    <row r="25">
      <c r="A25" s="85"/>
      <c r="B25" s="84"/>
      <c r="C25" s="84"/>
      <c r="D25" s="72"/>
      <c r="E25" s="83"/>
      <c r="F25" s="76"/>
      <c r="G25" s="91"/>
      <c r="H25" s="76"/>
      <c r="I25" s="91"/>
      <c r="J25" s="86"/>
      <c r="K25" s="76"/>
      <c r="L25" s="76"/>
      <c r="M25" s="87"/>
      <c r="N25" s="72"/>
      <c r="O25" s="76"/>
      <c r="P25" s="79"/>
      <c r="Q25" s="88"/>
      <c r="R25" s="88"/>
      <c r="S25" s="88"/>
      <c r="T25" s="328"/>
    </row>
    <row r="26">
      <c r="A26" s="85"/>
      <c r="B26" s="84"/>
      <c r="C26" s="84"/>
      <c r="D26" s="86"/>
      <c r="E26" s="83"/>
      <c r="F26" s="76"/>
      <c r="G26" s="83"/>
      <c r="H26" s="76"/>
      <c r="I26" s="83"/>
      <c r="J26" s="86"/>
      <c r="K26" s="76"/>
      <c r="L26" s="76"/>
      <c r="M26" s="87"/>
      <c r="N26" s="72"/>
      <c r="O26" s="76"/>
      <c r="P26" s="79"/>
      <c r="Q26" s="88"/>
      <c r="R26" s="88"/>
      <c r="S26" s="88"/>
      <c r="T26" s="328"/>
    </row>
    <row r="27">
      <c r="A27" s="85"/>
      <c r="B27" s="84"/>
      <c r="C27" s="84"/>
      <c r="D27" s="86"/>
      <c r="E27" s="83"/>
      <c r="F27" s="76"/>
      <c r="G27" s="72"/>
      <c r="H27" s="76"/>
      <c r="I27" s="72"/>
      <c r="J27" s="86"/>
      <c r="K27" s="76"/>
      <c r="L27" s="76"/>
      <c r="M27" s="87"/>
      <c r="N27" s="72"/>
      <c r="O27" s="76"/>
      <c r="P27" s="79"/>
      <c r="Q27" s="88"/>
      <c r="R27" s="88"/>
      <c r="S27" s="88"/>
      <c r="T27" s="328"/>
    </row>
    <row r="28">
      <c r="A28" s="85"/>
      <c r="B28" s="84"/>
      <c r="C28" s="84"/>
      <c r="D28" s="86"/>
      <c r="E28" s="83"/>
      <c r="F28" s="76"/>
      <c r="G28" s="72"/>
      <c r="H28" s="76"/>
      <c r="I28" s="72"/>
      <c r="J28" s="86"/>
      <c r="K28" s="76"/>
      <c r="L28" s="76"/>
      <c r="M28" s="87"/>
      <c r="N28" s="72"/>
      <c r="O28" s="76"/>
      <c r="P28" s="79"/>
      <c r="Q28" s="88"/>
      <c r="R28" s="88"/>
      <c r="S28" s="88"/>
      <c r="T28" s="328"/>
    </row>
    <row r="29">
      <c r="A29" s="85"/>
      <c r="B29" s="84"/>
      <c r="C29" s="84"/>
      <c r="D29" s="86"/>
      <c r="E29" s="83"/>
      <c r="F29" s="76"/>
      <c r="G29" s="72"/>
      <c r="H29" s="76"/>
      <c r="I29" s="72"/>
      <c r="J29" s="86"/>
      <c r="K29" s="76"/>
      <c r="L29" s="76"/>
      <c r="M29" s="87"/>
      <c r="N29" s="72"/>
      <c r="O29" s="76"/>
      <c r="P29" s="79"/>
      <c r="Q29" s="88"/>
      <c r="R29" s="88"/>
      <c r="S29" s="88"/>
      <c r="T29" s="328"/>
    </row>
    <row r="30">
      <c r="A30" s="85"/>
      <c r="B30" s="84"/>
      <c r="C30" s="84"/>
      <c r="D30" s="86"/>
      <c r="E30" s="83"/>
      <c r="F30" s="76"/>
      <c r="G30" s="72"/>
      <c r="H30" s="76"/>
      <c r="I30" s="72"/>
      <c r="J30" s="86"/>
      <c r="K30" s="76"/>
      <c r="L30" s="76"/>
      <c r="M30" s="87"/>
      <c r="N30" s="72"/>
      <c r="O30" s="76"/>
      <c r="P30" s="79"/>
      <c r="Q30" s="88"/>
      <c r="R30" s="88"/>
      <c r="S30" s="88"/>
      <c r="T30" s="328"/>
    </row>
    <row r="31">
      <c r="A31" s="85"/>
      <c r="B31" s="84"/>
      <c r="C31" s="84"/>
      <c r="D31" s="86"/>
      <c r="E31" s="83"/>
      <c r="F31" s="76"/>
      <c r="G31" s="72"/>
      <c r="H31" s="76"/>
      <c r="I31" s="72"/>
      <c r="J31" s="86"/>
      <c r="K31" s="76"/>
      <c r="L31" s="76"/>
      <c r="M31" s="87"/>
      <c r="N31" s="72"/>
      <c r="O31" s="76"/>
      <c r="P31" s="79"/>
      <c r="Q31" s="88"/>
      <c r="R31" s="88"/>
      <c r="S31" s="88"/>
      <c r="T31" s="328"/>
    </row>
    <row r="32">
      <c r="A32" s="85"/>
      <c r="B32" s="84"/>
      <c r="C32" s="84"/>
      <c r="D32" s="86"/>
      <c r="E32" s="83"/>
      <c r="F32" s="76"/>
      <c r="G32" s="72"/>
      <c r="H32" s="76"/>
      <c r="I32" s="72"/>
      <c r="J32" s="86"/>
      <c r="K32" s="76"/>
      <c r="L32" s="76"/>
      <c r="M32" s="87"/>
      <c r="N32" s="72"/>
      <c r="O32" s="76"/>
      <c r="P32" s="79"/>
      <c r="Q32" s="88"/>
      <c r="R32" s="88"/>
      <c r="S32" s="88"/>
      <c r="T32" s="328"/>
    </row>
    <row r="33">
      <c r="A33" s="85"/>
      <c r="B33" s="84"/>
      <c r="C33" s="84"/>
      <c r="D33" s="86"/>
      <c r="E33" s="83"/>
      <c r="F33" s="76"/>
      <c r="G33" s="72"/>
      <c r="H33" s="76"/>
      <c r="I33" s="72"/>
      <c r="J33" s="86"/>
      <c r="K33" s="76"/>
      <c r="L33" s="76"/>
      <c r="M33" s="87"/>
      <c r="N33" s="72"/>
      <c r="O33" s="76"/>
      <c r="P33" s="79"/>
      <c r="Q33" s="88"/>
      <c r="R33" s="88"/>
      <c r="S33" s="88"/>
      <c r="T33" s="328"/>
    </row>
  </sheetData>
  <dataValidations>
    <dataValidation type="custom" allowBlank="1" showDropDown="1" sqref="F2:I21">
      <formula1>AND(ISNUMBER(F2),(NOT(OR(NOT(ISERROR(DATEVALUE(F2))), AND(ISNUMBER(F2), LEFT(CELL("format", F2))="D")))))</formula1>
    </dataValidation>
    <dataValidation allowBlank="1" showDropDown="1" sqref="D2:D21"/>
  </dataValidations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3" width="20.63"/>
    <col customWidth="1" min="4" max="4" width="12.63"/>
    <col customWidth="1" min="5" max="5" width="12.88"/>
    <col customWidth="1" min="6" max="6" width="16.38"/>
    <col customWidth="1" min="7" max="7" width="12.13"/>
    <col customWidth="1" min="8" max="8" width="17.38"/>
    <col customWidth="1" min="9" max="9" width="11.75"/>
    <col customWidth="1" min="10" max="10" width="7.88"/>
    <col customWidth="1" min="11" max="11" width="12.25"/>
    <col customWidth="1" min="12" max="12" width="12.38"/>
    <col customWidth="1" min="13" max="13" width="9.5"/>
    <col customWidth="1" min="15" max="15" width="10.25"/>
    <col customWidth="1" min="16" max="16" width="10.38"/>
    <col customWidth="1" min="19" max="19" width="16.75"/>
    <col customWidth="1" min="20" max="20" width="11.38"/>
  </cols>
  <sheetData>
    <row r="1" ht="22.5" customHeight="1">
      <c r="A1" s="252" t="s">
        <v>4</v>
      </c>
      <c r="B1" s="3" t="s">
        <v>2</v>
      </c>
      <c r="C1" s="3" t="s">
        <v>3</v>
      </c>
      <c r="D1" s="1" t="s">
        <v>0</v>
      </c>
      <c r="E1" s="2" t="s">
        <v>1</v>
      </c>
      <c r="F1" s="1" t="s">
        <v>5</v>
      </c>
      <c r="G1" s="5" t="s">
        <v>6</v>
      </c>
      <c r="H1" s="1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7" t="s">
        <v>12</v>
      </c>
      <c r="N1" s="4" t="s">
        <v>13</v>
      </c>
      <c r="O1" s="4" t="s">
        <v>14</v>
      </c>
      <c r="P1" s="252" t="s">
        <v>15</v>
      </c>
      <c r="Q1" s="252" t="s">
        <v>16</v>
      </c>
      <c r="R1" s="252" t="s">
        <v>17</v>
      </c>
      <c r="S1" s="252" t="s">
        <v>1078</v>
      </c>
      <c r="T1" s="298" t="s">
        <v>22</v>
      </c>
    </row>
    <row r="2" ht="22.5" customHeight="1">
      <c r="A2" s="257" t="s">
        <v>54</v>
      </c>
      <c r="B2" s="317" t="s">
        <v>277</v>
      </c>
      <c r="C2" s="310" t="s">
        <v>278</v>
      </c>
      <c r="D2" s="264" t="s">
        <v>51</v>
      </c>
      <c r="E2" s="311">
        <f t="shared" ref="E2:E30" si="1">SUM(J2*K2)</f>
        <v>260844815.7</v>
      </c>
      <c r="F2" s="281">
        <f t="shared" ref="F2:F30" si="2">SUM(G2*E2)</f>
        <v>2805116867175</v>
      </c>
      <c r="G2" s="282">
        <v>10753.968253968254</v>
      </c>
      <c r="H2" s="259">
        <v>5.05777321630372E12</v>
      </c>
      <c r="I2" s="282">
        <f t="shared" ref="I2:I30" si="3">sum(H2/E2)</f>
        <v>19389.97025</v>
      </c>
      <c r="J2" s="302">
        <v>35.873</v>
      </c>
      <c r="K2" s="303">
        <v>7271341.0</v>
      </c>
      <c r="L2" s="304">
        <f t="shared" ref="L2:L30" si="4">SUM(K2*0.386102)</f>
        <v>2807479.303</v>
      </c>
      <c r="M2" s="305">
        <v>0.825</v>
      </c>
      <c r="N2" s="306">
        <v>6.21</v>
      </c>
      <c r="O2" s="307">
        <v>30.0</v>
      </c>
      <c r="P2" s="278" t="s">
        <v>55</v>
      </c>
      <c r="Q2" s="257" t="s">
        <v>56</v>
      </c>
      <c r="R2" s="255" t="s">
        <v>51</v>
      </c>
      <c r="S2" s="308">
        <f t="shared" ref="S2:S30" si="5">SUM(F2*T2)</f>
        <v>65639734692</v>
      </c>
      <c r="T2" s="333">
        <v>0.0234</v>
      </c>
    </row>
    <row r="3" ht="22.5" customHeight="1">
      <c r="A3" s="257" t="s">
        <v>54</v>
      </c>
      <c r="B3" s="319" t="s">
        <v>324</v>
      </c>
      <c r="C3" s="314" t="s">
        <v>325</v>
      </c>
      <c r="D3" s="264" t="s">
        <v>125</v>
      </c>
      <c r="E3" s="315">
        <f t="shared" si="1"/>
        <v>137992638.5</v>
      </c>
      <c r="F3" s="281">
        <f t="shared" si="2"/>
        <v>679011395990</v>
      </c>
      <c r="G3" s="282">
        <v>4920.6349206349205</v>
      </c>
      <c r="H3" s="281">
        <v>1.5481459828582854E12</v>
      </c>
      <c r="I3" s="282">
        <f t="shared" si="3"/>
        <v>11219.04762</v>
      </c>
      <c r="J3" s="302">
        <v>88.243</v>
      </c>
      <c r="K3" s="303">
        <v>1563780.0</v>
      </c>
      <c r="L3" s="304">
        <f t="shared" si="4"/>
        <v>603778.5856</v>
      </c>
      <c r="M3" s="305">
        <v>0.78</v>
      </c>
      <c r="N3" s="306">
        <v>4.12</v>
      </c>
      <c r="O3" s="307">
        <v>32.0</v>
      </c>
      <c r="P3" s="278" t="s">
        <v>128</v>
      </c>
      <c r="Q3" s="257" t="s">
        <v>129</v>
      </c>
      <c r="R3" s="257" t="s">
        <v>125</v>
      </c>
      <c r="S3" s="312">
        <f t="shared" si="5"/>
        <v>22339474928</v>
      </c>
      <c r="T3" s="298">
        <v>0.0329</v>
      </c>
    </row>
    <row r="4" ht="22.5" customHeight="1">
      <c r="A4" s="257" t="s">
        <v>54</v>
      </c>
      <c r="B4" s="317" t="s">
        <v>178</v>
      </c>
      <c r="C4" s="310" t="s">
        <v>179</v>
      </c>
      <c r="D4" s="268" t="s">
        <v>69</v>
      </c>
      <c r="E4" s="311">
        <f t="shared" si="1"/>
        <v>90861039.76</v>
      </c>
      <c r="F4" s="281">
        <f t="shared" si="2"/>
        <v>2109274137239</v>
      </c>
      <c r="G4" s="282">
        <v>23214.285714285714</v>
      </c>
      <c r="H4" s="259">
        <v>2.69364510272886E12</v>
      </c>
      <c r="I4" s="282">
        <f t="shared" si="3"/>
        <v>29645.76577</v>
      </c>
      <c r="J4" s="302">
        <v>211.903</v>
      </c>
      <c r="K4" s="303">
        <v>428786.0</v>
      </c>
      <c r="L4" s="304">
        <f t="shared" si="4"/>
        <v>165555.1322</v>
      </c>
      <c r="M4" s="305">
        <v>0.945</v>
      </c>
      <c r="N4" s="306">
        <v>7.64</v>
      </c>
      <c r="O4" s="307">
        <v>1.0</v>
      </c>
      <c r="P4" s="278" t="s">
        <v>72</v>
      </c>
      <c r="Q4" s="257" t="s">
        <v>73</v>
      </c>
      <c r="R4" s="255" t="s">
        <v>74</v>
      </c>
      <c r="S4" s="308">
        <f t="shared" si="5"/>
        <v>53153708258</v>
      </c>
      <c r="T4" s="334">
        <v>0.0252</v>
      </c>
    </row>
    <row r="5" ht="22.5" customHeight="1">
      <c r="A5" s="257" t="s">
        <v>54</v>
      </c>
      <c r="B5" s="299" t="s">
        <v>886</v>
      </c>
      <c r="C5" s="300" t="s">
        <v>887</v>
      </c>
      <c r="D5" s="264" t="s">
        <v>130</v>
      </c>
      <c r="E5" s="301">
        <f t="shared" si="1"/>
        <v>85678805.77</v>
      </c>
      <c r="F5" s="281">
        <f t="shared" si="2"/>
        <v>962186588641</v>
      </c>
      <c r="G5" s="282">
        <v>11230.15873015873</v>
      </c>
      <c r="H5" s="259">
        <v>1.76870116557864E12</v>
      </c>
      <c r="I5" s="282">
        <f t="shared" si="3"/>
        <v>20643.39191</v>
      </c>
      <c r="J5" s="302">
        <v>109.339</v>
      </c>
      <c r="K5" s="303">
        <v>783607.0</v>
      </c>
      <c r="L5" s="304">
        <f t="shared" si="4"/>
        <v>302552.2299</v>
      </c>
      <c r="M5" s="305">
        <v>0.834</v>
      </c>
      <c r="N5" s="306">
        <v>7.02</v>
      </c>
      <c r="O5" s="307">
        <v>17.0</v>
      </c>
      <c r="P5" s="278" t="s">
        <v>133</v>
      </c>
      <c r="Q5" s="257" t="s">
        <v>134</v>
      </c>
      <c r="R5" s="335" t="s">
        <v>130</v>
      </c>
      <c r="S5" s="308">
        <f t="shared" si="5"/>
        <v>17319358596</v>
      </c>
      <c r="T5" s="298">
        <v>0.018</v>
      </c>
    </row>
    <row r="6" ht="22.5" customHeight="1">
      <c r="A6" s="257" t="s">
        <v>54</v>
      </c>
      <c r="B6" s="320" t="s">
        <v>510</v>
      </c>
      <c r="C6" s="321" t="s">
        <v>511</v>
      </c>
      <c r="D6" s="268" t="s">
        <v>88</v>
      </c>
      <c r="E6" s="322">
        <f t="shared" si="1"/>
        <v>81313729.32</v>
      </c>
      <c r="F6" s="281">
        <f t="shared" si="2"/>
        <v>1677902350965</v>
      </c>
      <c r="G6" s="282">
        <v>20634.920634920636</v>
      </c>
      <c r="H6" s="259">
        <v>2.12891356255194E12</v>
      </c>
      <c r="I6" s="282">
        <f t="shared" si="3"/>
        <v>26181.47735</v>
      </c>
      <c r="J6" s="302">
        <v>164.407</v>
      </c>
      <c r="K6" s="303">
        <v>494588.0</v>
      </c>
      <c r="L6" s="304">
        <f t="shared" si="4"/>
        <v>190961.416</v>
      </c>
      <c r="M6" s="305">
        <v>0.939</v>
      </c>
      <c r="N6" s="306">
        <v>8.46</v>
      </c>
      <c r="O6" s="307">
        <v>19.0</v>
      </c>
      <c r="P6" s="278" t="s">
        <v>91</v>
      </c>
      <c r="Q6" s="257" t="s">
        <v>92</v>
      </c>
      <c r="R6" s="255" t="s">
        <v>93</v>
      </c>
      <c r="S6" s="308">
        <f t="shared" si="5"/>
        <v>23994003619</v>
      </c>
      <c r="T6" s="329">
        <v>0.0143</v>
      </c>
    </row>
    <row r="7" ht="22.5" customHeight="1">
      <c r="A7" s="257" t="s">
        <v>54</v>
      </c>
      <c r="B7" s="299" t="s">
        <v>945</v>
      </c>
      <c r="C7" s="300" t="s">
        <v>946</v>
      </c>
      <c r="D7" s="268" t="s">
        <v>63</v>
      </c>
      <c r="E7" s="301">
        <f t="shared" si="1"/>
        <v>69480630.6</v>
      </c>
      <c r="F7" s="281">
        <f t="shared" si="2"/>
        <v>1549528349095</v>
      </c>
      <c r="G7" s="282">
        <v>22301.5873015873</v>
      </c>
      <c r="H7" s="259">
        <v>1.8682335322511E12</v>
      </c>
      <c r="I7" s="282">
        <f t="shared" si="3"/>
        <v>26888.55176</v>
      </c>
      <c r="J7" s="302">
        <v>95.1</v>
      </c>
      <c r="K7" s="303">
        <v>730606.0</v>
      </c>
      <c r="L7" s="304">
        <f t="shared" si="4"/>
        <v>282088.4378</v>
      </c>
      <c r="M7" s="305">
        <v>0.974</v>
      </c>
      <c r="N7" s="306">
        <v>9.59</v>
      </c>
      <c r="O7" s="307">
        <v>12.0</v>
      </c>
      <c r="P7" s="257" t="s">
        <v>66</v>
      </c>
      <c r="Q7" s="257" t="s">
        <v>67</v>
      </c>
      <c r="R7" s="255" t="s">
        <v>68</v>
      </c>
      <c r="S7" s="308">
        <f t="shared" si="5"/>
        <v>18594340189</v>
      </c>
      <c r="T7" s="333">
        <v>0.012</v>
      </c>
    </row>
    <row r="8" ht="22.5" customHeight="1">
      <c r="A8" s="257" t="s">
        <v>54</v>
      </c>
      <c r="B8" s="320" t="s">
        <v>787</v>
      </c>
      <c r="C8" s="321" t="s">
        <v>788</v>
      </c>
      <c r="D8" s="268" t="s">
        <v>200</v>
      </c>
      <c r="E8" s="322">
        <f t="shared" si="1"/>
        <v>39335004.74</v>
      </c>
      <c r="F8" s="281">
        <f t="shared" si="2"/>
        <v>750799098487</v>
      </c>
      <c r="G8" s="282">
        <v>19087.301587301587</v>
      </c>
      <c r="H8" s="259">
        <v>8.658150804564E11</v>
      </c>
      <c r="I8" s="282">
        <f t="shared" si="3"/>
        <v>22011.31247</v>
      </c>
      <c r="J8" s="302">
        <v>129.738</v>
      </c>
      <c r="K8" s="303">
        <v>303188.0</v>
      </c>
      <c r="L8" s="304">
        <f t="shared" si="4"/>
        <v>117061.4932</v>
      </c>
      <c r="M8" s="305">
        <v>0.96</v>
      </c>
      <c r="N8" s="306">
        <v>9.67</v>
      </c>
      <c r="O8" s="307">
        <v>13.0</v>
      </c>
      <c r="P8" s="278" t="s">
        <v>203</v>
      </c>
      <c r="Q8" s="257" t="s">
        <v>204</v>
      </c>
      <c r="R8" s="255" t="s">
        <v>205</v>
      </c>
      <c r="S8" s="308">
        <f t="shared" si="5"/>
        <v>8258790083</v>
      </c>
      <c r="T8" s="298">
        <v>0.011</v>
      </c>
    </row>
    <row r="9" ht="22.5" customHeight="1">
      <c r="A9" s="257" t="s">
        <v>54</v>
      </c>
      <c r="B9" s="299" t="s">
        <v>733</v>
      </c>
      <c r="C9" s="300" t="s">
        <v>734</v>
      </c>
      <c r="D9" s="268" t="s">
        <v>1268</v>
      </c>
      <c r="E9" s="301">
        <f t="shared" si="1"/>
        <v>39227749.73</v>
      </c>
      <c r="F9" s="281">
        <f t="shared" si="2"/>
        <v>555726454508</v>
      </c>
      <c r="G9" s="282">
        <v>14166.666666666666</v>
      </c>
      <c r="H9" s="259">
        <v>7.92459771766583E11</v>
      </c>
      <c r="I9" s="282">
        <f t="shared" si="3"/>
        <v>20201.50983</v>
      </c>
      <c r="J9" s="302">
        <v>77.41</v>
      </c>
      <c r="K9" s="303">
        <v>506753.0</v>
      </c>
      <c r="L9" s="304">
        <f t="shared" si="4"/>
        <v>195658.3468</v>
      </c>
      <c r="M9" s="305">
        <v>0.911</v>
      </c>
      <c r="N9" s="306">
        <v>7.11</v>
      </c>
      <c r="O9" s="307">
        <v>14.0</v>
      </c>
      <c r="P9" s="278" t="s">
        <v>197</v>
      </c>
      <c r="Q9" s="257" t="s">
        <v>198</v>
      </c>
      <c r="R9" s="255" t="s">
        <v>1331</v>
      </c>
      <c r="S9" s="308">
        <f t="shared" si="5"/>
        <v>8558187399</v>
      </c>
      <c r="T9" s="298">
        <v>0.0154</v>
      </c>
    </row>
    <row r="10" ht="22.5" customHeight="1">
      <c r="A10" s="257" t="s">
        <v>54</v>
      </c>
      <c r="B10" s="310" t="s">
        <v>265</v>
      </c>
      <c r="C10" s="310" t="s">
        <v>266</v>
      </c>
      <c r="D10" s="268" t="s">
        <v>112</v>
      </c>
      <c r="E10" s="311">
        <f t="shared" si="1"/>
        <v>29913650</v>
      </c>
      <c r="F10" s="281">
        <f t="shared" si="2"/>
        <v>747841249925</v>
      </c>
      <c r="G10" s="282">
        <v>25000.0</v>
      </c>
      <c r="H10" s="281">
        <v>9.0488791240925E11</v>
      </c>
      <c r="I10" s="282">
        <f t="shared" si="3"/>
        <v>30250</v>
      </c>
      <c r="J10" s="302">
        <v>273.007</v>
      </c>
      <c r="K10" s="330">
        <v>109571.0</v>
      </c>
      <c r="L10" s="304">
        <f t="shared" si="4"/>
        <v>42305.58224</v>
      </c>
      <c r="M10" s="305">
        <v>0.947</v>
      </c>
      <c r="N10" s="306">
        <v>8.56</v>
      </c>
      <c r="O10" s="307">
        <v>11.0</v>
      </c>
      <c r="P10" s="278" t="s">
        <v>115</v>
      </c>
      <c r="Q10" s="257" t="s">
        <v>116</v>
      </c>
      <c r="R10" s="255" t="s">
        <v>117</v>
      </c>
      <c r="S10" s="308">
        <f t="shared" si="5"/>
        <v>24005704123</v>
      </c>
      <c r="T10" s="298">
        <v>0.0321</v>
      </c>
    </row>
    <row r="11" ht="22.5" customHeight="1">
      <c r="A11" s="257" t="s">
        <v>54</v>
      </c>
      <c r="B11" s="319" t="s">
        <v>568</v>
      </c>
      <c r="C11" s="314" t="s">
        <v>569</v>
      </c>
      <c r="D11" s="268" t="s">
        <v>293</v>
      </c>
      <c r="E11" s="315">
        <f t="shared" si="1"/>
        <v>23361656.73</v>
      </c>
      <c r="F11" s="281">
        <f t="shared" si="2"/>
        <v>331883853602</v>
      </c>
      <c r="G11" s="282">
        <v>14206.349206349207</v>
      </c>
      <c r="H11" s="259">
        <v>4.81449009682683E11</v>
      </c>
      <c r="I11" s="282">
        <f t="shared" si="3"/>
        <v>20608.51314</v>
      </c>
      <c r="J11" s="302">
        <v>137.449</v>
      </c>
      <c r="K11" s="303">
        <v>169966.0</v>
      </c>
      <c r="L11" s="304">
        <f t="shared" si="4"/>
        <v>65624.21253</v>
      </c>
      <c r="M11" s="305">
        <v>0.929</v>
      </c>
      <c r="N11" s="306">
        <v>8.73</v>
      </c>
      <c r="O11" s="307">
        <v>12.0</v>
      </c>
      <c r="P11" s="278" t="s">
        <v>296</v>
      </c>
      <c r="Q11" s="257" t="s">
        <v>297</v>
      </c>
      <c r="R11" s="255" t="s">
        <v>298</v>
      </c>
      <c r="S11" s="308">
        <f t="shared" si="5"/>
        <v>4380866868</v>
      </c>
      <c r="T11" s="298">
        <v>0.0132</v>
      </c>
    </row>
    <row r="12" ht="22.5" customHeight="1">
      <c r="A12" s="257" t="s">
        <v>54</v>
      </c>
      <c r="B12" s="317" t="s">
        <v>354</v>
      </c>
      <c r="C12" s="310" t="s">
        <v>355</v>
      </c>
      <c r="D12" s="264" t="s">
        <v>479</v>
      </c>
      <c r="E12" s="311">
        <f t="shared" si="1"/>
        <v>22833760.39</v>
      </c>
      <c r="F12" s="281">
        <f t="shared" si="2"/>
        <v>67051518611</v>
      </c>
      <c r="G12" s="282">
        <v>2936.5079365079364</v>
      </c>
      <c r="H12" s="281">
        <v>2.4473804293171423E11</v>
      </c>
      <c r="I12" s="282">
        <f t="shared" si="3"/>
        <v>10718.25397</v>
      </c>
      <c r="J12" s="302">
        <v>61.596</v>
      </c>
      <c r="K12" s="303">
        <v>370702.0</v>
      </c>
      <c r="L12" s="304">
        <f t="shared" si="4"/>
        <v>143128.7836</v>
      </c>
      <c r="M12" s="305">
        <v>0.715</v>
      </c>
      <c r="N12" s="306">
        <v>5.38</v>
      </c>
      <c r="O12" s="307">
        <v>120.0</v>
      </c>
      <c r="P12" s="278" t="s">
        <v>482</v>
      </c>
      <c r="Q12" s="257" t="s">
        <v>483</v>
      </c>
      <c r="R12" s="257" t="s">
        <v>484</v>
      </c>
      <c r="S12" s="312">
        <f t="shared" si="5"/>
        <v>0</v>
      </c>
      <c r="T12" s="298"/>
    </row>
    <row r="13" ht="22.5" customHeight="1">
      <c r="A13" s="257" t="s">
        <v>54</v>
      </c>
      <c r="B13" s="300" t="s">
        <v>378</v>
      </c>
      <c r="C13" s="300" t="s">
        <v>379</v>
      </c>
      <c r="D13" s="272" t="s">
        <v>400</v>
      </c>
      <c r="E13" s="301">
        <f t="shared" si="1"/>
        <v>20605956.26</v>
      </c>
      <c r="F13" s="281">
        <f t="shared" si="2"/>
        <v>97305904580</v>
      </c>
      <c r="G13" s="282">
        <v>4722.222222222223</v>
      </c>
      <c r="H13" s="281">
        <v>2.568875880912E11</v>
      </c>
      <c r="I13" s="282">
        <f t="shared" si="3"/>
        <v>12466.66667</v>
      </c>
      <c r="J13" s="302">
        <v>61.596</v>
      </c>
      <c r="K13" s="303">
        <v>334534.0</v>
      </c>
      <c r="L13" s="304">
        <f t="shared" si="4"/>
        <v>129164.2465</v>
      </c>
      <c r="M13" s="305">
        <v>0.709</v>
      </c>
      <c r="N13" s="306">
        <v>3.09</v>
      </c>
      <c r="O13" s="307">
        <v>388.0</v>
      </c>
      <c r="P13" s="278" t="s">
        <v>404</v>
      </c>
      <c r="Q13" s="257" t="s">
        <v>405</v>
      </c>
      <c r="R13" s="257" t="s">
        <v>406</v>
      </c>
      <c r="S13" s="312">
        <f t="shared" si="5"/>
        <v>0</v>
      </c>
      <c r="T13" s="298"/>
    </row>
    <row r="14" ht="22.5" customHeight="1">
      <c r="A14" s="257" t="s">
        <v>54</v>
      </c>
      <c r="B14" s="317" t="s">
        <v>148</v>
      </c>
      <c r="C14" s="310" t="s">
        <v>149</v>
      </c>
      <c r="D14" s="268" t="s">
        <v>287</v>
      </c>
      <c r="E14" s="311">
        <f t="shared" si="1"/>
        <v>19678479.77</v>
      </c>
      <c r="F14" s="281">
        <f t="shared" si="2"/>
        <v>220992451374</v>
      </c>
      <c r="G14" s="282">
        <v>11230.15873015873</v>
      </c>
      <c r="H14" s="281">
        <v>4.066261105283207E11</v>
      </c>
      <c r="I14" s="282">
        <f t="shared" si="3"/>
        <v>20663.49206</v>
      </c>
      <c r="J14" s="302">
        <v>28.873</v>
      </c>
      <c r="K14" s="303">
        <v>681553.0</v>
      </c>
      <c r="L14" s="304">
        <f t="shared" si="4"/>
        <v>263148.9764</v>
      </c>
      <c r="M14" s="305">
        <v>0.836</v>
      </c>
      <c r="N14" s="306">
        <v>7.88</v>
      </c>
      <c r="O14" s="307">
        <v>35.0</v>
      </c>
      <c r="P14" s="278" t="s">
        <v>290</v>
      </c>
      <c r="Q14" s="257" t="s">
        <v>291</v>
      </c>
      <c r="R14" s="257" t="s">
        <v>292</v>
      </c>
      <c r="S14" s="312">
        <f t="shared" si="5"/>
        <v>0</v>
      </c>
      <c r="T14" s="298"/>
    </row>
    <row r="15" ht="22.5" customHeight="1">
      <c r="A15" s="257" t="s">
        <v>54</v>
      </c>
      <c r="B15" s="299" t="s">
        <v>360</v>
      </c>
      <c r="C15" s="300" t="s">
        <v>361</v>
      </c>
      <c r="D15" s="264" t="s">
        <v>377</v>
      </c>
      <c r="E15" s="301">
        <f t="shared" si="1"/>
        <v>18995781.44</v>
      </c>
      <c r="F15" s="281">
        <f t="shared" si="2"/>
        <v>122869538686</v>
      </c>
      <c r="G15" s="282">
        <v>6468.253968253968</v>
      </c>
      <c r="H15" s="281">
        <v>2.8997211129856665E11</v>
      </c>
      <c r="I15" s="282">
        <f t="shared" si="3"/>
        <v>15265.07937</v>
      </c>
      <c r="J15" s="302">
        <v>70.833</v>
      </c>
      <c r="K15" s="303">
        <v>268177.0</v>
      </c>
      <c r="L15" s="304">
        <f t="shared" si="4"/>
        <v>103543.6761</v>
      </c>
      <c r="M15" s="305">
        <v>0.756</v>
      </c>
      <c r="N15" s="306">
        <v>6.84</v>
      </c>
      <c r="O15" s="307">
        <v>36.0</v>
      </c>
      <c r="P15" s="278" t="s">
        <v>380</v>
      </c>
      <c r="Q15" s="257" t="s">
        <v>381</v>
      </c>
      <c r="R15" s="257" t="s">
        <v>382</v>
      </c>
      <c r="S15" s="312">
        <f t="shared" si="5"/>
        <v>0</v>
      </c>
      <c r="T15" s="298"/>
    </row>
    <row r="16" ht="22.5" customHeight="1">
      <c r="A16" s="257" t="s">
        <v>54</v>
      </c>
      <c r="B16" s="317" t="s">
        <v>1005</v>
      </c>
      <c r="C16" s="310" t="s">
        <v>1006</v>
      </c>
      <c r="D16" s="268" t="s">
        <v>235</v>
      </c>
      <c r="E16" s="311">
        <f t="shared" si="1"/>
        <v>18401158.08</v>
      </c>
      <c r="F16" s="281">
        <f t="shared" si="2"/>
        <v>340275383450</v>
      </c>
      <c r="G16" s="282">
        <v>18492.06349206349</v>
      </c>
      <c r="H16" s="259">
        <v>4.32566259989028E11</v>
      </c>
      <c r="I16" s="282">
        <f t="shared" si="3"/>
        <v>23507.55633</v>
      </c>
      <c r="J16" s="302">
        <v>103.175</v>
      </c>
      <c r="K16" s="303">
        <v>178349.0</v>
      </c>
      <c r="L16" s="304">
        <f t="shared" si="4"/>
        <v>68860.9056</v>
      </c>
      <c r="M16" s="305">
        <v>0.902</v>
      </c>
      <c r="N16" s="306">
        <v>8.85</v>
      </c>
      <c r="O16" s="307">
        <v>15.0</v>
      </c>
      <c r="P16" s="278" t="s">
        <v>238</v>
      </c>
      <c r="Q16" s="257" t="s">
        <v>239</v>
      </c>
      <c r="R16" s="255" t="s">
        <v>240</v>
      </c>
      <c r="S16" s="308">
        <f t="shared" si="5"/>
        <v>5682598904</v>
      </c>
      <c r="T16" s="298">
        <v>0.0167</v>
      </c>
    </row>
    <row r="17" ht="22.5" customHeight="1">
      <c r="A17" s="257" t="s">
        <v>54</v>
      </c>
      <c r="B17" s="300" t="s">
        <v>38</v>
      </c>
      <c r="C17" s="300" t="s">
        <v>39</v>
      </c>
      <c r="D17" s="268" t="s">
        <v>365</v>
      </c>
      <c r="E17" s="301">
        <f t="shared" si="1"/>
        <v>14469041.13</v>
      </c>
      <c r="F17" s="281">
        <f t="shared" si="2"/>
        <v>128039530617</v>
      </c>
      <c r="G17" s="282">
        <v>8849.20634920635</v>
      </c>
      <c r="H17" s="281">
        <v>2.087044349054254E11</v>
      </c>
      <c r="I17" s="282">
        <f t="shared" si="3"/>
        <v>14424.20635</v>
      </c>
      <c r="J17" s="302">
        <v>109.727</v>
      </c>
      <c r="K17" s="303">
        <v>131864.0</v>
      </c>
      <c r="L17" s="304">
        <f t="shared" si="4"/>
        <v>50912.95413</v>
      </c>
      <c r="M17" s="305">
        <v>0.89</v>
      </c>
      <c r="N17" s="306">
        <v>6.43</v>
      </c>
      <c r="O17" s="307">
        <v>17.0</v>
      </c>
      <c r="P17" s="278" t="s">
        <v>368</v>
      </c>
      <c r="Q17" s="257" t="s">
        <v>369</v>
      </c>
      <c r="R17" s="255" t="s">
        <v>370</v>
      </c>
      <c r="S17" s="312">
        <f t="shared" si="5"/>
        <v>0</v>
      </c>
      <c r="T17" s="298"/>
    </row>
    <row r="18" ht="22.5" customHeight="1">
      <c r="A18" s="257" t="s">
        <v>54</v>
      </c>
      <c r="B18" s="310" t="s">
        <v>294</v>
      </c>
      <c r="C18" s="310" t="s">
        <v>295</v>
      </c>
      <c r="D18" s="268" t="s">
        <v>389</v>
      </c>
      <c r="E18" s="311">
        <f t="shared" si="1"/>
        <v>12299327.77</v>
      </c>
      <c r="F18" s="281">
        <f t="shared" si="2"/>
        <v>113231906417</v>
      </c>
      <c r="G18" s="282">
        <v>9206.349206349207</v>
      </c>
      <c r="H18" s="281">
        <v>1.8003873120325717E11</v>
      </c>
      <c r="I18" s="282">
        <f t="shared" si="3"/>
        <v>14638.09524</v>
      </c>
      <c r="J18" s="302">
        <v>57.366</v>
      </c>
      <c r="K18" s="303">
        <v>214401.0</v>
      </c>
      <c r="L18" s="304">
        <f t="shared" si="4"/>
        <v>82780.6549</v>
      </c>
      <c r="M18" s="305">
        <v>0.895</v>
      </c>
      <c r="N18" s="306">
        <v>9.77</v>
      </c>
      <c r="O18" s="307">
        <v>178.0</v>
      </c>
      <c r="P18" s="278" t="s">
        <v>392</v>
      </c>
      <c r="Q18" s="257" t="s">
        <v>393</v>
      </c>
      <c r="R18" s="257" t="s">
        <v>394</v>
      </c>
      <c r="S18" s="312">
        <f t="shared" si="5"/>
        <v>0</v>
      </c>
      <c r="T18" s="298"/>
    </row>
    <row r="19" ht="22.5" customHeight="1">
      <c r="A19" s="257" t="s">
        <v>54</v>
      </c>
      <c r="B19" s="299" t="s">
        <v>1027</v>
      </c>
      <c r="C19" s="300" t="s">
        <v>1028</v>
      </c>
      <c r="D19" s="268" t="s">
        <v>655</v>
      </c>
      <c r="E19" s="301">
        <f t="shared" si="1"/>
        <v>9819272.991</v>
      </c>
      <c r="F19" s="281">
        <f t="shared" si="2"/>
        <v>28444719379</v>
      </c>
      <c r="G19" s="282">
        <v>2896.8253968253966</v>
      </c>
      <c r="H19" s="281">
        <v>7.338737599702142E10</v>
      </c>
      <c r="I19" s="282">
        <f t="shared" si="3"/>
        <v>7473.809524</v>
      </c>
      <c r="J19" s="302">
        <v>185.161</v>
      </c>
      <c r="K19" s="303">
        <v>53031.0</v>
      </c>
      <c r="L19" s="304">
        <f t="shared" si="4"/>
        <v>20475.37516</v>
      </c>
      <c r="M19" s="305">
        <v>0.729</v>
      </c>
      <c r="N19" s="306">
        <v>5.06</v>
      </c>
      <c r="O19" s="307">
        <v>821.0</v>
      </c>
      <c r="P19" s="278" t="s">
        <v>658</v>
      </c>
      <c r="Q19" s="257" t="s">
        <v>659</v>
      </c>
      <c r="R19" s="257" t="s">
        <v>655</v>
      </c>
      <c r="S19" s="312">
        <f t="shared" si="5"/>
        <v>0</v>
      </c>
      <c r="T19" s="298"/>
    </row>
    <row r="20" ht="22.5" customHeight="1">
      <c r="A20" s="257" t="s">
        <v>54</v>
      </c>
      <c r="B20" s="317" t="s">
        <v>136</v>
      </c>
      <c r="C20" s="310" t="s">
        <v>137</v>
      </c>
      <c r="D20" s="268" t="s">
        <v>443</v>
      </c>
      <c r="E20" s="311">
        <f t="shared" si="1"/>
        <v>5393380.32</v>
      </c>
      <c r="F20" s="281">
        <f t="shared" si="2"/>
        <v>74265990914</v>
      </c>
      <c r="G20" s="282">
        <v>13769.84126984127</v>
      </c>
      <c r="H20" s="281">
        <v>1.2328154491771426E11</v>
      </c>
      <c r="I20" s="282">
        <f t="shared" si="3"/>
        <v>22857.93651</v>
      </c>
      <c r="J20" s="302">
        <v>41.196</v>
      </c>
      <c r="K20" s="303">
        <v>130920.0</v>
      </c>
      <c r="L20" s="304">
        <f t="shared" si="4"/>
        <v>50548.47384</v>
      </c>
      <c r="M20" s="305">
        <v>0.86</v>
      </c>
      <c r="N20" s="306">
        <v>8.03</v>
      </c>
      <c r="O20" s="307">
        <v>18.0</v>
      </c>
      <c r="P20" s="278" t="s">
        <v>446</v>
      </c>
      <c r="Q20" s="257" t="s">
        <v>447</v>
      </c>
      <c r="R20" s="255" t="s">
        <v>448</v>
      </c>
      <c r="S20" s="312">
        <f t="shared" si="5"/>
        <v>0</v>
      </c>
      <c r="T20" s="298"/>
    </row>
    <row r="21" ht="22.5" customHeight="1">
      <c r="A21" s="257" t="s">
        <v>54</v>
      </c>
      <c r="B21" s="300" t="s">
        <v>933</v>
      </c>
      <c r="C21" s="300" t="s">
        <v>934</v>
      </c>
      <c r="D21" s="264" t="s">
        <v>603</v>
      </c>
      <c r="E21" s="301">
        <f t="shared" si="1"/>
        <v>5001934.245</v>
      </c>
      <c r="F21" s="281">
        <f t="shared" si="2"/>
        <v>36522059567</v>
      </c>
      <c r="G21" s="282">
        <v>7301.587301587301</v>
      </c>
      <c r="H21" s="281">
        <v>8.2174634025E10</v>
      </c>
      <c r="I21" s="282">
        <f t="shared" si="3"/>
        <v>16428.57143</v>
      </c>
      <c r="J21" s="302">
        <v>41.965</v>
      </c>
      <c r="K21" s="303">
        <v>119193.0</v>
      </c>
      <c r="L21" s="304">
        <f t="shared" si="4"/>
        <v>46020.65569</v>
      </c>
      <c r="M21" s="305">
        <v>0.773</v>
      </c>
      <c r="N21" s="306">
        <v>6.78</v>
      </c>
      <c r="O21" s="307">
        <v>37.0</v>
      </c>
      <c r="P21" s="278" t="s">
        <v>606</v>
      </c>
      <c r="Q21" s="257" t="s">
        <v>607</v>
      </c>
      <c r="R21" s="257" t="s">
        <v>608</v>
      </c>
      <c r="S21" s="312">
        <f t="shared" si="5"/>
        <v>0</v>
      </c>
      <c r="T21" s="298"/>
    </row>
    <row r="22" ht="22.5" customHeight="1">
      <c r="A22" s="257" t="s">
        <v>54</v>
      </c>
      <c r="B22" s="317" t="s">
        <v>1332</v>
      </c>
      <c r="C22" s="310" t="s">
        <v>1333</v>
      </c>
      <c r="D22" s="268" t="s">
        <v>413</v>
      </c>
      <c r="E22" s="311">
        <f t="shared" si="1"/>
        <v>3254988.167</v>
      </c>
      <c r="F22" s="281">
        <f t="shared" si="2"/>
        <v>95970484448</v>
      </c>
      <c r="G22" s="282">
        <v>29484.126984126982</v>
      </c>
      <c r="H22" s="281">
        <v>8.215073468719586E10</v>
      </c>
      <c r="I22" s="282">
        <f t="shared" si="3"/>
        <v>25238.4127</v>
      </c>
      <c r="J22" s="302">
        <v>118.187</v>
      </c>
      <c r="K22" s="303">
        <v>27541.0</v>
      </c>
      <c r="L22" s="304">
        <f t="shared" si="4"/>
        <v>10633.63518</v>
      </c>
      <c r="M22" s="305">
        <v>0.958</v>
      </c>
      <c r="N22" s="306">
        <v>8.14</v>
      </c>
      <c r="O22" s="307">
        <v>111.0</v>
      </c>
      <c r="P22" s="278" t="s">
        <v>416</v>
      </c>
      <c r="Q22" s="257" t="s">
        <v>417</v>
      </c>
      <c r="R22" s="257" t="s">
        <v>418</v>
      </c>
      <c r="S22" s="312">
        <f t="shared" si="5"/>
        <v>0</v>
      </c>
      <c r="T22" s="298"/>
    </row>
    <row r="23" ht="22.5" customHeight="1">
      <c r="A23" s="257" t="s">
        <v>54</v>
      </c>
      <c r="B23" s="319" t="s">
        <v>486</v>
      </c>
      <c r="C23" s="314" t="s">
        <v>487</v>
      </c>
      <c r="D23" s="268" t="s">
        <v>561</v>
      </c>
      <c r="E23" s="315">
        <f t="shared" si="1"/>
        <v>3123402.468</v>
      </c>
      <c r="F23" s="281">
        <f t="shared" si="2"/>
        <v>46355258850</v>
      </c>
      <c r="G23" s="282">
        <v>14841.269841269841</v>
      </c>
      <c r="H23" s="259">
        <v>6.41684141607619E10</v>
      </c>
      <c r="I23" s="282">
        <f t="shared" si="3"/>
        <v>20544.39504</v>
      </c>
      <c r="J23" s="302">
        <v>71.996</v>
      </c>
      <c r="K23" s="303">
        <v>43383.0</v>
      </c>
      <c r="L23" s="304">
        <f t="shared" si="4"/>
        <v>16750.26307</v>
      </c>
      <c r="M23" s="305">
        <v>0.865</v>
      </c>
      <c r="N23" s="306">
        <v>7.95</v>
      </c>
      <c r="O23" s="307">
        <v>101.0</v>
      </c>
      <c r="P23" s="278" t="s">
        <v>564</v>
      </c>
      <c r="Q23" s="257" t="s">
        <v>565</v>
      </c>
      <c r="R23" s="257" t="s">
        <v>566</v>
      </c>
      <c r="S23" s="312">
        <f t="shared" si="5"/>
        <v>0</v>
      </c>
      <c r="T23" s="298"/>
    </row>
    <row r="24" ht="22.5" customHeight="1">
      <c r="A24" s="257" t="s">
        <v>54</v>
      </c>
      <c r="B24" s="320" t="s">
        <v>372</v>
      </c>
      <c r="C24" s="321" t="s">
        <v>373</v>
      </c>
      <c r="D24" s="264" t="s">
        <v>844</v>
      </c>
      <c r="E24" s="322">
        <f t="shared" si="1"/>
        <v>3103321.76</v>
      </c>
      <c r="F24" s="281">
        <f t="shared" si="2"/>
        <v>6773122889</v>
      </c>
      <c r="G24" s="282">
        <v>2182.5396825396824</v>
      </c>
      <c r="H24" s="281">
        <v>1.9845250064444447E10</v>
      </c>
      <c r="I24" s="282">
        <f t="shared" si="3"/>
        <v>6394.84127</v>
      </c>
      <c r="J24" s="302">
        <v>1.54</v>
      </c>
      <c r="K24" s="303">
        <v>2015144.0</v>
      </c>
      <c r="L24" s="304">
        <f t="shared" si="4"/>
        <v>778051.1287</v>
      </c>
      <c r="M24" s="305">
        <v>0.664</v>
      </c>
      <c r="N24" s="306">
        <v>5.91</v>
      </c>
      <c r="O24" s="307">
        <v>333.0</v>
      </c>
      <c r="P24" s="278" t="s">
        <v>847</v>
      </c>
      <c r="Q24" s="257" t="s">
        <v>848</v>
      </c>
      <c r="R24" s="257" t="s">
        <v>849</v>
      </c>
      <c r="S24" s="312">
        <f t="shared" si="5"/>
        <v>0</v>
      </c>
      <c r="T24" s="298"/>
    </row>
    <row r="25" ht="22.5" customHeight="1">
      <c r="A25" s="257" t="s">
        <v>54</v>
      </c>
      <c r="B25" s="319" t="s">
        <v>207</v>
      </c>
      <c r="C25" s="314" t="s">
        <v>208</v>
      </c>
      <c r="D25" s="296" t="s">
        <v>868</v>
      </c>
      <c r="E25" s="315">
        <f t="shared" si="1"/>
        <v>2020940.075</v>
      </c>
      <c r="F25" s="281">
        <f t="shared" si="2"/>
        <v>5453330361</v>
      </c>
      <c r="G25" s="282">
        <v>2698.4126984126983</v>
      </c>
      <c r="H25" s="281">
        <v>1.3796925813611109E10</v>
      </c>
      <c r="I25" s="282">
        <f t="shared" si="3"/>
        <v>6826.984127</v>
      </c>
      <c r="J25" s="302">
        <v>2.695</v>
      </c>
      <c r="K25" s="303">
        <v>749885.0</v>
      </c>
      <c r="L25" s="304">
        <f t="shared" si="4"/>
        <v>289532.0983</v>
      </c>
      <c r="M25" s="305">
        <v>0.741</v>
      </c>
      <c r="N25" s="306">
        <v>3.27</v>
      </c>
      <c r="O25" s="307">
        <v>31.0</v>
      </c>
      <c r="P25" s="278" t="s">
        <v>871</v>
      </c>
      <c r="Q25" s="257" t="s">
        <v>872</v>
      </c>
      <c r="R25" s="257" t="s">
        <v>873</v>
      </c>
      <c r="S25" s="312">
        <f t="shared" si="5"/>
        <v>0</v>
      </c>
      <c r="T25" s="298"/>
    </row>
    <row r="26" ht="22.5" customHeight="1">
      <c r="A26" s="257" t="s">
        <v>54</v>
      </c>
      <c r="B26" s="320" t="s">
        <v>921</v>
      </c>
      <c r="C26" s="321" t="s">
        <v>922</v>
      </c>
      <c r="D26" s="264" t="s">
        <v>903</v>
      </c>
      <c r="E26" s="322">
        <f t="shared" si="1"/>
        <v>1914198.44</v>
      </c>
      <c r="F26" s="281">
        <f t="shared" si="2"/>
        <v>3418211500</v>
      </c>
      <c r="G26" s="282">
        <v>1785.7142857142858</v>
      </c>
      <c r="H26" s="281">
        <v>9.50262797E9</v>
      </c>
      <c r="I26" s="282">
        <f t="shared" si="3"/>
        <v>4964.285714</v>
      </c>
      <c r="J26" s="302">
        <v>1.54</v>
      </c>
      <c r="K26" s="303">
        <v>1242986.0</v>
      </c>
      <c r="L26" s="304">
        <f t="shared" si="4"/>
        <v>479919.3806</v>
      </c>
      <c r="M26" s="305">
        <v>0.695</v>
      </c>
      <c r="N26" s="306">
        <v>2.3</v>
      </c>
      <c r="O26" s="307">
        <v>133.0</v>
      </c>
      <c r="P26" s="278" t="s">
        <v>905</v>
      </c>
      <c r="Q26" s="257" t="s">
        <v>906</v>
      </c>
      <c r="R26" s="257" t="s">
        <v>907</v>
      </c>
      <c r="S26" s="312">
        <f t="shared" si="5"/>
        <v>0</v>
      </c>
      <c r="T26" s="298"/>
    </row>
    <row r="27" ht="22.5" customHeight="1">
      <c r="A27" s="257" t="s">
        <v>54</v>
      </c>
      <c r="B27" s="319" t="s">
        <v>450</v>
      </c>
      <c r="C27" s="314" t="s">
        <v>451</v>
      </c>
      <c r="D27" s="272" t="s">
        <v>744</v>
      </c>
      <c r="E27" s="315">
        <f t="shared" si="1"/>
        <v>820937.425</v>
      </c>
      <c r="F27" s="281">
        <f t="shared" si="2"/>
        <v>14985365694</v>
      </c>
      <c r="G27" s="282">
        <v>18253.968253968254</v>
      </c>
      <c r="H27" s="281">
        <v>1.3786536438888891E10</v>
      </c>
      <c r="I27" s="282">
        <f t="shared" si="3"/>
        <v>16793.65079</v>
      </c>
      <c r="J27" s="302">
        <v>1.925</v>
      </c>
      <c r="K27" s="303">
        <v>426461.0</v>
      </c>
      <c r="L27" s="304">
        <f t="shared" si="4"/>
        <v>164657.445</v>
      </c>
      <c r="M27" s="305">
        <v>0.93</v>
      </c>
      <c r="N27" s="306">
        <v>9.69</v>
      </c>
      <c r="O27" s="307">
        <v>145.0</v>
      </c>
      <c r="P27" s="278" t="s">
        <v>747</v>
      </c>
      <c r="Q27" s="257" t="s">
        <v>748</v>
      </c>
      <c r="R27" s="257" t="s">
        <v>749</v>
      </c>
      <c r="S27" s="312">
        <f t="shared" si="5"/>
        <v>0</v>
      </c>
      <c r="T27" s="298"/>
    </row>
    <row r="28" ht="22.5" customHeight="1">
      <c r="A28" s="257" t="s">
        <v>54</v>
      </c>
      <c r="B28" s="320" t="s">
        <v>598</v>
      </c>
      <c r="C28" s="321" t="s">
        <v>599</v>
      </c>
      <c r="D28" s="264" t="s">
        <v>968</v>
      </c>
      <c r="E28" s="322">
        <f t="shared" si="1"/>
        <v>220217.6</v>
      </c>
      <c r="F28" s="281">
        <f t="shared" si="2"/>
        <v>760275047.6</v>
      </c>
      <c r="G28" s="282">
        <v>3452.3809523809523</v>
      </c>
      <c r="H28" s="281">
        <v>2.584935161904762E9</v>
      </c>
      <c r="I28" s="282">
        <f t="shared" si="3"/>
        <v>11738.09524</v>
      </c>
      <c r="J28" s="302">
        <v>12.16</v>
      </c>
      <c r="K28" s="303">
        <v>18110.0</v>
      </c>
      <c r="L28" s="304">
        <f t="shared" si="4"/>
        <v>6992.30722</v>
      </c>
      <c r="M28" s="305">
        <v>0.562</v>
      </c>
      <c r="N28" s="306">
        <v>5.2</v>
      </c>
      <c r="O28" s="307">
        <v>34.0</v>
      </c>
      <c r="P28" s="278" t="s">
        <v>971</v>
      </c>
      <c r="Q28" s="257" t="s">
        <v>972</v>
      </c>
      <c r="R28" s="257" t="s">
        <v>973</v>
      </c>
      <c r="S28" s="312">
        <f t="shared" si="5"/>
        <v>0</v>
      </c>
      <c r="T28" s="298"/>
    </row>
    <row r="29" ht="22.5" customHeight="1">
      <c r="A29" s="257" t="s">
        <v>54</v>
      </c>
      <c r="B29" s="319" t="s">
        <v>851</v>
      </c>
      <c r="C29" s="314" t="s">
        <v>852</v>
      </c>
      <c r="D29" s="256" t="s">
        <v>1016</v>
      </c>
      <c r="E29" s="315">
        <f t="shared" si="1"/>
        <v>143924.55</v>
      </c>
      <c r="F29" s="281">
        <f t="shared" si="2"/>
        <v>154204875</v>
      </c>
      <c r="G29" s="282">
        <v>1071.4285714285713</v>
      </c>
      <c r="H29" s="281">
        <v>4.564464299999999E8</v>
      </c>
      <c r="I29" s="282">
        <f t="shared" si="3"/>
        <v>3171.428571</v>
      </c>
      <c r="J29" s="302">
        <v>6.545</v>
      </c>
      <c r="K29" s="303">
        <v>21990.0</v>
      </c>
      <c r="L29" s="304">
        <f t="shared" si="4"/>
        <v>8490.38298</v>
      </c>
      <c r="M29" s="305">
        <v>0.662</v>
      </c>
      <c r="N29" s="306">
        <v>4.44</v>
      </c>
      <c r="O29" s="307">
        <v>185.0</v>
      </c>
      <c r="P29" s="278" t="s">
        <v>1019</v>
      </c>
      <c r="Q29" s="257" t="s">
        <v>1016</v>
      </c>
      <c r="R29" s="257" t="s">
        <v>1020</v>
      </c>
      <c r="S29" s="312">
        <f t="shared" si="5"/>
        <v>0</v>
      </c>
      <c r="T29" s="298"/>
    </row>
    <row r="30" ht="22.5" customHeight="1">
      <c r="A30" s="257" t="s">
        <v>54</v>
      </c>
      <c r="B30" s="317" t="s">
        <v>580</v>
      </c>
      <c r="C30" s="310" t="s">
        <v>581</v>
      </c>
      <c r="D30" s="264" t="s">
        <v>874</v>
      </c>
      <c r="E30" s="311">
        <f t="shared" si="1"/>
        <v>133064.855</v>
      </c>
      <c r="F30" s="281">
        <f t="shared" si="2"/>
        <v>5438761931</v>
      </c>
      <c r="G30" s="282">
        <v>40873.01587301587</v>
      </c>
      <c r="H30" s="281">
        <v>4.361887068305556E9</v>
      </c>
      <c r="I30" s="282">
        <f t="shared" si="3"/>
        <v>32780.15873</v>
      </c>
      <c r="J30" s="302">
        <v>0.385</v>
      </c>
      <c r="K30" s="303">
        <v>345623.0</v>
      </c>
      <c r="L30" s="304">
        <f t="shared" si="4"/>
        <v>133445.7315</v>
      </c>
      <c r="M30" s="305">
        <v>0.952</v>
      </c>
      <c r="N30" s="306">
        <v>9.35</v>
      </c>
      <c r="O30" s="307">
        <v>33.0</v>
      </c>
      <c r="P30" s="257" t="s">
        <v>877</v>
      </c>
      <c r="Q30" s="257" t="s">
        <v>874</v>
      </c>
      <c r="R30" s="257" t="s">
        <v>878</v>
      </c>
      <c r="S30" s="312">
        <f t="shared" si="5"/>
        <v>0</v>
      </c>
      <c r="T30" s="298"/>
    </row>
    <row r="31" ht="22.5" customHeight="1">
      <c r="A31" s="257" t="s">
        <v>1045</v>
      </c>
      <c r="B31" s="323"/>
      <c r="C31" s="323"/>
      <c r="D31" s="279" t="s">
        <v>1044</v>
      </c>
      <c r="E31" s="280">
        <f>SUM(Auyma[Population])</f>
        <v>1020242809</v>
      </c>
      <c r="F31" s="281">
        <f>SUM(Auyma[GDP (Nominal)])</f>
        <v>13577578364819</v>
      </c>
      <c r="G31" s="282">
        <f>sum(Auyma[[#TOTALS],[GDP (Nominal)]]/Auyma[[#TOTALS],[Population]])</f>
        <v>13308.18336</v>
      </c>
      <c r="H31" s="281">
        <f>SUM(Auyma[GDP (PPP)])</f>
        <v>20619054928270</v>
      </c>
      <c r="I31" s="282">
        <f>sum(Auyma[[#TOTALS],[GDP (PPP)]]/Auyma[[#TOTALS],[Population]])</f>
        <v>20209.9488</v>
      </c>
      <c r="J31" s="324">
        <f>sum(Auyma[[#TOTALS],[Population]]/Auyma[[#TOTALS],[Area (Km)]])</f>
        <v>51.6944215</v>
      </c>
      <c r="K31" s="304">
        <f>SUM(Auyma[Area (Km)])</f>
        <v>19736033</v>
      </c>
      <c r="L31" s="304">
        <f>SUM(Auyma[Area (Mi)])</f>
        <v>7620121.813</v>
      </c>
      <c r="M31" s="257" t="s">
        <v>1045</v>
      </c>
      <c r="N31" s="257" t="s">
        <v>1045</v>
      </c>
      <c r="O31" s="257" t="s">
        <v>1045</v>
      </c>
      <c r="P31" s="257" t="s">
        <v>1045</v>
      </c>
      <c r="Q31" s="257" t="s">
        <v>186</v>
      </c>
      <c r="R31" s="278"/>
      <c r="S31" s="325">
        <f>SUM(Auyma[Military])</f>
        <v>251926767658</v>
      </c>
      <c r="T31" s="326"/>
    </row>
    <row r="32">
      <c r="A32" s="75"/>
      <c r="B32" s="74"/>
      <c r="C32" s="74"/>
      <c r="D32" s="72"/>
      <c r="E32" s="73"/>
      <c r="F32" s="76"/>
      <c r="G32" s="77"/>
      <c r="H32" s="76"/>
      <c r="I32" s="77"/>
      <c r="J32" s="78"/>
      <c r="K32" s="76"/>
      <c r="L32" s="76"/>
      <c r="M32" s="72"/>
      <c r="N32" s="72"/>
      <c r="O32" s="72"/>
      <c r="P32" s="75"/>
      <c r="Q32" s="75"/>
      <c r="R32" s="79"/>
      <c r="S32" s="79"/>
      <c r="T32" s="327"/>
    </row>
    <row r="33">
      <c r="A33" s="85"/>
      <c r="B33" s="84"/>
      <c r="C33" s="84"/>
      <c r="D33" s="72"/>
      <c r="E33" s="83"/>
      <c r="F33" s="76"/>
      <c r="G33" s="83"/>
      <c r="H33" s="76"/>
      <c r="I33" s="83"/>
      <c r="J33" s="86"/>
      <c r="K33" s="76"/>
      <c r="L33" s="76"/>
      <c r="M33" s="87"/>
      <c r="N33" s="72"/>
      <c r="O33" s="76"/>
      <c r="P33" s="79"/>
      <c r="Q33" s="88"/>
      <c r="R33" s="79"/>
      <c r="S33" s="88"/>
      <c r="T33" s="328"/>
    </row>
    <row r="34">
      <c r="A34" s="85"/>
      <c r="B34" s="84"/>
      <c r="C34" s="84"/>
      <c r="D34" s="72"/>
      <c r="E34" s="83"/>
      <c r="F34" s="76"/>
      <c r="G34" s="91"/>
      <c r="H34" s="76"/>
      <c r="I34" s="91"/>
      <c r="J34" s="86"/>
      <c r="K34" s="76"/>
      <c r="L34" s="76"/>
      <c r="M34" s="87"/>
      <c r="N34" s="72"/>
      <c r="O34" s="76"/>
      <c r="P34" s="79"/>
      <c r="Q34" s="88"/>
      <c r="R34" s="88"/>
      <c r="S34" s="88"/>
      <c r="T34" s="328"/>
    </row>
    <row r="35">
      <c r="A35" s="85"/>
      <c r="B35" s="84"/>
      <c r="C35" s="84"/>
      <c r="D35" s="86"/>
      <c r="E35" s="83"/>
      <c r="F35" s="76"/>
      <c r="G35" s="83"/>
      <c r="H35" s="76"/>
      <c r="I35" s="83"/>
      <c r="J35" s="86"/>
      <c r="K35" s="76"/>
      <c r="L35" s="76"/>
      <c r="M35" s="87"/>
      <c r="N35" s="72"/>
      <c r="O35" s="76"/>
      <c r="P35" s="79"/>
      <c r="Q35" s="88"/>
      <c r="R35" s="88"/>
      <c r="S35" s="88"/>
      <c r="T35" s="328"/>
    </row>
    <row r="36">
      <c r="A36" s="85"/>
      <c r="B36" s="84"/>
      <c r="C36" s="84"/>
      <c r="D36" s="86"/>
      <c r="E36" s="83"/>
      <c r="F36" s="76"/>
      <c r="G36" s="72"/>
      <c r="H36" s="76"/>
      <c r="I36" s="72"/>
      <c r="J36" s="86"/>
      <c r="K36" s="76"/>
      <c r="L36" s="76"/>
      <c r="M36" s="87"/>
      <c r="N36" s="72"/>
      <c r="O36" s="76"/>
      <c r="P36" s="79"/>
      <c r="Q36" s="88"/>
      <c r="R36" s="88"/>
      <c r="S36" s="88"/>
      <c r="T36" s="328"/>
    </row>
    <row r="37">
      <c r="A37" s="85"/>
      <c r="B37" s="84"/>
      <c r="C37" s="84"/>
      <c r="D37" s="86"/>
      <c r="E37" s="83"/>
      <c r="F37" s="76"/>
      <c r="G37" s="72"/>
      <c r="H37" s="76"/>
      <c r="I37" s="72"/>
      <c r="J37" s="86"/>
      <c r="K37" s="76"/>
      <c r="L37" s="76"/>
      <c r="M37" s="87"/>
      <c r="N37" s="72"/>
      <c r="O37" s="76"/>
      <c r="P37" s="79"/>
      <c r="Q37" s="88"/>
      <c r="R37" s="88"/>
      <c r="S37" s="88"/>
      <c r="T37" s="328"/>
    </row>
    <row r="38">
      <c r="A38" s="85"/>
      <c r="B38" s="84"/>
      <c r="C38" s="84"/>
      <c r="D38" s="86"/>
      <c r="E38" s="83"/>
      <c r="F38" s="76"/>
      <c r="G38" s="72"/>
      <c r="H38" s="76"/>
      <c r="I38" s="72"/>
      <c r="J38" s="86"/>
      <c r="K38" s="76"/>
      <c r="L38" s="76"/>
      <c r="M38" s="87"/>
      <c r="N38" s="72"/>
      <c r="O38" s="76"/>
      <c r="P38" s="79"/>
      <c r="Q38" s="88"/>
      <c r="R38" s="88"/>
      <c r="S38" s="88"/>
      <c r="T38" s="328"/>
    </row>
    <row r="39">
      <c r="A39" s="85"/>
      <c r="B39" s="84"/>
      <c r="C39" s="84"/>
      <c r="D39" s="86"/>
      <c r="E39" s="83"/>
      <c r="F39" s="76"/>
      <c r="G39" s="72"/>
      <c r="H39" s="76"/>
      <c r="I39" s="72"/>
      <c r="J39" s="86"/>
      <c r="K39" s="76"/>
      <c r="L39" s="76"/>
      <c r="M39" s="87"/>
      <c r="N39" s="72"/>
      <c r="O39" s="76"/>
      <c r="P39" s="79"/>
      <c r="Q39" s="88"/>
      <c r="R39" s="88"/>
      <c r="S39" s="88"/>
      <c r="T39" s="328"/>
    </row>
    <row r="40">
      <c r="A40" s="85"/>
      <c r="B40" s="84"/>
      <c r="C40" s="84"/>
      <c r="D40" s="86"/>
      <c r="E40" s="83"/>
      <c r="F40" s="76"/>
      <c r="G40" s="72"/>
      <c r="H40" s="76"/>
      <c r="I40" s="72"/>
      <c r="J40" s="86"/>
      <c r="K40" s="76"/>
      <c r="L40" s="76"/>
      <c r="M40" s="87"/>
      <c r="N40" s="72"/>
      <c r="O40" s="76"/>
      <c r="P40" s="79"/>
      <c r="Q40" s="88"/>
      <c r="R40" s="88"/>
      <c r="S40" s="88"/>
      <c r="T40" s="328"/>
    </row>
    <row r="41">
      <c r="A41" s="85"/>
      <c r="B41" s="84"/>
      <c r="C41" s="84"/>
      <c r="D41" s="86"/>
      <c r="E41" s="83"/>
      <c r="F41" s="76"/>
      <c r="G41" s="72"/>
      <c r="H41" s="76"/>
      <c r="I41" s="72"/>
      <c r="J41" s="86"/>
      <c r="K41" s="76"/>
      <c r="L41" s="76"/>
      <c r="M41" s="87"/>
      <c r="N41" s="72"/>
      <c r="O41" s="76"/>
      <c r="P41" s="79"/>
      <c r="Q41" s="88"/>
      <c r="R41" s="88"/>
      <c r="S41" s="88"/>
      <c r="T41" s="328"/>
    </row>
    <row r="42">
      <c r="A42" s="85"/>
      <c r="B42" s="84"/>
      <c r="C42" s="84"/>
      <c r="D42" s="86"/>
      <c r="E42" s="83"/>
      <c r="F42" s="76"/>
      <c r="G42" s="72"/>
      <c r="H42" s="76"/>
      <c r="I42" s="72"/>
      <c r="J42" s="86"/>
      <c r="K42" s="76"/>
      <c r="L42" s="76"/>
      <c r="M42" s="87"/>
      <c r="N42" s="72"/>
      <c r="O42" s="76"/>
      <c r="P42" s="79"/>
      <c r="Q42" s="88"/>
      <c r="R42" s="88"/>
      <c r="S42" s="88"/>
      <c r="T42" s="328"/>
    </row>
  </sheetData>
  <dataValidations>
    <dataValidation type="custom" allowBlank="1" showDropDown="1" sqref="F2:I30">
      <formula1>AND(ISNUMBER(F2),(NOT(OR(NOT(ISERROR(DATEVALUE(F2))), AND(ISNUMBER(F2), LEFT(CELL("format", F2))="D")))))</formula1>
    </dataValidation>
    <dataValidation allowBlank="1" showDropDown="1" sqref="D2:D30"/>
  </dataValidations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3" width="20.63"/>
    <col customWidth="1" min="4" max="4" width="12.63"/>
    <col customWidth="1" min="5" max="5" width="12.88"/>
    <col customWidth="1" min="6" max="6" width="16.38"/>
    <col customWidth="1" min="7" max="7" width="12.13"/>
    <col customWidth="1" min="8" max="8" width="17.38"/>
    <col customWidth="1" min="9" max="9" width="11.75"/>
    <col customWidth="1" min="10" max="10" width="7.88"/>
    <col customWidth="1" min="11" max="11" width="12.25"/>
    <col customWidth="1" min="12" max="12" width="12.38"/>
    <col customWidth="1" min="13" max="13" width="9.5"/>
    <col customWidth="1" min="15" max="15" width="10.25"/>
    <col customWidth="1" min="16" max="16" width="10.38"/>
    <col customWidth="1" min="19" max="19" width="16.75"/>
    <col customWidth="1" min="20" max="20" width="11.38"/>
  </cols>
  <sheetData>
    <row r="1" ht="22.5" customHeight="1">
      <c r="A1" s="252" t="s">
        <v>4</v>
      </c>
      <c r="B1" s="3" t="s">
        <v>2</v>
      </c>
      <c r="C1" s="3" t="s">
        <v>3</v>
      </c>
      <c r="D1" s="1" t="s">
        <v>0</v>
      </c>
      <c r="E1" s="2" t="s">
        <v>1</v>
      </c>
      <c r="F1" s="1" t="s">
        <v>5</v>
      </c>
      <c r="G1" s="5" t="s">
        <v>6</v>
      </c>
      <c r="H1" s="1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7" t="s">
        <v>12</v>
      </c>
      <c r="N1" s="4" t="s">
        <v>13</v>
      </c>
      <c r="O1" s="4" t="s">
        <v>14</v>
      </c>
      <c r="P1" s="252" t="s">
        <v>15</v>
      </c>
      <c r="Q1" s="252" t="s">
        <v>16</v>
      </c>
      <c r="R1" s="252" t="s">
        <v>17</v>
      </c>
      <c r="S1" s="252" t="s">
        <v>1078</v>
      </c>
      <c r="T1" s="298" t="s">
        <v>22</v>
      </c>
    </row>
    <row r="2" ht="22.5" customHeight="1">
      <c r="A2" s="257" t="s">
        <v>40</v>
      </c>
      <c r="B2" s="314" t="s">
        <v>366</v>
      </c>
      <c r="C2" s="314" t="s">
        <v>367</v>
      </c>
      <c r="D2" s="256" t="s">
        <v>153</v>
      </c>
      <c r="E2" s="315">
        <f t="shared" ref="E2:E26" si="1">SUM(J2*K2)</f>
        <v>236475569.2</v>
      </c>
      <c r="F2" s="281">
        <f t="shared" ref="F2:F26" si="2">SUM(G2*E2)</f>
        <v>741332141580</v>
      </c>
      <c r="G2" s="282">
        <v>3134.9206349206347</v>
      </c>
      <c r="H2" s="281">
        <v>2.1350365677498516E12</v>
      </c>
      <c r="I2" s="282">
        <f t="shared" ref="I2:I26" si="3">sum(H2/E2)</f>
        <v>9028.571429</v>
      </c>
      <c r="J2" s="302">
        <v>79.7716</v>
      </c>
      <c r="K2" s="303">
        <v>2964408.0</v>
      </c>
      <c r="L2" s="304">
        <f t="shared" ref="L2:L26" si="4">SUM(K2*0.386102)</f>
        <v>1144563.858</v>
      </c>
      <c r="M2" s="305">
        <v>0.769</v>
      </c>
      <c r="N2" s="306">
        <v>6.43</v>
      </c>
      <c r="O2" s="307">
        <v>902.0</v>
      </c>
      <c r="P2" s="278" t="s">
        <v>156</v>
      </c>
      <c r="Q2" s="257" t="s">
        <v>157</v>
      </c>
      <c r="R2" s="257" t="s">
        <v>158</v>
      </c>
      <c r="S2" s="312">
        <f t="shared" ref="S2:S26" si="5">SUM(F2*T2)</f>
        <v>12750912835</v>
      </c>
      <c r="T2" s="298">
        <v>0.0172</v>
      </c>
    </row>
    <row r="3" ht="22.5" customHeight="1">
      <c r="A3" s="257" t="s">
        <v>40</v>
      </c>
      <c r="B3" s="321" t="s">
        <v>562</v>
      </c>
      <c r="C3" s="321" t="s">
        <v>563</v>
      </c>
      <c r="D3" s="264" t="s">
        <v>37</v>
      </c>
      <c r="E3" s="322">
        <f t="shared" si="1"/>
        <v>347520586.7</v>
      </c>
      <c r="F3" s="281">
        <f t="shared" si="2"/>
        <v>4121980291974</v>
      </c>
      <c r="G3" s="282">
        <v>11861.111111111111</v>
      </c>
      <c r="H3" s="281">
        <v>7.460784328473694E12</v>
      </c>
      <c r="I3" s="282">
        <f t="shared" si="3"/>
        <v>21468.61111</v>
      </c>
      <c r="J3" s="302">
        <v>134.5993</v>
      </c>
      <c r="K3" s="303">
        <v>2581890.0</v>
      </c>
      <c r="L3" s="304">
        <f t="shared" si="4"/>
        <v>996872.8928</v>
      </c>
      <c r="M3" s="305">
        <v>0.839</v>
      </c>
      <c r="N3" s="306">
        <v>2.33</v>
      </c>
      <c r="O3" s="307">
        <v>901.0</v>
      </c>
      <c r="P3" s="257" t="s">
        <v>41</v>
      </c>
      <c r="Q3" s="257" t="s">
        <v>42</v>
      </c>
      <c r="R3" s="255" t="s">
        <v>43</v>
      </c>
      <c r="S3" s="308">
        <f t="shared" si="5"/>
        <v>176420756497</v>
      </c>
      <c r="T3" s="329">
        <v>0.0428</v>
      </c>
    </row>
    <row r="4" ht="22.5" customHeight="1">
      <c r="A4" s="257" t="s">
        <v>40</v>
      </c>
      <c r="B4" s="319" t="s">
        <v>644</v>
      </c>
      <c r="C4" s="314" t="s">
        <v>645</v>
      </c>
      <c r="D4" s="264" t="s">
        <v>246</v>
      </c>
      <c r="E4" s="315">
        <f t="shared" si="1"/>
        <v>88913943.05</v>
      </c>
      <c r="F4" s="281">
        <f t="shared" si="2"/>
        <v>43398472202</v>
      </c>
      <c r="G4" s="282">
        <v>488.0952380952381</v>
      </c>
      <c r="H4" s="281">
        <v>2.7384435959338803E11</v>
      </c>
      <c r="I4" s="282">
        <f t="shared" si="3"/>
        <v>3079.880952</v>
      </c>
      <c r="J4" s="302">
        <v>63.5228</v>
      </c>
      <c r="K4" s="303">
        <v>1399717.0</v>
      </c>
      <c r="L4" s="304">
        <f t="shared" si="4"/>
        <v>540433.5331</v>
      </c>
      <c r="M4" s="332">
        <v>0.396</v>
      </c>
      <c r="N4" s="306">
        <v>0.61</v>
      </c>
      <c r="O4" s="307">
        <v>999.0</v>
      </c>
      <c r="P4" s="278" t="s">
        <v>249</v>
      </c>
      <c r="Q4" s="257" t="s">
        <v>250</v>
      </c>
      <c r="R4" s="257" t="s">
        <v>251</v>
      </c>
      <c r="S4" s="312">
        <f t="shared" si="5"/>
        <v>5294613609</v>
      </c>
      <c r="T4" s="298">
        <v>0.122</v>
      </c>
    </row>
    <row r="5" ht="22.5" customHeight="1">
      <c r="A5" s="257" t="s">
        <v>40</v>
      </c>
      <c r="B5" s="317" t="s">
        <v>804</v>
      </c>
      <c r="C5" s="310" t="s">
        <v>805</v>
      </c>
      <c r="D5" s="256" t="s">
        <v>431</v>
      </c>
      <c r="E5" s="311">
        <f t="shared" si="1"/>
        <v>21995119.44</v>
      </c>
      <c r="F5" s="281">
        <f t="shared" si="2"/>
        <v>81434311263</v>
      </c>
      <c r="G5" s="282">
        <v>3702.3809523809523</v>
      </c>
      <c r="H5" s="281">
        <v>2.019570919321455E11</v>
      </c>
      <c r="I5" s="282">
        <f t="shared" si="3"/>
        <v>9181.904762</v>
      </c>
      <c r="J5" s="302">
        <v>16.5544</v>
      </c>
      <c r="K5" s="303">
        <v>1328657.0</v>
      </c>
      <c r="L5" s="304">
        <f t="shared" si="4"/>
        <v>512997.125</v>
      </c>
      <c r="M5" s="305">
        <v>0.745</v>
      </c>
      <c r="N5" s="306">
        <v>5.49</v>
      </c>
      <c r="O5" s="307">
        <v>905.0</v>
      </c>
      <c r="P5" s="278" t="s">
        <v>434</v>
      </c>
      <c r="Q5" s="257" t="s">
        <v>435</v>
      </c>
      <c r="R5" s="255" t="s">
        <v>436</v>
      </c>
      <c r="S5" s="308">
        <f t="shared" si="5"/>
        <v>0</v>
      </c>
      <c r="T5" s="336"/>
    </row>
    <row r="6" ht="22.5" customHeight="1">
      <c r="A6" s="257" t="s">
        <v>40</v>
      </c>
      <c r="B6" s="299" t="s">
        <v>160</v>
      </c>
      <c r="C6" s="300" t="s">
        <v>161</v>
      </c>
      <c r="D6" s="256" t="s">
        <v>206</v>
      </c>
      <c r="E6" s="301">
        <f t="shared" si="1"/>
        <v>95001456.77</v>
      </c>
      <c r="F6" s="281">
        <f t="shared" si="2"/>
        <v>313278613382</v>
      </c>
      <c r="G6" s="282">
        <v>3297.6190476190477</v>
      </c>
      <c r="H6" s="281">
        <v>1.005624348955578E12</v>
      </c>
      <c r="I6" s="282">
        <f t="shared" si="3"/>
        <v>10585.35714</v>
      </c>
      <c r="J6" s="302">
        <v>92.3976</v>
      </c>
      <c r="K6" s="303">
        <v>1028181.0</v>
      </c>
      <c r="L6" s="304">
        <f t="shared" si="4"/>
        <v>396982.7405</v>
      </c>
      <c r="M6" s="305">
        <v>0.738</v>
      </c>
      <c r="N6" s="306">
        <v>4.29</v>
      </c>
      <c r="O6" s="307">
        <v>923.0</v>
      </c>
      <c r="P6" s="257" t="s">
        <v>209</v>
      </c>
      <c r="Q6" s="257" t="s">
        <v>210</v>
      </c>
      <c r="R6" s="255" t="s">
        <v>211</v>
      </c>
      <c r="S6" s="308">
        <f t="shared" si="5"/>
        <v>7863293196</v>
      </c>
      <c r="T6" s="298">
        <v>0.0251</v>
      </c>
    </row>
    <row r="7" ht="22.5" customHeight="1">
      <c r="A7" s="257" t="s">
        <v>40</v>
      </c>
      <c r="B7" s="320" t="s">
        <v>757</v>
      </c>
      <c r="C7" s="321" t="s">
        <v>758</v>
      </c>
      <c r="D7" s="256" t="s">
        <v>690</v>
      </c>
      <c r="E7" s="322">
        <f t="shared" si="1"/>
        <v>11247659.63</v>
      </c>
      <c r="F7" s="281">
        <f t="shared" si="2"/>
        <v>20040472905</v>
      </c>
      <c r="G7" s="282">
        <v>1781.7460317460318</v>
      </c>
      <c r="H7" s="281">
        <v>6.092303763028559E10</v>
      </c>
      <c r="I7" s="282">
        <f t="shared" si="3"/>
        <v>5416.507937</v>
      </c>
      <c r="J7" s="302">
        <v>11.9353</v>
      </c>
      <c r="K7" s="303">
        <v>942386.0</v>
      </c>
      <c r="L7" s="304">
        <f t="shared" si="4"/>
        <v>363857.1194</v>
      </c>
      <c r="M7" s="305">
        <v>0.643</v>
      </c>
      <c r="N7" s="306">
        <v>3.65</v>
      </c>
      <c r="O7" s="307">
        <v>928.0</v>
      </c>
      <c r="P7" s="278" t="s">
        <v>693</v>
      </c>
      <c r="Q7" s="257" t="s">
        <v>694</v>
      </c>
      <c r="R7" s="257" t="s">
        <v>695</v>
      </c>
      <c r="S7" s="312">
        <f t="shared" si="5"/>
        <v>0</v>
      </c>
      <c r="T7" s="298"/>
    </row>
    <row r="8" ht="22.5" customHeight="1">
      <c r="A8" s="257" t="s">
        <v>40</v>
      </c>
      <c r="B8" s="299" t="s">
        <v>703</v>
      </c>
      <c r="C8" s="300" t="s">
        <v>704</v>
      </c>
      <c r="D8" s="256" t="s">
        <v>94</v>
      </c>
      <c r="E8" s="301">
        <f t="shared" si="1"/>
        <v>71957345.98</v>
      </c>
      <c r="F8" s="281">
        <f t="shared" si="2"/>
        <v>790959715767</v>
      </c>
      <c r="G8" s="282">
        <v>10992.063492063491</v>
      </c>
      <c r="H8" s="281">
        <v>1.47909466848357E12</v>
      </c>
      <c r="I8" s="282">
        <f t="shared" si="3"/>
        <v>20555.15873</v>
      </c>
      <c r="J8" s="302">
        <v>82.0123</v>
      </c>
      <c r="K8" s="303">
        <v>877397.0</v>
      </c>
      <c r="L8" s="304">
        <f t="shared" si="4"/>
        <v>338764.7365</v>
      </c>
      <c r="M8" s="305">
        <v>0.832</v>
      </c>
      <c r="N8" s="306">
        <v>6.08</v>
      </c>
      <c r="O8" s="307">
        <v>921.0</v>
      </c>
      <c r="P8" s="278" t="s">
        <v>97</v>
      </c>
      <c r="Q8" s="257" t="s">
        <v>98</v>
      </c>
      <c r="R8" s="255" t="s">
        <v>99</v>
      </c>
      <c r="S8" s="308">
        <f t="shared" si="5"/>
        <v>49118598349</v>
      </c>
      <c r="T8" s="298">
        <v>0.0621</v>
      </c>
    </row>
    <row r="9" ht="22.5" customHeight="1">
      <c r="A9" s="257" t="s">
        <v>40</v>
      </c>
      <c r="B9" s="317" t="s">
        <v>863</v>
      </c>
      <c r="C9" s="310" t="s">
        <v>864</v>
      </c>
      <c r="D9" s="264" t="s">
        <v>75</v>
      </c>
      <c r="E9" s="311">
        <f t="shared" si="1"/>
        <v>79558877.23</v>
      </c>
      <c r="F9" s="281">
        <f t="shared" si="2"/>
        <v>1000800162006</v>
      </c>
      <c r="G9" s="282">
        <v>12579.36507936508</v>
      </c>
      <c r="H9" s="281">
        <v>1.401120226808E12</v>
      </c>
      <c r="I9" s="282">
        <f t="shared" si="3"/>
        <v>17611.11111</v>
      </c>
      <c r="J9" s="302">
        <v>107.8092</v>
      </c>
      <c r="K9" s="303">
        <v>737960.0</v>
      </c>
      <c r="L9" s="304">
        <f t="shared" si="4"/>
        <v>284927.8319</v>
      </c>
      <c r="M9" s="305">
        <v>0.918</v>
      </c>
      <c r="N9" s="306">
        <v>8.92</v>
      </c>
      <c r="O9" s="307">
        <v>744.0</v>
      </c>
      <c r="P9" s="278" t="s">
        <v>78</v>
      </c>
      <c r="Q9" s="257" t="s">
        <v>79</v>
      </c>
      <c r="R9" s="255" t="s">
        <v>80</v>
      </c>
      <c r="S9" s="308">
        <f t="shared" si="5"/>
        <v>45936727436</v>
      </c>
      <c r="T9" s="333">
        <v>0.0459</v>
      </c>
    </row>
    <row r="10" ht="22.5" customHeight="1">
      <c r="A10" s="257" t="s">
        <v>40</v>
      </c>
      <c r="B10" s="299" t="s">
        <v>462</v>
      </c>
      <c r="C10" s="300" t="s">
        <v>463</v>
      </c>
      <c r="D10" s="256" t="s">
        <v>621</v>
      </c>
      <c r="E10" s="301">
        <f t="shared" si="1"/>
        <v>36478307.46</v>
      </c>
      <c r="F10" s="281">
        <f t="shared" si="2"/>
        <v>33872714074</v>
      </c>
      <c r="G10" s="282">
        <v>928.5714285714286</v>
      </c>
      <c r="H10" s="281">
        <v>1.1076377502347485E11</v>
      </c>
      <c r="I10" s="282">
        <f t="shared" si="3"/>
        <v>3036.428571</v>
      </c>
      <c r="J10" s="302">
        <v>61.9886</v>
      </c>
      <c r="K10" s="303">
        <v>588468.0</v>
      </c>
      <c r="L10" s="304">
        <f t="shared" si="4"/>
        <v>227208.6717</v>
      </c>
      <c r="M10" s="305">
        <v>0.602</v>
      </c>
      <c r="N10" s="306">
        <v>2.05</v>
      </c>
      <c r="O10" s="307">
        <v>906.0</v>
      </c>
      <c r="P10" s="278" t="s">
        <v>48</v>
      </c>
      <c r="Q10" s="257" t="s">
        <v>624</v>
      </c>
      <c r="R10" s="255" t="s">
        <v>625</v>
      </c>
      <c r="S10" s="308">
        <f t="shared" si="5"/>
        <v>0</v>
      </c>
      <c r="T10" s="336"/>
    </row>
    <row r="11" ht="22.5" customHeight="1">
      <c r="A11" s="257" t="s">
        <v>40</v>
      </c>
      <c r="B11" s="320" t="s">
        <v>915</v>
      </c>
      <c r="C11" s="321" t="s">
        <v>916</v>
      </c>
      <c r="D11" s="264" t="s">
        <v>159</v>
      </c>
      <c r="E11" s="322">
        <f t="shared" si="1"/>
        <v>74436760.97</v>
      </c>
      <c r="F11" s="281">
        <f t="shared" si="2"/>
        <v>652798578359</v>
      </c>
      <c r="G11" s="282">
        <v>8769.84126984127</v>
      </c>
      <c r="H11" s="281">
        <v>1.0771176542915906E12</v>
      </c>
      <c r="I11" s="282">
        <f t="shared" si="3"/>
        <v>14470.2381</v>
      </c>
      <c r="J11" s="302">
        <v>128.9788</v>
      </c>
      <c r="K11" s="303">
        <v>577124.0</v>
      </c>
      <c r="L11" s="304">
        <f t="shared" si="4"/>
        <v>222828.7306</v>
      </c>
      <c r="M11" s="305">
        <v>0.887</v>
      </c>
      <c r="N11" s="306">
        <v>7.84</v>
      </c>
      <c r="O11" s="307">
        <v>908.0</v>
      </c>
      <c r="P11" s="278" t="s">
        <v>162</v>
      </c>
      <c r="Q11" s="257" t="s">
        <v>163</v>
      </c>
      <c r="R11" s="257" t="s">
        <v>164</v>
      </c>
      <c r="S11" s="312">
        <f t="shared" si="5"/>
        <v>10705896685</v>
      </c>
      <c r="T11" s="298">
        <v>0.0164</v>
      </c>
    </row>
    <row r="12" ht="22.5" customHeight="1">
      <c r="A12" s="257" t="s">
        <v>40</v>
      </c>
      <c r="B12" s="299" t="s">
        <v>58</v>
      </c>
      <c r="C12" s="300" t="s">
        <v>59</v>
      </c>
      <c r="D12" s="264" t="s">
        <v>768</v>
      </c>
      <c r="E12" s="301">
        <f t="shared" si="1"/>
        <v>9106538.713</v>
      </c>
      <c r="F12" s="281">
        <f t="shared" si="2"/>
        <v>12611833376</v>
      </c>
      <c r="G12" s="282">
        <v>1384.920634920635</v>
      </c>
      <c r="H12" s="281">
        <v>3.569148845503456E10</v>
      </c>
      <c r="I12" s="282">
        <f t="shared" si="3"/>
        <v>3919.325397</v>
      </c>
      <c r="J12" s="302">
        <v>16.1605</v>
      </c>
      <c r="K12" s="303">
        <v>563506.0</v>
      </c>
      <c r="L12" s="304">
        <f t="shared" si="4"/>
        <v>217570.7936</v>
      </c>
      <c r="M12" s="305">
        <v>0.687</v>
      </c>
      <c r="N12" s="306">
        <v>4.91</v>
      </c>
      <c r="O12" s="307">
        <v>925.0</v>
      </c>
      <c r="P12" s="278" t="s">
        <v>771</v>
      </c>
      <c r="Q12" s="257" t="s">
        <v>772</v>
      </c>
      <c r="R12" s="257" t="s">
        <v>773</v>
      </c>
      <c r="S12" s="312">
        <f t="shared" si="5"/>
        <v>0</v>
      </c>
      <c r="T12" s="298"/>
    </row>
    <row r="13" ht="22.5" customHeight="1">
      <c r="A13" s="257" t="s">
        <v>40</v>
      </c>
      <c r="B13" s="320" t="s">
        <v>336</v>
      </c>
      <c r="C13" s="321" t="s">
        <v>337</v>
      </c>
      <c r="D13" s="256" t="s">
        <v>573</v>
      </c>
      <c r="E13" s="322">
        <f t="shared" si="1"/>
        <v>25083673.75</v>
      </c>
      <c r="F13" s="281">
        <f t="shared" si="2"/>
        <v>43697352283</v>
      </c>
      <c r="G13" s="282">
        <v>1742.063492063492</v>
      </c>
      <c r="H13" s="281">
        <v>1.2628534809649841E11</v>
      </c>
      <c r="I13" s="282">
        <f t="shared" si="3"/>
        <v>5034.563492</v>
      </c>
      <c r="J13" s="302">
        <v>55.4426</v>
      </c>
      <c r="K13" s="303">
        <v>452426.0</v>
      </c>
      <c r="L13" s="304">
        <f t="shared" si="4"/>
        <v>174682.5835</v>
      </c>
      <c r="M13" s="305">
        <v>0.673</v>
      </c>
      <c r="N13" s="306">
        <v>5.62</v>
      </c>
      <c r="O13" s="307">
        <v>913.0</v>
      </c>
      <c r="P13" s="278" t="s">
        <v>576</v>
      </c>
      <c r="Q13" s="257" t="s">
        <v>577</v>
      </c>
      <c r="R13" s="255" t="s">
        <v>578</v>
      </c>
      <c r="S13" s="312">
        <f t="shared" si="5"/>
        <v>0</v>
      </c>
      <c r="T13" s="298"/>
    </row>
    <row r="14" ht="22.5" customHeight="1">
      <c r="A14" s="257" t="s">
        <v>40</v>
      </c>
      <c r="B14" s="300" t="s">
        <v>318</v>
      </c>
      <c r="C14" s="300" t="s">
        <v>319</v>
      </c>
      <c r="D14" s="256" t="s">
        <v>660</v>
      </c>
      <c r="E14" s="301">
        <f t="shared" si="1"/>
        <v>2051969.92</v>
      </c>
      <c r="F14" s="281">
        <f t="shared" si="2"/>
        <v>26789607289</v>
      </c>
      <c r="G14" s="282">
        <v>13055.555555555555</v>
      </c>
      <c r="H14" s="281">
        <v>3.1343840527999992E10</v>
      </c>
      <c r="I14" s="282">
        <f t="shared" si="3"/>
        <v>15275</v>
      </c>
      <c r="J14" s="302">
        <v>5.005</v>
      </c>
      <c r="K14" s="303">
        <v>409984.0</v>
      </c>
      <c r="L14" s="304">
        <f t="shared" si="4"/>
        <v>158295.6424</v>
      </c>
      <c r="M14" s="305">
        <v>0.841</v>
      </c>
      <c r="N14" s="306">
        <v>2.76</v>
      </c>
      <c r="O14" s="307">
        <v>914.0</v>
      </c>
      <c r="P14" s="278" t="s">
        <v>663</v>
      </c>
      <c r="Q14" s="257" t="s">
        <v>664</v>
      </c>
      <c r="R14" s="257" t="s">
        <v>665</v>
      </c>
      <c r="S14" s="312">
        <f t="shared" si="5"/>
        <v>0</v>
      </c>
      <c r="T14" s="298"/>
    </row>
    <row r="15" ht="22.5" customHeight="1">
      <c r="A15" s="257" t="s">
        <v>40</v>
      </c>
      <c r="B15" s="320" t="s">
        <v>927</v>
      </c>
      <c r="C15" s="321" t="s">
        <v>928</v>
      </c>
      <c r="D15" s="256" t="s">
        <v>177</v>
      </c>
      <c r="E15" s="322">
        <f t="shared" si="1"/>
        <v>27844193.43</v>
      </c>
      <c r="F15" s="281">
        <f t="shared" si="2"/>
        <v>432026969545</v>
      </c>
      <c r="G15" s="282">
        <v>15515.873015873016</v>
      </c>
      <c r="H15" s="259">
        <v>6.7701474817664E11</v>
      </c>
      <c r="I15" s="282">
        <f t="shared" si="3"/>
        <v>24314.3961</v>
      </c>
      <c r="J15" s="302">
        <v>72.7656</v>
      </c>
      <c r="K15" s="303">
        <v>382656.0</v>
      </c>
      <c r="L15" s="304">
        <f t="shared" si="4"/>
        <v>147744.2469</v>
      </c>
      <c r="M15" s="305">
        <v>0.847</v>
      </c>
      <c r="N15" s="306">
        <v>7.03</v>
      </c>
      <c r="O15" s="307">
        <v>903.0</v>
      </c>
      <c r="P15" s="278" t="s">
        <v>180</v>
      </c>
      <c r="Q15" s="257" t="s">
        <v>181</v>
      </c>
      <c r="R15" s="255" t="s">
        <v>177</v>
      </c>
      <c r="S15" s="308">
        <f t="shared" si="5"/>
        <v>9202174451</v>
      </c>
      <c r="T15" s="298">
        <v>0.0213</v>
      </c>
    </row>
    <row r="16" ht="22.5" customHeight="1">
      <c r="A16" s="257" t="s">
        <v>40</v>
      </c>
      <c r="B16" s="314" t="s">
        <v>52</v>
      </c>
      <c r="C16" s="314" t="s">
        <v>53</v>
      </c>
      <c r="D16" s="256" t="s">
        <v>885</v>
      </c>
      <c r="E16" s="315">
        <f t="shared" si="1"/>
        <v>2236563.365</v>
      </c>
      <c r="F16" s="281">
        <f t="shared" si="2"/>
        <v>4286746449</v>
      </c>
      <c r="G16" s="282">
        <v>1916.6666666666667</v>
      </c>
      <c r="H16" s="281">
        <v>9.902384296323751E9</v>
      </c>
      <c r="I16" s="282">
        <f t="shared" si="3"/>
        <v>4427.5</v>
      </c>
      <c r="J16" s="302">
        <v>6.1605</v>
      </c>
      <c r="K16" s="303">
        <v>363049.0</v>
      </c>
      <c r="L16" s="304">
        <f t="shared" si="4"/>
        <v>140173.945</v>
      </c>
      <c r="M16" s="305">
        <v>0.688</v>
      </c>
      <c r="N16" s="306">
        <v>2.38</v>
      </c>
      <c r="O16" s="307">
        <v>924.0</v>
      </c>
      <c r="P16" s="278" t="s">
        <v>888</v>
      </c>
      <c r="Q16" s="257" t="s">
        <v>889</v>
      </c>
      <c r="R16" s="255" t="s">
        <v>890</v>
      </c>
      <c r="S16" s="312">
        <f t="shared" si="5"/>
        <v>0</v>
      </c>
      <c r="T16" s="298"/>
    </row>
    <row r="17" ht="22.5" customHeight="1">
      <c r="A17" s="257" t="s">
        <v>40</v>
      </c>
      <c r="B17" s="321" t="s">
        <v>715</v>
      </c>
      <c r="C17" s="321" t="s">
        <v>716</v>
      </c>
      <c r="D17" s="264" t="s">
        <v>299</v>
      </c>
      <c r="E17" s="322">
        <f t="shared" si="1"/>
        <v>31644351.65</v>
      </c>
      <c r="F17" s="281">
        <f t="shared" si="2"/>
        <v>202172246640</v>
      </c>
      <c r="G17" s="282">
        <v>6388.888888888889</v>
      </c>
      <c r="H17" s="281">
        <v>4.265834404103999E11</v>
      </c>
      <c r="I17" s="282">
        <f t="shared" si="3"/>
        <v>13480.55556</v>
      </c>
      <c r="J17" s="302">
        <v>112.0392</v>
      </c>
      <c r="K17" s="303">
        <v>282440.0</v>
      </c>
      <c r="L17" s="304">
        <f t="shared" si="4"/>
        <v>109050.6489</v>
      </c>
      <c r="M17" s="305">
        <v>0.807</v>
      </c>
      <c r="N17" s="306">
        <v>8.57</v>
      </c>
      <c r="O17" s="307">
        <v>907.0</v>
      </c>
      <c r="P17" s="278" t="s">
        <v>302</v>
      </c>
      <c r="Q17" s="257" t="s">
        <v>303</v>
      </c>
      <c r="R17" s="257" t="s">
        <v>304</v>
      </c>
      <c r="S17" s="312">
        <f t="shared" si="5"/>
        <v>0</v>
      </c>
      <c r="T17" s="298"/>
    </row>
    <row r="18" ht="22.5" customHeight="1">
      <c r="A18" s="257" t="s">
        <v>40</v>
      </c>
      <c r="B18" s="314" t="s">
        <v>498</v>
      </c>
      <c r="C18" s="314" t="s">
        <v>499</v>
      </c>
      <c r="D18" s="264" t="s">
        <v>515</v>
      </c>
      <c r="E18" s="315">
        <f t="shared" si="1"/>
        <v>35956798.09</v>
      </c>
      <c r="F18" s="281">
        <f t="shared" si="2"/>
        <v>53649825721</v>
      </c>
      <c r="G18" s="282">
        <v>1492.063492063492</v>
      </c>
      <c r="H18" s="259">
        <v>2.93781532932654E11</v>
      </c>
      <c r="I18" s="282">
        <f t="shared" si="3"/>
        <v>8170.403054</v>
      </c>
      <c r="J18" s="302">
        <v>143.6221</v>
      </c>
      <c r="K18" s="303">
        <v>250357.0</v>
      </c>
      <c r="L18" s="304">
        <f t="shared" si="4"/>
        <v>96663.33841</v>
      </c>
      <c r="M18" s="305">
        <v>0.717</v>
      </c>
      <c r="N18" s="306">
        <v>5.88</v>
      </c>
      <c r="O18" s="307">
        <v>926.0</v>
      </c>
      <c r="P18" s="278" t="s">
        <v>518</v>
      </c>
      <c r="Q18" s="257" t="s">
        <v>519</v>
      </c>
      <c r="R18" s="257" t="s">
        <v>515</v>
      </c>
      <c r="S18" s="312">
        <f t="shared" si="5"/>
        <v>0</v>
      </c>
      <c r="T18" s="298"/>
    </row>
    <row r="19" ht="22.5" customHeight="1">
      <c r="A19" s="257" t="s">
        <v>40</v>
      </c>
      <c r="B19" s="317" t="s">
        <v>271</v>
      </c>
      <c r="C19" s="310" t="s">
        <v>272</v>
      </c>
      <c r="D19" s="264" t="s">
        <v>672</v>
      </c>
      <c r="E19" s="311">
        <f t="shared" si="1"/>
        <v>16057397.35</v>
      </c>
      <c r="F19" s="281">
        <f t="shared" si="2"/>
        <v>25041893482</v>
      </c>
      <c r="G19" s="282">
        <v>1559.5238095238094</v>
      </c>
      <c r="H19" s="281">
        <v>7.512568044582857E10</v>
      </c>
      <c r="I19" s="282">
        <f t="shared" si="3"/>
        <v>4678.571429</v>
      </c>
      <c r="J19" s="302">
        <v>66.6072</v>
      </c>
      <c r="K19" s="303">
        <v>241076.0</v>
      </c>
      <c r="L19" s="304">
        <f t="shared" si="4"/>
        <v>93079.92575</v>
      </c>
      <c r="M19" s="305">
        <v>0.652</v>
      </c>
      <c r="N19" s="306">
        <v>1.14</v>
      </c>
      <c r="O19" s="307">
        <v>927.0</v>
      </c>
      <c r="P19" s="278" t="s">
        <v>675</v>
      </c>
      <c r="Q19" s="257" t="s">
        <v>676</v>
      </c>
      <c r="R19" s="257" t="s">
        <v>677</v>
      </c>
      <c r="S19" s="312">
        <f t="shared" si="5"/>
        <v>0</v>
      </c>
      <c r="T19" s="298"/>
    </row>
    <row r="20" ht="22.5" customHeight="1">
      <c r="A20" s="257" t="s">
        <v>40</v>
      </c>
      <c r="B20" s="319" t="s">
        <v>792</v>
      </c>
      <c r="C20" s="314" t="s">
        <v>793</v>
      </c>
      <c r="D20" s="256" t="s">
        <v>797</v>
      </c>
      <c r="E20" s="315">
        <f t="shared" si="1"/>
        <v>9975074.746</v>
      </c>
      <c r="F20" s="281">
        <f t="shared" si="2"/>
        <v>8866733108</v>
      </c>
      <c r="G20" s="282">
        <v>888.8888888888889</v>
      </c>
      <c r="H20" s="281">
        <v>2.784154195772445E10</v>
      </c>
      <c r="I20" s="282">
        <f t="shared" si="3"/>
        <v>2791.111111</v>
      </c>
      <c r="J20" s="302">
        <v>46.5842</v>
      </c>
      <c r="K20" s="303">
        <v>214130.0</v>
      </c>
      <c r="L20" s="304">
        <f t="shared" si="4"/>
        <v>82676.02126</v>
      </c>
      <c r="M20" s="305">
        <v>0.628</v>
      </c>
      <c r="N20" s="306">
        <v>2.96</v>
      </c>
      <c r="O20" s="307">
        <v>920.0</v>
      </c>
      <c r="P20" s="278" t="s">
        <v>800</v>
      </c>
      <c r="Q20" s="257" t="s">
        <v>801</v>
      </c>
      <c r="R20" s="257" t="s">
        <v>802</v>
      </c>
      <c r="S20" s="312">
        <f t="shared" si="5"/>
        <v>0</v>
      </c>
      <c r="T20" s="298"/>
    </row>
    <row r="21" ht="22.5" customHeight="1">
      <c r="A21" s="257" t="s">
        <v>40</v>
      </c>
      <c r="B21" s="310" t="s">
        <v>1334</v>
      </c>
      <c r="C21" s="310" t="s">
        <v>415</v>
      </c>
      <c r="D21" s="256" t="s">
        <v>437</v>
      </c>
      <c r="E21" s="311">
        <f t="shared" si="1"/>
        <v>21611863.47</v>
      </c>
      <c r="F21" s="281">
        <f t="shared" si="2"/>
        <v>78900453934</v>
      </c>
      <c r="G21" s="282">
        <v>3650.7936507936506</v>
      </c>
      <c r="H21" s="281">
        <v>3.021887385661257E11</v>
      </c>
      <c r="I21" s="282">
        <f t="shared" si="3"/>
        <v>13982.53968</v>
      </c>
      <c r="J21" s="302">
        <v>107.8092</v>
      </c>
      <c r="K21" s="303">
        <v>200464.0</v>
      </c>
      <c r="L21" s="304">
        <f t="shared" si="4"/>
        <v>77399.55133</v>
      </c>
      <c r="M21" s="305">
        <v>0.675</v>
      </c>
      <c r="N21" s="306">
        <v>4.17</v>
      </c>
      <c r="O21" s="307">
        <v>915.0</v>
      </c>
      <c r="P21" s="278" t="s">
        <v>440</v>
      </c>
      <c r="Q21" s="257" t="s">
        <v>441</v>
      </c>
      <c r="R21" s="257" t="s">
        <v>442</v>
      </c>
      <c r="S21" s="312">
        <f t="shared" si="5"/>
        <v>0</v>
      </c>
      <c r="T21" s="298"/>
    </row>
    <row r="22" ht="22.5" customHeight="1">
      <c r="A22" s="257" t="s">
        <v>40</v>
      </c>
      <c r="B22" s="299" t="s">
        <v>639</v>
      </c>
      <c r="C22" s="300" t="s">
        <v>640</v>
      </c>
      <c r="D22" s="256" t="s">
        <v>762</v>
      </c>
      <c r="E22" s="301">
        <f t="shared" si="1"/>
        <v>7898975.162</v>
      </c>
      <c r="F22" s="281">
        <f t="shared" si="2"/>
        <v>13854551674</v>
      </c>
      <c r="G22" s="282">
        <v>1753.968253968254</v>
      </c>
      <c r="H22" s="281">
        <v>4.059383640403867E10</v>
      </c>
      <c r="I22" s="282">
        <f t="shared" si="3"/>
        <v>5139.126984</v>
      </c>
      <c r="J22" s="302">
        <v>40.0386</v>
      </c>
      <c r="K22" s="303">
        <v>197284.0</v>
      </c>
      <c r="L22" s="304">
        <f t="shared" si="4"/>
        <v>76171.74697</v>
      </c>
      <c r="M22" s="305">
        <v>0.666</v>
      </c>
      <c r="N22" s="306">
        <v>5.7</v>
      </c>
      <c r="O22" s="307">
        <v>921.0</v>
      </c>
      <c r="P22" s="278" t="s">
        <v>765</v>
      </c>
      <c r="Q22" s="257" t="s">
        <v>766</v>
      </c>
      <c r="R22" s="257" t="s">
        <v>767</v>
      </c>
      <c r="S22" s="312">
        <f t="shared" si="5"/>
        <v>0</v>
      </c>
      <c r="T22" s="298"/>
    </row>
    <row r="23" ht="22.5" customHeight="1">
      <c r="A23" s="257" t="s">
        <v>40</v>
      </c>
      <c r="B23" s="320" t="s">
        <v>898</v>
      </c>
      <c r="C23" s="321" t="s">
        <v>899</v>
      </c>
      <c r="D23" s="256" t="s">
        <v>649</v>
      </c>
      <c r="E23" s="322">
        <f t="shared" si="1"/>
        <v>2162676.91</v>
      </c>
      <c r="F23" s="281">
        <f t="shared" si="2"/>
        <v>28578230591</v>
      </c>
      <c r="G23" s="282">
        <v>13214.285714285714</v>
      </c>
      <c r="H23" s="259">
        <v>4.40119035345E10</v>
      </c>
      <c r="I23" s="282">
        <f t="shared" si="3"/>
        <v>20350.66049</v>
      </c>
      <c r="J23" s="302">
        <v>11.1652</v>
      </c>
      <c r="K23" s="303">
        <v>193698.0</v>
      </c>
      <c r="L23" s="304">
        <f t="shared" si="4"/>
        <v>74787.1852</v>
      </c>
      <c r="M23" s="305">
        <v>0.843</v>
      </c>
      <c r="N23" s="306">
        <v>3.1</v>
      </c>
      <c r="O23" s="307">
        <v>916.0</v>
      </c>
      <c r="P23" s="278" t="s">
        <v>652</v>
      </c>
      <c r="Q23" s="257" t="s">
        <v>653</v>
      </c>
      <c r="R23" s="257" t="s">
        <v>654</v>
      </c>
      <c r="S23" s="312">
        <f t="shared" si="5"/>
        <v>0</v>
      </c>
      <c r="T23" s="298"/>
    </row>
    <row r="24" ht="22.5" customHeight="1">
      <c r="A24" s="257" t="s">
        <v>40</v>
      </c>
      <c r="B24" s="299" t="s">
        <v>721</v>
      </c>
      <c r="C24" s="300" t="s">
        <v>722</v>
      </c>
      <c r="D24" s="264" t="s">
        <v>353</v>
      </c>
      <c r="E24" s="301">
        <f t="shared" si="1"/>
        <v>18288843.58</v>
      </c>
      <c r="F24" s="281">
        <f t="shared" si="2"/>
        <v>137166326876</v>
      </c>
      <c r="G24" s="282">
        <v>7500.0</v>
      </c>
      <c r="H24" s="281">
        <v>2.89420949707305E11</v>
      </c>
      <c r="I24" s="282">
        <f t="shared" si="3"/>
        <v>15825</v>
      </c>
      <c r="J24" s="302">
        <v>164.4074</v>
      </c>
      <c r="K24" s="303">
        <v>111241.0</v>
      </c>
      <c r="L24" s="304">
        <f t="shared" si="4"/>
        <v>42950.37258</v>
      </c>
      <c r="M24" s="305">
        <v>0.88</v>
      </c>
      <c r="N24" s="306">
        <v>6.21</v>
      </c>
      <c r="O24" s="307">
        <v>909.0</v>
      </c>
      <c r="P24" s="278" t="s">
        <v>356</v>
      </c>
      <c r="Q24" s="257" t="s">
        <v>357</v>
      </c>
      <c r="R24" s="255" t="s">
        <v>358</v>
      </c>
      <c r="S24" s="308">
        <f t="shared" si="5"/>
        <v>0</v>
      </c>
      <c r="T24" s="336"/>
    </row>
    <row r="25" ht="22.5" customHeight="1">
      <c r="A25" s="257" t="s">
        <v>40</v>
      </c>
      <c r="B25" s="320" t="s">
        <v>154</v>
      </c>
      <c r="C25" s="321" t="s">
        <v>155</v>
      </c>
      <c r="D25" s="256" t="s">
        <v>281</v>
      </c>
      <c r="E25" s="322">
        <f t="shared" si="1"/>
        <v>13815052.98</v>
      </c>
      <c r="F25" s="281">
        <f t="shared" si="2"/>
        <v>224768719171</v>
      </c>
      <c r="G25" s="282">
        <v>16269.84126984127</v>
      </c>
      <c r="H25" s="281">
        <v>2.899516477307333E11</v>
      </c>
      <c r="I25" s="282">
        <f t="shared" si="3"/>
        <v>20988.09524</v>
      </c>
      <c r="J25" s="302">
        <v>163.5382</v>
      </c>
      <c r="K25" s="303">
        <v>84476.0</v>
      </c>
      <c r="L25" s="304">
        <f t="shared" si="4"/>
        <v>32616.35255</v>
      </c>
      <c r="M25" s="305">
        <v>0.921</v>
      </c>
      <c r="N25" s="306">
        <v>9.07</v>
      </c>
      <c r="O25" s="307">
        <v>920.0</v>
      </c>
      <c r="P25" s="278" t="s">
        <v>284</v>
      </c>
      <c r="Q25" s="257" t="s">
        <v>285</v>
      </c>
      <c r="R25" s="255" t="s">
        <v>286</v>
      </c>
      <c r="S25" s="308">
        <f t="shared" si="5"/>
        <v>0</v>
      </c>
      <c r="T25" s="298"/>
    </row>
    <row r="26" ht="22.5" customHeight="1">
      <c r="A26" s="257" t="s">
        <v>40</v>
      </c>
      <c r="B26" s="300" t="s">
        <v>113</v>
      </c>
      <c r="C26" s="300" t="s">
        <v>114</v>
      </c>
      <c r="D26" s="264" t="s">
        <v>1038</v>
      </c>
      <c r="E26" s="301">
        <f t="shared" si="1"/>
        <v>3983.807</v>
      </c>
      <c r="F26" s="281">
        <f t="shared" si="2"/>
        <v>7524968.778</v>
      </c>
      <c r="G26" s="282">
        <v>1888.888888888889</v>
      </c>
      <c r="H26" s="281">
        <v>2.2273907582222223E7</v>
      </c>
      <c r="I26" s="282">
        <f t="shared" si="3"/>
        <v>5591.111111</v>
      </c>
      <c r="J26" s="302">
        <v>17.3209</v>
      </c>
      <c r="K26" s="303">
        <v>230.0</v>
      </c>
      <c r="L26" s="304">
        <f t="shared" si="4"/>
        <v>88.80346</v>
      </c>
      <c r="M26" s="305">
        <v>0.659</v>
      </c>
      <c r="N26" s="306">
        <v>7.45</v>
      </c>
      <c r="O26" s="307">
        <v>955.0</v>
      </c>
      <c r="P26" s="278" t="s">
        <v>1041</v>
      </c>
      <c r="Q26" s="257" t="s">
        <v>1042</v>
      </c>
      <c r="R26" s="257" t="s">
        <v>1043</v>
      </c>
      <c r="S26" s="312">
        <f t="shared" si="5"/>
        <v>0</v>
      </c>
      <c r="T26" s="298"/>
    </row>
    <row r="27" ht="22.5" customHeight="1">
      <c r="A27" s="257" t="s">
        <v>1045</v>
      </c>
      <c r="B27" s="323"/>
      <c r="C27" s="323"/>
      <c r="D27" s="279" t="s">
        <v>1044</v>
      </c>
      <c r="E27" s="280">
        <f>SUM(Mahea[Population])</f>
        <v>1287323583</v>
      </c>
      <c r="F27" s="281">
        <f>SUM(Mahea[GDP (Nominal)])</f>
        <v>9092314488617</v>
      </c>
      <c r="G27" s="282">
        <f>sum(Mahea[[#TOTALS],[GDP (Nominal)]]/Mahea[[#TOTALS],[Population]])</f>
        <v>7062.959621</v>
      </c>
      <c r="H27" s="281">
        <f>SUM(Mahea[GDP (PPP)])</f>
        <v>17876025414091</v>
      </c>
      <c r="I27" s="282">
        <f>sum(Mahea[[#TOTALS],[GDP (PPP)]]/Mahea[[#TOTALS],[Population]])</f>
        <v>13886.19431</v>
      </c>
      <c r="J27" s="324">
        <f>sum(Mahea[[#TOTALS],[Population]]/Mahea[[#TOTALS],[Area (Km)]])</f>
        <v>75.84446092</v>
      </c>
      <c r="K27" s="304">
        <f>SUM(Mahea[Area (Km)])</f>
        <v>16973205</v>
      </c>
      <c r="L27" s="304">
        <f>SUM(Mahea[Area (Mi)])</f>
        <v>6553388.397</v>
      </c>
      <c r="M27" s="257" t="s">
        <v>1045</v>
      </c>
      <c r="N27" s="257" t="s">
        <v>1045</v>
      </c>
      <c r="O27" s="257" t="s">
        <v>1045</v>
      </c>
      <c r="P27" s="257" t="s">
        <v>1045</v>
      </c>
      <c r="Q27" s="257" t="s">
        <v>186</v>
      </c>
      <c r="R27" s="278"/>
      <c r="S27" s="325">
        <f>SUM(Mahea[Military])</f>
        <v>317292973058</v>
      </c>
      <c r="T27" s="326"/>
    </row>
    <row r="28">
      <c r="A28" s="75"/>
      <c r="B28" s="74"/>
      <c r="C28" s="74"/>
      <c r="D28" s="72"/>
      <c r="E28" s="73"/>
      <c r="F28" s="76"/>
      <c r="G28" s="77"/>
      <c r="H28" s="76"/>
      <c r="I28" s="77"/>
      <c r="J28" s="78"/>
      <c r="K28" s="76"/>
      <c r="L28" s="76"/>
      <c r="M28" s="72"/>
      <c r="N28" s="72"/>
      <c r="O28" s="72"/>
      <c r="P28" s="75"/>
      <c r="Q28" s="75"/>
      <c r="R28" s="79"/>
      <c r="S28" s="79"/>
      <c r="T28" s="327"/>
    </row>
    <row r="29">
      <c r="A29" s="85"/>
      <c r="B29" s="84"/>
      <c r="C29" s="84"/>
      <c r="D29" s="72"/>
      <c r="E29" s="83"/>
      <c r="F29" s="76"/>
      <c r="G29" s="83"/>
      <c r="H29" s="76"/>
      <c r="I29" s="83"/>
      <c r="J29" s="86"/>
      <c r="K29" s="76"/>
      <c r="L29" s="76"/>
      <c r="M29" s="87"/>
      <c r="N29" s="72"/>
      <c r="O29" s="76"/>
      <c r="P29" s="79"/>
      <c r="Q29" s="88"/>
      <c r="R29" s="79"/>
      <c r="S29" s="88"/>
      <c r="T29" s="328"/>
    </row>
    <row r="30">
      <c r="A30" s="85"/>
      <c r="B30" s="84"/>
      <c r="C30" s="84"/>
      <c r="D30" s="72"/>
      <c r="E30" s="83"/>
      <c r="F30" s="76"/>
      <c r="G30" s="91"/>
      <c r="H30" s="76"/>
      <c r="I30" s="91"/>
      <c r="J30" s="86"/>
      <c r="K30" s="76"/>
      <c r="L30" s="76"/>
      <c r="M30" s="87"/>
      <c r="N30" s="72"/>
      <c r="O30" s="76"/>
      <c r="P30" s="79"/>
      <c r="Q30" s="88"/>
      <c r="R30" s="88"/>
      <c r="S30" s="88"/>
      <c r="T30" s="328"/>
    </row>
    <row r="31">
      <c r="A31" s="85"/>
      <c r="B31" s="84"/>
      <c r="C31" s="84"/>
      <c r="D31" s="86"/>
      <c r="E31" s="83"/>
      <c r="F31" s="76"/>
      <c r="G31" s="83"/>
      <c r="H31" s="76"/>
      <c r="I31" s="83"/>
      <c r="J31" s="86"/>
      <c r="K31" s="76"/>
      <c r="L31" s="76"/>
      <c r="M31" s="87"/>
      <c r="N31" s="72"/>
      <c r="O31" s="76"/>
      <c r="P31" s="79"/>
      <c r="Q31" s="88"/>
      <c r="R31" s="88"/>
      <c r="S31" s="88"/>
      <c r="T31" s="328"/>
    </row>
    <row r="32">
      <c r="A32" s="85"/>
      <c r="B32" s="84"/>
      <c r="C32" s="84"/>
      <c r="D32" s="86"/>
      <c r="E32" s="83"/>
      <c r="F32" s="76"/>
      <c r="G32" s="72"/>
      <c r="H32" s="76"/>
      <c r="I32" s="72"/>
      <c r="J32" s="86"/>
      <c r="K32" s="76"/>
      <c r="L32" s="76"/>
      <c r="M32" s="87"/>
      <c r="N32" s="72"/>
      <c r="O32" s="76"/>
      <c r="P32" s="79"/>
      <c r="Q32" s="88"/>
      <c r="R32" s="88"/>
      <c r="S32" s="88"/>
      <c r="T32" s="328"/>
    </row>
    <row r="33">
      <c r="A33" s="85"/>
      <c r="B33" s="84"/>
      <c r="C33" s="84"/>
      <c r="D33" s="86"/>
      <c r="E33" s="83"/>
      <c r="F33" s="76"/>
      <c r="G33" s="72"/>
      <c r="H33" s="76"/>
      <c r="I33" s="72"/>
      <c r="J33" s="86"/>
      <c r="K33" s="76"/>
      <c r="L33" s="76"/>
      <c r="M33" s="87"/>
      <c r="N33" s="72"/>
      <c r="O33" s="76"/>
      <c r="P33" s="79"/>
      <c r="Q33" s="88"/>
      <c r="R33" s="88"/>
      <c r="S33" s="88"/>
      <c r="T33" s="328"/>
    </row>
    <row r="34">
      <c r="A34" s="85"/>
      <c r="B34" s="84"/>
      <c r="C34" s="84"/>
      <c r="D34" s="86"/>
      <c r="E34" s="83"/>
      <c r="F34" s="76"/>
      <c r="G34" s="72"/>
      <c r="H34" s="76"/>
      <c r="I34" s="72"/>
      <c r="J34" s="86"/>
      <c r="K34" s="76"/>
      <c r="L34" s="76"/>
      <c r="M34" s="87"/>
      <c r="N34" s="72"/>
      <c r="O34" s="76"/>
      <c r="P34" s="79"/>
      <c r="Q34" s="88"/>
      <c r="R34" s="88"/>
      <c r="S34" s="88"/>
      <c r="T34" s="328"/>
    </row>
    <row r="35">
      <c r="A35" s="85"/>
      <c r="B35" s="84"/>
      <c r="C35" s="84"/>
      <c r="D35" s="86"/>
      <c r="E35" s="83"/>
      <c r="F35" s="76"/>
      <c r="G35" s="72"/>
      <c r="H35" s="76"/>
      <c r="I35" s="72"/>
      <c r="J35" s="86"/>
      <c r="K35" s="76"/>
      <c r="L35" s="76"/>
      <c r="M35" s="87"/>
      <c r="N35" s="72"/>
      <c r="O35" s="76"/>
      <c r="P35" s="79"/>
      <c r="Q35" s="88"/>
      <c r="R35" s="88"/>
      <c r="S35" s="88"/>
      <c r="T35" s="328"/>
    </row>
    <row r="36">
      <c r="A36" s="85"/>
      <c r="B36" s="84"/>
      <c r="C36" s="84"/>
      <c r="D36" s="86"/>
      <c r="E36" s="83"/>
      <c r="F36" s="76"/>
      <c r="G36" s="72"/>
      <c r="H36" s="76"/>
      <c r="I36" s="72"/>
      <c r="J36" s="86"/>
      <c r="K36" s="76"/>
      <c r="L36" s="76"/>
      <c r="M36" s="87"/>
      <c r="N36" s="72"/>
      <c r="O36" s="76"/>
      <c r="P36" s="79"/>
      <c r="Q36" s="88"/>
      <c r="R36" s="88"/>
      <c r="S36" s="88"/>
      <c r="T36" s="328"/>
    </row>
    <row r="37">
      <c r="A37" s="85"/>
      <c r="B37" s="84"/>
      <c r="C37" s="84"/>
      <c r="D37" s="86"/>
      <c r="E37" s="83"/>
      <c r="F37" s="76"/>
      <c r="G37" s="72"/>
      <c r="H37" s="76"/>
      <c r="I37" s="72"/>
      <c r="J37" s="86"/>
      <c r="K37" s="76"/>
      <c r="L37" s="76"/>
      <c r="M37" s="87"/>
      <c r="N37" s="72"/>
      <c r="O37" s="76"/>
      <c r="P37" s="79"/>
      <c r="Q37" s="88"/>
      <c r="R37" s="88"/>
      <c r="S37" s="88"/>
      <c r="T37" s="328"/>
    </row>
    <row r="38">
      <c r="A38" s="85"/>
      <c r="B38" s="84"/>
      <c r="C38" s="84"/>
      <c r="D38" s="86"/>
      <c r="E38" s="83"/>
      <c r="F38" s="76"/>
      <c r="G38" s="72"/>
      <c r="H38" s="76"/>
      <c r="I38" s="72"/>
      <c r="J38" s="86"/>
      <c r="K38" s="76"/>
      <c r="L38" s="76"/>
      <c r="M38" s="87"/>
      <c r="N38" s="72"/>
      <c r="O38" s="76"/>
      <c r="P38" s="79"/>
      <c r="Q38" s="88"/>
      <c r="R38" s="88"/>
      <c r="S38" s="88"/>
      <c r="T38" s="328"/>
    </row>
  </sheetData>
  <dataValidations>
    <dataValidation type="custom" allowBlank="1" showDropDown="1" sqref="F2:I26">
      <formula1>AND(ISNUMBER(F2),(NOT(OR(NOT(ISERROR(DATEVALUE(F2))), AND(ISNUMBER(F2), LEFT(CELL("format", F2))="D")))))</formula1>
    </dataValidation>
    <dataValidation allowBlank="1" showDropDown="1" sqref="D2:D26"/>
  </dataValidations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3" width="20.63"/>
    <col customWidth="1" min="4" max="4" width="12.63"/>
    <col customWidth="1" min="5" max="5" width="12.88"/>
    <col customWidth="1" min="6" max="6" width="16.38"/>
    <col customWidth="1" min="7" max="7" width="12.13"/>
    <col customWidth="1" min="8" max="8" width="17.38"/>
    <col customWidth="1" min="9" max="9" width="11.75"/>
    <col customWidth="1" min="10" max="10" width="7.88"/>
    <col customWidth="1" min="11" max="11" width="12.25"/>
    <col customWidth="1" min="12" max="12" width="12.38"/>
    <col customWidth="1" min="13" max="13" width="9.5"/>
    <col customWidth="1" min="15" max="15" width="10.25"/>
    <col customWidth="1" min="16" max="16" width="10.38"/>
    <col customWidth="1" min="19" max="19" width="16.75"/>
    <col customWidth="1" min="20" max="20" width="11.38"/>
  </cols>
  <sheetData>
    <row r="1" ht="22.5" customHeight="1">
      <c r="A1" s="252" t="s">
        <v>4</v>
      </c>
      <c r="B1" s="3" t="s">
        <v>2</v>
      </c>
      <c r="C1" s="3" t="s">
        <v>3</v>
      </c>
      <c r="D1" s="1" t="s">
        <v>0</v>
      </c>
      <c r="E1" s="2" t="s">
        <v>1</v>
      </c>
      <c r="F1" s="1" t="s">
        <v>5</v>
      </c>
      <c r="G1" s="5" t="s">
        <v>6</v>
      </c>
      <c r="H1" s="1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7" t="s">
        <v>12</v>
      </c>
      <c r="N1" s="4" t="s">
        <v>13</v>
      </c>
      <c r="O1" s="4" t="s">
        <v>14</v>
      </c>
      <c r="P1" s="252" t="s">
        <v>15</v>
      </c>
      <c r="Q1" s="252" t="s">
        <v>16</v>
      </c>
      <c r="R1" s="252" t="s">
        <v>17</v>
      </c>
      <c r="S1" s="252" t="s">
        <v>1078</v>
      </c>
      <c r="T1" s="298" t="s">
        <v>22</v>
      </c>
    </row>
    <row r="2" ht="22.5" customHeight="1">
      <c r="A2" s="257" t="s">
        <v>33</v>
      </c>
      <c r="B2" s="317" t="s">
        <v>172</v>
      </c>
      <c r="C2" s="310" t="s">
        <v>173</v>
      </c>
      <c r="D2" s="256" t="s">
        <v>30</v>
      </c>
      <c r="E2" s="311">
        <f t="shared" ref="E2:E27" si="1">SUM(J2*K2)</f>
        <v>890601322.2</v>
      </c>
      <c r="F2" s="281">
        <f t="shared" ref="F2:F27" si="2">SUM(G2*E2)</f>
        <v>9578388947394</v>
      </c>
      <c r="G2" s="282">
        <v>10754.9682539683</v>
      </c>
      <c r="H2" s="259">
        <v>1.80266089684552E13</v>
      </c>
      <c r="I2" s="282">
        <f t="shared" ref="I2:I27" si="3">sum(H2/E2)</f>
        <v>20240.94117</v>
      </c>
      <c r="J2" s="302">
        <v>201.0773</v>
      </c>
      <c r="K2" s="303">
        <v>4429149.0</v>
      </c>
      <c r="L2" s="304">
        <f t="shared" ref="L2:L27" si="4">SUM(K2*0.386102)</f>
        <v>1710103.287</v>
      </c>
      <c r="M2" s="305">
        <v>0.895</v>
      </c>
      <c r="N2" s="306">
        <v>6.21</v>
      </c>
      <c r="O2" s="307">
        <v>51.0</v>
      </c>
      <c r="P2" s="278" t="s">
        <v>34</v>
      </c>
      <c r="Q2" s="257" t="s">
        <v>35</v>
      </c>
      <c r="R2" s="257" t="s">
        <v>36</v>
      </c>
      <c r="S2" s="308">
        <f t="shared" ref="S2:S27" si="5">SUM(F2*T2)</f>
        <v>289267346211</v>
      </c>
      <c r="T2" s="334">
        <v>0.0302</v>
      </c>
    </row>
    <row r="3" ht="22.5" customHeight="1">
      <c r="A3" s="257" t="s">
        <v>33</v>
      </c>
      <c r="B3" s="314" t="s">
        <v>969</v>
      </c>
      <c r="C3" s="314" t="s">
        <v>970</v>
      </c>
      <c r="D3" s="264" t="s">
        <v>165</v>
      </c>
      <c r="E3" s="315">
        <f t="shared" si="1"/>
        <v>121753072.2</v>
      </c>
      <c r="F3" s="281">
        <f t="shared" si="2"/>
        <v>377337894377</v>
      </c>
      <c r="G3" s="282">
        <v>3099.2063492063494</v>
      </c>
      <c r="H3" s="281">
        <v>1.0603194831980898E12</v>
      </c>
      <c r="I3" s="282">
        <f t="shared" si="3"/>
        <v>8708.769841</v>
      </c>
      <c r="J3" s="302">
        <v>48.1153</v>
      </c>
      <c r="K3" s="303">
        <v>2530444.0</v>
      </c>
      <c r="L3" s="304">
        <f t="shared" si="4"/>
        <v>977009.4893</v>
      </c>
      <c r="M3" s="305">
        <v>0.682</v>
      </c>
      <c r="N3" s="306">
        <v>4.18</v>
      </c>
      <c r="O3" s="307">
        <v>55.0</v>
      </c>
      <c r="P3" s="257" t="s">
        <v>168</v>
      </c>
      <c r="Q3" s="257" t="s">
        <v>169</v>
      </c>
      <c r="R3" s="255" t="s">
        <v>170</v>
      </c>
      <c r="S3" s="308">
        <f t="shared" si="5"/>
        <v>10225856938</v>
      </c>
      <c r="T3" s="298">
        <v>0.0271</v>
      </c>
    </row>
    <row r="4" ht="22.5" customHeight="1">
      <c r="A4" s="257" t="s">
        <v>33</v>
      </c>
      <c r="B4" s="320" t="s">
        <v>857</v>
      </c>
      <c r="C4" s="321" t="s">
        <v>858</v>
      </c>
      <c r="D4" s="264" t="s">
        <v>276</v>
      </c>
      <c r="E4" s="322">
        <f t="shared" si="1"/>
        <v>54705621.88</v>
      </c>
      <c r="F4" s="281">
        <f t="shared" si="2"/>
        <v>351678997784</v>
      </c>
      <c r="G4" s="282">
        <v>6428.571428571428</v>
      </c>
      <c r="H4" s="281">
        <v>8.088616949030355E11</v>
      </c>
      <c r="I4" s="282">
        <f t="shared" si="3"/>
        <v>14785.71429</v>
      </c>
      <c r="J4" s="302">
        <v>189.3485</v>
      </c>
      <c r="K4" s="303">
        <v>288915.0</v>
      </c>
      <c r="L4" s="304">
        <f t="shared" si="4"/>
        <v>111550.6593</v>
      </c>
      <c r="M4" s="305">
        <v>0.768</v>
      </c>
      <c r="N4" s="306">
        <v>7.84</v>
      </c>
      <c r="O4" s="307">
        <v>52.0</v>
      </c>
      <c r="P4" s="278" t="s">
        <v>279</v>
      </c>
      <c r="Q4" s="257" t="s">
        <v>280</v>
      </c>
      <c r="R4" s="257" t="s">
        <v>276</v>
      </c>
      <c r="S4" s="312">
        <f t="shared" si="5"/>
        <v>4642162771</v>
      </c>
      <c r="T4" s="298">
        <v>0.0132</v>
      </c>
    </row>
    <row r="5" ht="22.5" customHeight="1">
      <c r="A5" s="257" t="s">
        <v>33</v>
      </c>
      <c r="B5" s="299" t="s">
        <v>839</v>
      </c>
      <c r="C5" s="300" t="s">
        <v>840</v>
      </c>
      <c r="D5" s="256" t="s">
        <v>182</v>
      </c>
      <c r="E5" s="301">
        <f t="shared" si="1"/>
        <v>44529546.3</v>
      </c>
      <c r="F5" s="281">
        <f t="shared" si="2"/>
        <v>473568190828</v>
      </c>
      <c r="G5" s="282">
        <v>10634.920634920634</v>
      </c>
      <c r="H5" s="259">
        <v>1.01299979317866E12</v>
      </c>
      <c r="I5" s="282">
        <f t="shared" si="3"/>
        <v>22748.93587</v>
      </c>
      <c r="J5" s="302">
        <v>128.9437</v>
      </c>
      <c r="K5" s="330">
        <v>345341.0</v>
      </c>
      <c r="L5" s="304">
        <f t="shared" si="4"/>
        <v>133336.8508</v>
      </c>
      <c r="M5" s="305">
        <v>0.852</v>
      </c>
      <c r="N5" s="306">
        <v>7.29</v>
      </c>
      <c r="O5" s="307">
        <v>16.0</v>
      </c>
      <c r="P5" s="278" t="s">
        <v>185</v>
      </c>
      <c r="Q5" s="257" t="s">
        <v>186</v>
      </c>
      <c r="R5" s="255" t="s">
        <v>187</v>
      </c>
      <c r="S5" s="308">
        <f t="shared" si="5"/>
        <v>8950438807</v>
      </c>
      <c r="T5" s="298">
        <v>0.0189</v>
      </c>
    </row>
    <row r="6" ht="22.5" customHeight="1">
      <c r="A6" s="257" t="s">
        <v>33</v>
      </c>
      <c r="B6" s="320" t="s">
        <v>739</v>
      </c>
      <c r="C6" s="321" t="s">
        <v>740</v>
      </c>
      <c r="D6" s="264" t="s">
        <v>188</v>
      </c>
      <c r="E6" s="322">
        <f t="shared" si="1"/>
        <v>38792291.37</v>
      </c>
      <c r="F6" s="281">
        <f t="shared" si="2"/>
        <v>592660006978</v>
      </c>
      <c r="G6" s="282">
        <v>15277.777777777777</v>
      </c>
      <c r="H6" s="281">
        <v>9.77889011512875E11</v>
      </c>
      <c r="I6" s="282">
        <f t="shared" si="3"/>
        <v>25208.33333</v>
      </c>
      <c r="J6" s="302">
        <v>341.4033</v>
      </c>
      <c r="K6" s="303">
        <v>113626.0</v>
      </c>
      <c r="L6" s="304">
        <f t="shared" si="4"/>
        <v>43871.22585</v>
      </c>
      <c r="M6" s="305">
        <v>0.913</v>
      </c>
      <c r="N6" s="306">
        <v>9.51</v>
      </c>
      <c r="O6" s="307">
        <v>53.0</v>
      </c>
      <c r="P6" s="278" t="s">
        <v>191</v>
      </c>
      <c r="Q6" s="257" t="s">
        <v>192</v>
      </c>
      <c r="R6" s="255" t="s">
        <v>193</v>
      </c>
      <c r="S6" s="308">
        <f t="shared" si="5"/>
        <v>8889900105</v>
      </c>
      <c r="T6" s="298">
        <v>0.015</v>
      </c>
    </row>
    <row r="7" ht="22.5" customHeight="1">
      <c r="A7" s="257" t="s">
        <v>33</v>
      </c>
      <c r="B7" s="319" t="s">
        <v>809</v>
      </c>
      <c r="C7" s="314" t="s">
        <v>810</v>
      </c>
      <c r="D7" s="256" t="s">
        <v>732</v>
      </c>
      <c r="E7" s="315">
        <f t="shared" si="1"/>
        <v>31948027.15</v>
      </c>
      <c r="F7" s="281">
        <f t="shared" si="2"/>
        <v>15720457803</v>
      </c>
      <c r="G7" s="282">
        <v>492.06349206349205</v>
      </c>
      <c r="H7" s="281">
        <v>5.612203435823434E10</v>
      </c>
      <c r="I7" s="282">
        <f t="shared" si="3"/>
        <v>1756.666667</v>
      </c>
      <c r="J7" s="302">
        <v>64.6589</v>
      </c>
      <c r="K7" s="303">
        <v>494101.0</v>
      </c>
      <c r="L7" s="304">
        <f t="shared" si="4"/>
        <v>190773.3843</v>
      </c>
      <c r="M7" s="305">
        <v>0.543</v>
      </c>
      <c r="N7" s="306">
        <v>1.53</v>
      </c>
      <c r="O7" s="307">
        <v>518.0</v>
      </c>
      <c r="P7" s="278" t="s">
        <v>735</v>
      </c>
      <c r="Q7" s="257" t="s">
        <v>736</v>
      </c>
      <c r="R7" s="257" t="s">
        <v>737</v>
      </c>
      <c r="S7" s="312">
        <f t="shared" si="5"/>
        <v>0</v>
      </c>
      <c r="T7" s="298"/>
    </row>
    <row r="8" ht="22.5" customHeight="1">
      <c r="A8" s="257" t="s">
        <v>33</v>
      </c>
      <c r="B8" s="320" t="s">
        <v>679</v>
      </c>
      <c r="C8" s="321" t="s">
        <v>680</v>
      </c>
      <c r="D8" s="264" t="s">
        <v>252</v>
      </c>
      <c r="E8" s="322">
        <f t="shared" si="1"/>
        <v>31491757.31</v>
      </c>
      <c r="F8" s="281">
        <f t="shared" si="2"/>
        <v>253683600563</v>
      </c>
      <c r="G8" s="282">
        <v>8055.555555555556</v>
      </c>
      <c r="H8" s="281">
        <v>5.758617732785775E11</v>
      </c>
      <c r="I8" s="282">
        <f t="shared" si="3"/>
        <v>18286.11111</v>
      </c>
      <c r="J8" s="302">
        <v>150.1173</v>
      </c>
      <c r="K8" s="303">
        <v>209781.0</v>
      </c>
      <c r="L8" s="304">
        <f t="shared" si="4"/>
        <v>80996.86366</v>
      </c>
      <c r="M8" s="305">
        <v>0.765</v>
      </c>
      <c r="N8" s="306">
        <v>7.47</v>
      </c>
      <c r="O8" s="307">
        <v>52.0</v>
      </c>
      <c r="P8" s="278" t="s">
        <v>255</v>
      </c>
      <c r="Q8" s="257" t="s">
        <v>256</v>
      </c>
      <c r="R8" s="255" t="s">
        <v>257</v>
      </c>
      <c r="S8" s="308">
        <f t="shared" si="5"/>
        <v>0</v>
      </c>
      <c r="T8" s="298"/>
    </row>
    <row r="9" ht="22.5" customHeight="1">
      <c r="A9" s="257" t="s">
        <v>33</v>
      </c>
      <c r="B9" s="319" t="s">
        <v>815</v>
      </c>
      <c r="C9" s="314" t="s">
        <v>816</v>
      </c>
      <c r="D9" s="256" t="s">
        <v>520</v>
      </c>
      <c r="E9" s="315">
        <f t="shared" si="1"/>
        <v>30764253.14</v>
      </c>
      <c r="F9" s="281">
        <f t="shared" si="2"/>
        <v>51029594486</v>
      </c>
      <c r="G9" s="282">
        <v>1658.7301587301588</v>
      </c>
      <c r="H9" s="281">
        <v>1.63804998299525E11</v>
      </c>
      <c r="I9" s="282">
        <f t="shared" si="3"/>
        <v>5324.52381</v>
      </c>
      <c r="J9" s="302">
        <v>49.6538</v>
      </c>
      <c r="K9" s="303">
        <v>619575.0</v>
      </c>
      <c r="L9" s="304">
        <f t="shared" si="4"/>
        <v>239219.1467</v>
      </c>
      <c r="M9" s="305">
        <v>0.61</v>
      </c>
      <c r="N9" s="306">
        <v>2.66</v>
      </c>
      <c r="O9" s="307">
        <v>166.0</v>
      </c>
      <c r="P9" s="278" t="s">
        <v>523</v>
      </c>
      <c r="Q9" s="257" t="s">
        <v>524</v>
      </c>
      <c r="R9" s="257" t="s">
        <v>525</v>
      </c>
      <c r="S9" s="312">
        <f t="shared" si="5"/>
        <v>0</v>
      </c>
      <c r="T9" s="298"/>
    </row>
    <row r="10" ht="22.5" customHeight="1">
      <c r="A10" s="257" t="s">
        <v>33</v>
      </c>
      <c r="B10" s="317" t="s">
        <v>396</v>
      </c>
      <c r="C10" s="310" t="s">
        <v>397</v>
      </c>
      <c r="D10" s="256" t="s">
        <v>626</v>
      </c>
      <c r="E10" s="311">
        <f t="shared" si="1"/>
        <v>22386665.68</v>
      </c>
      <c r="F10" s="281">
        <f t="shared" si="2"/>
        <v>33846506443</v>
      </c>
      <c r="G10" s="282">
        <v>1511.904761904762</v>
      </c>
      <c r="H10" s="281">
        <v>1.1575505203488086E11</v>
      </c>
      <c r="I10" s="282">
        <f t="shared" si="3"/>
        <v>5170.714286</v>
      </c>
      <c r="J10" s="302">
        <v>45.0358</v>
      </c>
      <c r="K10" s="303">
        <v>497086.0</v>
      </c>
      <c r="L10" s="304">
        <f t="shared" si="4"/>
        <v>191925.8988</v>
      </c>
      <c r="M10" s="305">
        <v>0.568</v>
      </c>
      <c r="N10" s="306">
        <v>1.86</v>
      </c>
      <c r="O10" s="307">
        <v>914.0</v>
      </c>
      <c r="P10" s="278" t="s">
        <v>629</v>
      </c>
      <c r="Q10" s="257" t="s">
        <v>630</v>
      </c>
      <c r="R10" s="257" t="s">
        <v>631</v>
      </c>
      <c r="S10" s="312">
        <f t="shared" si="5"/>
        <v>0</v>
      </c>
      <c r="T10" s="298"/>
    </row>
    <row r="11" ht="22.5" customHeight="1">
      <c r="A11" s="257" t="s">
        <v>33</v>
      </c>
      <c r="B11" s="299" t="s">
        <v>312</v>
      </c>
      <c r="C11" s="300" t="s">
        <v>313</v>
      </c>
      <c r="D11" s="264" t="s">
        <v>135</v>
      </c>
      <c r="E11" s="301">
        <f t="shared" si="1"/>
        <v>21374692.15</v>
      </c>
      <c r="F11" s="281">
        <f t="shared" si="2"/>
        <v>489412594115</v>
      </c>
      <c r="G11" s="282">
        <v>22896.825396825396</v>
      </c>
      <c r="H11" s="281">
        <v>4.600478384683237E11</v>
      </c>
      <c r="I11" s="282">
        <f t="shared" si="3"/>
        <v>21523.01587</v>
      </c>
      <c r="J11" s="302">
        <v>8.4667</v>
      </c>
      <c r="K11" s="303">
        <v>2524560.0</v>
      </c>
      <c r="L11" s="304">
        <f t="shared" si="4"/>
        <v>974737.6651</v>
      </c>
      <c r="M11" s="305">
        <v>0.731</v>
      </c>
      <c r="N11" s="306">
        <v>5.11</v>
      </c>
      <c r="O11" s="307">
        <v>904.0</v>
      </c>
      <c r="P11" s="278" t="s">
        <v>138</v>
      </c>
      <c r="Q11" s="257" t="s">
        <v>139</v>
      </c>
      <c r="R11" s="255" t="s">
        <v>140</v>
      </c>
      <c r="S11" s="308">
        <f t="shared" si="5"/>
        <v>15710144271</v>
      </c>
      <c r="T11" s="298">
        <v>0.0321</v>
      </c>
    </row>
    <row r="12" ht="22.5" customHeight="1">
      <c r="A12" s="257" t="s">
        <v>33</v>
      </c>
      <c r="B12" s="320" t="s">
        <v>981</v>
      </c>
      <c r="C12" s="321" t="s">
        <v>982</v>
      </c>
      <c r="D12" s="256" t="s">
        <v>897</v>
      </c>
      <c r="E12" s="322">
        <f t="shared" si="1"/>
        <v>19674606.07</v>
      </c>
      <c r="F12" s="281">
        <f t="shared" si="2"/>
        <v>3841232613</v>
      </c>
      <c r="G12" s="282">
        <v>195.23809523809524</v>
      </c>
      <c r="H12" s="281">
        <v>1.6248413953497599E10</v>
      </c>
      <c r="I12" s="282">
        <f t="shared" si="3"/>
        <v>825.8571429</v>
      </c>
      <c r="J12" s="302">
        <v>25.4016</v>
      </c>
      <c r="K12" s="303">
        <v>774542.0</v>
      </c>
      <c r="L12" s="304">
        <f t="shared" si="4"/>
        <v>299052.2153</v>
      </c>
      <c r="M12" s="305">
        <v>0.414</v>
      </c>
      <c r="N12" s="306">
        <v>3.94</v>
      </c>
      <c r="O12" s="307">
        <v>516.0</v>
      </c>
      <c r="P12" s="278" t="s">
        <v>900</v>
      </c>
      <c r="Q12" s="257" t="s">
        <v>901</v>
      </c>
      <c r="R12" s="257" t="s">
        <v>902</v>
      </c>
      <c r="S12" s="312">
        <f t="shared" si="5"/>
        <v>0</v>
      </c>
      <c r="T12" s="298"/>
    </row>
    <row r="13" ht="22.5" customHeight="1">
      <c r="A13" s="257" t="s">
        <v>33</v>
      </c>
      <c r="B13" s="319" t="s">
        <v>516</v>
      </c>
      <c r="C13" s="314" t="s">
        <v>517</v>
      </c>
      <c r="D13" s="256" t="s">
        <v>347</v>
      </c>
      <c r="E13" s="315">
        <f t="shared" si="1"/>
        <v>17079115.95</v>
      </c>
      <c r="F13" s="281">
        <f t="shared" si="2"/>
        <v>159269533638</v>
      </c>
      <c r="G13" s="282">
        <v>9325.396825396825</v>
      </c>
      <c r="H13" s="259">
        <v>2.69505318040933E11</v>
      </c>
      <c r="I13" s="282">
        <f t="shared" si="3"/>
        <v>15779.81664</v>
      </c>
      <c r="J13" s="302">
        <v>23.0924</v>
      </c>
      <c r="K13" s="303">
        <v>739599.0</v>
      </c>
      <c r="L13" s="304">
        <f t="shared" si="4"/>
        <v>285560.6531</v>
      </c>
      <c r="M13" s="305">
        <v>0.749</v>
      </c>
      <c r="N13" s="306">
        <v>6.89</v>
      </c>
      <c r="O13" s="307">
        <v>917.0</v>
      </c>
      <c r="P13" s="278" t="s">
        <v>350</v>
      </c>
      <c r="Q13" s="257" t="s">
        <v>351</v>
      </c>
      <c r="R13" s="257" t="s">
        <v>352</v>
      </c>
      <c r="S13" s="312">
        <f t="shared" si="5"/>
        <v>0</v>
      </c>
      <c r="T13" s="298"/>
    </row>
    <row r="14" ht="22.5" customHeight="1">
      <c r="A14" s="257" t="s">
        <v>33</v>
      </c>
      <c r="B14" s="317" t="s">
        <v>833</v>
      </c>
      <c r="C14" s="310" t="s">
        <v>834</v>
      </c>
      <c r="D14" s="256" t="s">
        <v>643</v>
      </c>
      <c r="E14" s="311">
        <f t="shared" si="1"/>
        <v>11838200.58</v>
      </c>
      <c r="F14" s="281">
        <f t="shared" si="2"/>
        <v>31521557894</v>
      </c>
      <c r="G14" s="282">
        <v>2662.6984126984125</v>
      </c>
      <c r="H14" s="281">
        <v>9.298859578603572E10</v>
      </c>
      <c r="I14" s="282">
        <f t="shared" si="3"/>
        <v>7854.960317</v>
      </c>
      <c r="J14" s="302">
        <v>29.2536</v>
      </c>
      <c r="K14" s="303">
        <v>404675.0</v>
      </c>
      <c r="L14" s="304">
        <f t="shared" si="4"/>
        <v>156245.8269</v>
      </c>
      <c r="M14" s="305">
        <v>0.657</v>
      </c>
      <c r="N14" s="306">
        <v>4.77</v>
      </c>
      <c r="O14" s="307">
        <v>519.0</v>
      </c>
      <c r="P14" s="278" t="s">
        <v>646</v>
      </c>
      <c r="Q14" s="257" t="s">
        <v>647</v>
      </c>
      <c r="R14" s="257" t="s">
        <v>648</v>
      </c>
      <c r="S14" s="312">
        <f t="shared" si="5"/>
        <v>0</v>
      </c>
      <c r="T14" s="298"/>
    </row>
    <row r="15" ht="22.5" customHeight="1">
      <c r="A15" s="257" t="s">
        <v>33</v>
      </c>
      <c r="B15" s="299" t="s">
        <v>592</v>
      </c>
      <c r="C15" s="300" t="s">
        <v>593</v>
      </c>
      <c r="D15" s="256" t="s">
        <v>383</v>
      </c>
      <c r="E15" s="301">
        <f t="shared" si="1"/>
        <v>10967499.63</v>
      </c>
      <c r="F15" s="281">
        <f t="shared" si="2"/>
        <v>115332833411</v>
      </c>
      <c r="G15" s="282">
        <v>10515.873015873016</v>
      </c>
      <c r="H15" s="259">
        <v>2.09498875174107E11</v>
      </c>
      <c r="I15" s="282">
        <f t="shared" si="3"/>
        <v>19101.79004</v>
      </c>
      <c r="J15" s="302">
        <v>192.0753</v>
      </c>
      <c r="K15" s="303">
        <v>57100.0</v>
      </c>
      <c r="L15" s="304">
        <f t="shared" si="4"/>
        <v>22046.4242</v>
      </c>
      <c r="M15" s="305">
        <v>0.758</v>
      </c>
      <c r="N15" s="306">
        <v>5.33</v>
      </c>
      <c r="O15" s="307">
        <v>58.0</v>
      </c>
      <c r="P15" s="257" t="s">
        <v>386</v>
      </c>
      <c r="Q15" s="257" t="s">
        <v>387</v>
      </c>
      <c r="R15" s="257" t="s">
        <v>388</v>
      </c>
      <c r="S15" s="312">
        <f t="shared" si="5"/>
        <v>0</v>
      </c>
      <c r="T15" s="298"/>
    </row>
    <row r="16" ht="22.5" customHeight="1">
      <c r="A16" s="257" t="s">
        <v>33</v>
      </c>
      <c r="B16" s="317" t="s">
        <v>492</v>
      </c>
      <c r="C16" s="310" t="s">
        <v>493</v>
      </c>
      <c r="D16" s="264" t="s">
        <v>491</v>
      </c>
      <c r="E16" s="311">
        <f t="shared" si="1"/>
        <v>9164020.859</v>
      </c>
      <c r="F16" s="281">
        <f t="shared" si="2"/>
        <v>58911562665</v>
      </c>
      <c r="G16" s="282">
        <v>6428.571428571428</v>
      </c>
      <c r="H16" s="281">
        <v>1.5729387231555002E11</v>
      </c>
      <c r="I16" s="282">
        <f t="shared" si="3"/>
        <v>17164.28571</v>
      </c>
      <c r="J16" s="302">
        <v>9.2369</v>
      </c>
      <c r="K16" s="303">
        <v>992110.0</v>
      </c>
      <c r="L16" s="304">
        <f t="shared" si="4"/>
        <v>383055.6552</v>
      </c>
      <c r="M16" s="305">
        <v>0.693</v>
      </c>
      <c r="N16" s="306">
        <v>5.62</v>
      </c>
      <c r="O16" s="307">
        <v>555.0</v>
      </c>
      <c r="P16" s="278" t="s">
        <v>494</v>
      </c>
      <c r="Q16" s="257" t="s">
        <v>495</v>
      </c>
      <c r="R16" s="257" t="s">
        <v>496</v>
      </c>
      <c r="S16" s="312">
        <f t="shared" si="5"/>
        <v>0</v>
      </c>
      <c r="T16" s="298"/>
    </row>
    <row r="17" ht="22.5" customHeight="1">
      <c r="A17" s="257" t="s">
        <v>33</v>
      </c>
      <c r="B17" s="299" t="s">
        <v>330</v>
      </c>
      <c r="C17" s="300" t="s">
        <v>331</v>
      </c>
      <c r="D17" s="256" t="s">
        <v>684</v>
      </c>
      <c r="E17" s="301">
        <f t="shared" si="1"/>
        <v>6257139.796</v>
      </c>
      <c r="F17" s="281">
        <f t="shared" si="2"/>
        <v>22868356161</v>
      </c>
      <c r="G17" s="282">
        <v>3654.7619047619046</v>
      </c>
      <c r="H17" s="281">
        <v>5.557010547038529E10</v>
      </c>
      <c r="I17" s="282">
        <f t="shared" si="3"/>
        <v>8881.071429</v>
      </c>
      <c r="J17" s="302">
        <v>11.5462</v>
      </c>
      <c r="K17" s="303">
        <v>541922.0</v>
      </c>
      <c r="L17" s="304">
        <f t="shared" si="4"/>
        <v>209237.168</v>
      </c>
      <c r="M17" s="305">
        <v>0.624</v>
      </c>
      <c r="N17" s="306">
        <v>2.04</v>
      </c>
      <c r="O17" s="307">
        <v>513.0</v>
      </c>
      <c r="P17" s="278" t="s">
        <v>687</v>
      </c>
      <c r="Q17" s="257" t="s">
        <v>688</v>
      </c>
      <c r="R17" s="257" t="s">
        <v>689</v>
      </c>
      <c r="S17" s="312">
        <f t="shared" si="5"/>
        <v>0</v>
      </c>
      <c r="T17" s="298"/>
    </row>
    <row r="18" ht="22.5" customHeight="1">
      <c r="A18" s="257" t="s">
        <v>33</v>
      </c>
      <c r="B18" s="310" t="s">
        <v>444</v>
      </c>
      <c r="C18" s="310" t="s">
        <v>445</v>
      </c>
      <c r="D18" s="256" t="s">
        <v>926</v>
      </c>
      <c r="E18" s="311">
        <f t="shared" si="1"/>
        <v>6231859.052</v>
      </c>
      <c r="F18" s="281">
        <f t="shared" si="2"/>
        <v>1928908754</v>
      </c>
      <c r="G18" s="282">
        <v>309.5238095238095</v>
      </c>
      <c r="H18" s="281">
        <v>1.1766343400561905E10</v>
      </c>
      <c r="I18" s="282">
        <f t="shared" si="3"/>
        <v>1888.095238</v>
      </c>
      <c r="J18" s="302">
        <v>6.158</v>
      </c>
      <c r="K18" s="303">
        <v>1011994.0</v>
      </c>
      <c r="L18" s="304">
        <f t="shared" si="4"/>
        <v>390732.9074</v>
      </c>
      <c r="M18" s="305">
        <v>0.499</v>
      </c>
      <c r="N18" s="306">
        <v>1.09</v>
      </c>
      <c r="O18" s="307">
        <v>976.0</v>
      </c>
      <c r="P18" s="278" t="s">
        <v>929</v>
      </c>
      <c r="Q18" s="257" t="s">
        <v>930</v>
      </c>
      <c r="R18" s="255" t="s">
        <v>931</v>
      </c>
      <c r="S18" s="312">
        <f t="shared" si="5"/>
        <v>0</v>
      </c>
      <c r="T18" s="298"/>
    </row>
    <row r="19" ht="22.5" customHeight="1">
      <c r="A19" s="257" t="s">
        <v>33</v>
      </c>
      <c r="B19" s="299" t="s">
        <v>521</v>
      </c>
      <c r="C19" s="300" t="s">
        <v>522</v>
      </c>
      <c r="D19" s="264" t="s">
        <v>638</v>
      </c>
      <c r="E19" s="301">
        <f t="shared" si="1"/>
        <v>4348274.967</v>
      </c>
      <c r="F19" s="281">
        <f t="shared" si="2"/>
        <v>31921859877</v>
      </c>
      <c r="G19" s="282">
        <v>7341.269841269841</v>
      </c>
      <c r="H19" s="281">
        <v>7.66124637042857E10</v>
      </c>
      <c r="I19" s="282">
        <f t="shared" si="3"/>
        <v>17619.04762</v>
      </c>
      <c r="J19" s="302">
        <v>6.543</v>
      </c>
      <c r="K19" s="303">
        <v>664569.0</v>
      </c>
      <c r="L19" s="304">
        <f t="shared" si="4"/>
        <v>256591.42</v>
      </c>
      <c r="M19" s="305">
        <v>0.744</v>
      </c>
      <c r="N19" s="306">
        <v>9.76</v>
      </c>
      <c r="O19" s="307">
        <v>56.0</v>
      </c>
      <c r="P19" s="278" t="s">
        <v>641</v>
      </c>
      <c r="Q19" s="257" t="s">
        <v>642</v>
      </c>
      <c r="R19" s="257" t="s">
        <v>638</v>
      </c>
      <c r="S19" s="312">
        <f t="shared" si="5"/>
        <v>0</v>
      </c>
      <c r="T19" s="298"/>
    </row>
    <row r="20" ht="22.5" customHeight="1">
      <c r="A20" s="257" t="s">
        <v>33</v>
      </c>
      <c r="B20" s="317" t="s">
        <v>213</v>
      </c>
      <c r="C20" s="310" t="s">
        <v>214</v>
      </c>
      <c r="D20" s="264" t="s">
        <v>808</v>
      </c>
      <c r="E20" s="311">
        <f t="shared" si="1"/>
        <v>4070554.937</v>
      </c>
      <c r="F20" s="281">
        <f t="shared" si="2"/>
        <v>8593393756</v>
      </c>
      <c r="G20" s="282">
        <v>2111.1111111111113</v>
      </c>
      <c r="H20" s="281">
        <v>2.4920841892077785E10</v>
      </c>
      <c r="I20" s="282">
        <f t="shared" si="3"/>
        <v>6122.222222</v>
      </c>
      <c r="J20" s="302">
        <v>32.3278</v>
      </c>
      <c r="K20" s="303">
        <v>125915.0</v>
      </c>
      <c r="L20" s="304">
        <f t="shared" si="4"/>
        <v>48616.03333</v>
      </c>
      <c r="M20" s="305">
        <v>0.67</v>
      </c>
      <c r="N20" s="306">
        <v>2.58</v>
      </c>
      <c r="O20" s="307">
        <v>512.0</v>
      </c>
      <c r="P20" s="278" t="s">
        <v>811</v>
      </c>
      <c r="Q20" s="257" t="s">
        <v>812</v>
      </c>
      <c r="R20" s="257" t="s">
        <v>813</v>
      </c>
      <c r="S20" s="312">
        <f t="shared" si="5"/>
        <v>0</v>
      </c>
      <c r="T20" s="298"/>
    </row>
    <row r="21" ht="22.5" customHeight="1">
      <c r="A21" s="257" t="s">
        <v>33</v>
      </c>
      <c r="B21" s="300" t="s">
        <v>616</v>
      </c>
      <c r="C21" s="300" t="s">
        <v>617</v>
      </c>
      <c r="D21" s="256" t="s">
        <v>862</v>
      </c>
      <c r="E21" s="301">
        <f t="shared" si="1"/>
        <v>3307616.822</v>
      </c>
      <c r="F21" s="281">
        <f t="shared" si="2"/>
        <v>5630823875</v>
      </c>
      <c r="G21" s="282">
        <v>1702.3809523809523</v>
      </c>
      <c r="H21" s="281">
        <v>1.7399245773338E10</v>
      </c>
      <c r="I21" s="282">
        <f t="shared" si="3"/>
        <v>5260.357143</v>
      </c>
      <c r="J21" s="302">
        <v>23.0924</v>
      </c>
      <c r="K21" s="303">
        <v>143234.0</v>
      </c>
      <c r="L21" s="304">
        <f t="shared" si="4"/>
        <v>55302.93387</v>
      </c>
      <c r="M21" s="305">
        <v>0.634</v>
      </c>
      <c r="N21" s="306">
        <v>3.68</v>
      </c>
      <c r="O21" s="307">
        <v>521.0</v>
      </c>
      <c r="P21" s="278" t="s">
        <v>865</v>
      </c>
      <c r="Q21" s="257" t="s">
        <v>866</v>
      </c>
      <c r="R21" s="257" t="s">
        <v>867</v>
      </c>
      <c r="S21" s="312">
        <f t="shared" si="5"/>
        <v>0</v>
      </c>
      <c r="T21" s="298"/>
    </row>
    <row r="22" ht="22.5" customHeight="1">
      <c r="A22" s="257" t="s">
        <v>33</v>
      </c>
      <c r="B22" s="317" t="s">
        <v>987</v>
      </c>
      <c r="C22" s="310" t="s">
        <v>988</v>
      </c>
      <c r="D22" s="256" t="s">
        <v>992</v>
      </c>
      <c r="E22" s="311">
        <f t="shared" si="1"/>
        <v>2950683.185</v>
      </c>
      <c r="F22" s="281">
        <f t="shared" si="2"/>
        <v>375860834.2</v>
      </c>
      <c r="G22" s="282">
        <v>127.38095238095238</v>
      </c>
      <c r="H22" s="281">
        <v>1.6274774121555893E9</v>
      </c>
      <c r="I22" s="282">
        <f t="shared" si="3"/>
        <v>551.5595238</v>
      </c>
      <c r="J22" s="302">
        <v>13.8559</v>
      </c>
      <c r="K22" s="303">
        <v>212955.0</v>
      </c>
      <c r="L22" s="304">
        <f t="shared" si="4"/>
        <v>82222.35141</v>
      </c>
      <c r="M22" s="332">
        <v>0.393</v>
      </c>
      <c r="N22" s="306">
        <v>1.25</v>
      </c>
      <c r="O22" s="307">
        <v>543.0</v>
      </c>
      <c r="P22" s="257" t="s">
        <v>995</v>
      </c>
      <c r="Q22" s="257" t="s">
        <v>996</v>
      </c>
      <c r="R22" s="257" t="s">
        <v>997</v>
      </c>
      <c r="S22" s="312">
        <f t="shared" si="5"/>
        <v>0</v>
      </c>
      <c r="T22" s="298"/>
    </row>
    <row r="23" ht="22.5" customHeight="1">
      <c r="A23" s="257" t="s">
        <v>33</v>
      </c>
      <c r="B23" s="299" t="s">
        <v>550</v>
      </c>
      <c r="C23" s="300" t="s">
        <v>551</v>
      </c>
      <c r="D23" s="264" t="s">
        <v>395</v>
      </c>
      <c r="E23" s="301">
        <f t="shared" si="1"/>
        <v>2646839.919</v>
      </c>
      <c r="F23" s="281">
        <f t="shared" si="2"/>
        <v>107133996713</v>
      </c>
      <c r="G23" s="282">
        <v>40476.19047619047</v>
      </c>
      <c r="H23" s="281">
        <v>8.302884745283333E10</v>
      </c>
      <c r="I23" s="282">
        <f t="shared" si="3"/>
        <v>31369.04762</v>
      </c>
      <c r="J23" s="302">
        <v>4310.8142</v>
      </c>
      <c r="K23" s="303">
        <v>614.0</v>
      </c>
      <c r="L23" s="304">
        <f t="shared" si="4"/>
        <v>237.066628</v>
      </c>
      <c r="M23" s="305">
        <v>0.963</v>
      </c>
      <c r="N23" s="306">
        <v>8.15</v>
      </c>
      <c r="O23" s="307">
        <v>501.0</v>
      </c>
      <c r="P23" s="278" t="s">
        <v>398</v>
      </c>
      <c r="Q23" s="257" t="s">
        <v>395</v>
      </c>
      <c r="R23" s="257" t="s">
        <v>399</v>
      </c>
      <c r="S23" s="312">
        <f t="shared" si="5"/>
        <v>0</v>
      </c>
      <c r="T23" s="298"/>
    </row>
    <row r="24" ht="22.5" customHeight="1">
      <c r="A24" s="257" t="s">
        <v>33</v>
      </c>
      <c r="B24" s="320" t="s">
        <v>527</v>
      </c>
      <c r="C24" s="321" t="s">
        <v>528</v>
      </c>
      <c r="D24" s="264" t="s">
        <v>526</v>
      </c>
      <c r="E24" s="322">
        <f t="shared" si="1"/>
        <v>1640803.67</v>
      </c>
      <c r="F24" s="281">
        <f t="shared" si="2"/>
        <v>50851891522</v>
      </c>
      <c r="G24" s="282">
        <v>30992.06349206349</v>
      </c>
      <c r="H24" s="281">
        <v>4.881781586088E10</v>
      </c>
      <c r="I24" s="282">
        <f t="shared" si="3"/>
        <v>29752.38095</v>
      </c>
      <c r="J24" s="302">
        <v>2694.2589</v>
      </c>
      <c r="K24" s="303">
        <v>609.0</v>
      </c>
      <c r="L24" s="304">
        <f t="shared" si="4"/>
        <v>235.136118</v>
      </c>
      <c r="M24" s="305">
        <v>0.913</v>
      </c>
      <c r="N24" s="306">
        <v>9.02</v>
      </c>
      <c r="O24" s="307">
        <v>510.0</v>
      </c>
      <c r="P24" s="278" t="s">
        <v>529</v>
      </c>
      <c r="Q24" s="257" t="s">
        <v>526</v>
      </c>
      <c r="R24" s="257" t="s">
        <v>530</v>
      </c>
      <c r="S24" s="312">
        <f t="shared" si="5"/>
        <v>0</v>
      </c>
      <c r="T24" s="298"/>
    </row>
    <row r="25" ht="22.5" customHeight="1">
      <c r="A25" s="257" t="s">
        <v>33</v>
      </c>
      <c r="B25" s="300" t="s">
        <v>126</v>
      </c>
      <c r="C25" s="300" t="s">
        <v>127</v>
      </c>
      <c r="D25" s="256" t="s">
        <v>850</v>
      </c>
      <c r="E25" s="301">
        <f t="shared" si="1"/>
        <v>759042.837</v>
      </c>
      <c r="F25" s="281">
        <f t="shared" si="2"/>
        <v>6445839965</v>
      </c>
      <c r="G25" s="282">
        <v>8492.063492063491</v>
      </c>
      <c r="H25" s="281">
        <v>1.2891679929999998E10</v>
      </c>
      <c r="I25" s="282">
        <f t="shared" si="3"/>
        <v>16984.12698</v>
      </c>
      <c r="J25" s="302">
        <v>140.0965</v>
      </c>
      <c r="K25" s="303">
        <v>5418.0</v>
      </c>
      <c r="L25" s="304">
        <f t="shared" si="4"/>
        <v>2091.900636</v>
      </c>
      <c r="M25" s="305">
        <v>0.818</v>
      </c>
      <c r="N25" s="306">
        <v>6.43</v>
      </c>
      <c r="O25" s="307">
        <v>123.0</v>
      </c>
      <c r="P25" s="257" t="s">
        <v>853</v>
      </c>
      <c r="Q25" s="257" t="s">
        <v>854</v>
      </c>
      <c r="R25" s="255" t="s">
        <v>855</v>
      </c>
      <c r="S25" s="312">
        <f t="shared" si="5"/>
        <v>0</v>
      </c>
      <c r="T25" s="298"/>
    </row>
    <row r="26" ht="22.5" customHeight="1">
      <c r="A26" s="257" t="s">
        <v>33</v>
      </c>
      <c r="B26" s="317" t="s">
        <v>781</v>
      </c>
      <c r="C26" s="310" t="s">
        <v>782</v>
      </c>
      <c r="D26" s="264" t="s">
        <v>814</v>
      </c>
      <c r="E26" s="311">
        <f t="shared" si="1"/>
        <v>345037.0323</v>
      </c>
      <c r="F26" s="281">
        <f t="shared" si="2"/>
        <v>8502698296</v>
      </c>
      <c r="G26" s="282">
        <v>24642.85714285714</v>
      </c>
      <c r="H26" s="281">
        <v>1.01182109721975E10</v>
      </c>
      <c r="I26" s="282">
        <f t="shared" si="3"/>
        <v>29325</v>
      </c>
      <c r="J26" s="302">
        <v>172.4323</v>
      </c>
      <c r="K26" s="303">
        <v>2001.0</v>
      </c>
      <c r="L26" s="304">
        <f t="shared" si="4"/>
        <v>772.590102</v>
      </c>
      <c r="M26" s="305">
        <v>0.899</v>
      </c>
      <c r="N26" s="306">
        <v>9.37</v>
      </c>
      <c r="O26" s="307">
        <v>511.0</v>
      </c>
      <c r="P26" s="278" t="s">
        <v>817</v>
      </c>
      <c r="Q26" s="257" t="s">
        <v>818</v>
      </c>
      <c r="R26" s="257" t="s">
        <v>819</v>
      </c>
      <c r="S26" s="312">
        <f t="shared" si="5"/>
        <v>0</v>
      </c>
      <c r="T26" s="298"/>
    </row>
    <row r="27" ht="22.5" customHeight="1">
      <c r="A27" s="257" t="s">
        <v>33</v>
      </c>
      <c r="B27" s="299" t="s">
        <v>247</v>
      </c>
      <c r="C27" s="300" t="s">
        <v>248</v>
      </c>
      <c r="D27" s="256" t="s">
        <v>980</v>
      </c>
      <c r="E27" s="301">
        <f t="shared" si="1"/>
        <v>47933.0675</v>
      </c>
      <c r="F27" s="281">
        <f t="shared" si="2"/>
        <v>540198062.3</v>
      </c>
      <c r="G27" s="282">
        <v>11269.84126984127</v>
      </c>
      <c r="H27" s="281">
        <v>1.2208476208015873E9</v>
      </c>
      <c r="I27" s="282">
        <f t="shared" si="3"/>
        <v>25469.84127</v>
      </c>
      <c r="J27" s="302">
        <v>36.1759</v>
      </c>
      <c r="K27" s="303">
        <v>1325.0</v>
      </c>
      <c r="L27" s="304">
        <f t="shared" si="4"/>
        <v>511.58515</v>
      </c>
      <c r="M27" s="305">
        <v>0.752</v>
      </c>
      <c r="N27" s="306">
        <v>8.97</v>
      </c>
      <c r="O27" s="307">
        <v>182.0</v>
      </c>
      <c r="P27" s="278" t="s">
        <v>983</v>
      </c>
      <c r="Q27" s="257" t="s">
        <v>984</v>
      </c>
      <c r="R27" s="257" t="s">
        <v>985</v>
      </c>
      <c r="S27" s="312">
        <f t="shared" si="5"/>
        <v>0</v>
      </c>
      <c r="T27" s="298"/>
    </row>
    <row r="28" ht="22.5" customHeight="1">
      <c r="A28" s="257" t="s">
        <v>1045</v>
      </c>
      <c r="B28" s="323"/>
      <c r="C28" s="323"/>
      <c r="D28" s="279" t="s">
        <v>1044</v>
      </c>
      <c r="E28" s="280">
        <f>SUM(ALL_2[Population])</f>
        <v>1389676478</v>
      </c>
      <c r="F28" s="281">
        <f>SUM(ALL_2[GDP (Nominal)])</f>
        <v>12830997338806</v>
      </c>
      <c r="G28" s="282">
        <f>sum(ALL_2[[#TOTALS],[GDP (Nominal)]]/ALL_2[[#TOTALS],[Population]])</f>
        <v>9233.082336</v>
      </c>
      <c r="H28" s="281">
        <f>SUM(ALL_2[GDP (PPP)])</f>
        <v>24347779602447</v>
      </c>
      <c r="I28" s="282">
        <f>sum(ALL_2[[#TOTALS],[GDP (PPP)]]/ALL_2[[#TOTALS],[Population]])</f>
        <v>17520.46609</v>
      </c>
      <c r="J28" s="324">
        <f>sum(ALL_2[[#TOTALS],[Population]]/ALL_2[[#TOTALS],[Area (Km)]])</f>
        <v>78.37482025</v>
      </c>
      <c r="K28" s="304">
        <f>SUM(ALL_2[Area (Km)])</f>
        <v>17731160</v>
      </c>
      <c r="L28" s="304">
        <f>SUM(ALL_2[Area (Mi)])</f>
        <v>6846036.338</v>
      </c>
      <c r="M28" s="257" t="s">
        <v>1045</v>
      </c>
      <c r="N28" s="257" t="s">
        <v>1045</v>
      </c>
      <c r="O28" s="257" t="s">
        <v>1045</v>
      </c>
      <c r="P28" s="257" t="s">
        <v>1045</v>
      </c>
      <c r="Q28" s="257" t="s">
        <v>186</v>
      </c>
      <c r="R28" s="278"/>
      <c r="S28" s="325">
        <f>SUM(ALL_2[Military])</f>
        <v>337685849102</v>
      </c>
      <c r="T28" s="326"/>
    </row>
    <row r="29">
      <c r="A29" s="75"/>
      <c r="B29" s="74"/>
      <c r="C29" s="74"/>
      <c r="D29" s="72"/>
      <c r="E29" s="73"/>
      <c r="F29" s="76"/>
      <c r="G29" s="77"/>
      <c r="H29" s="76"/>
      <c r="I29" s="77"/>
      <c r="J29" s="78"/>
      <c r="K29" s="76"/>
      <c r="L29" s="76"/>
      <c r="M29" s="72"/>
      <c r="N29" s="72"/>
      <c r="O29" s="72"/>
      <c r="P29" s="75"/>
      <c r="Q29" s="75"/>
      <c r="R29" s="79"/>
      <c r="S29" s="79"/>
      <c r="T29" s="327"/>
    </row>
    <row r="30">
      <c r="A30" s="85"/>
      <c r="B30" s="84"/>
      <c r="C30" s="84"/>
      <c r="D30" s="72"/>
      <c r="E30" s="83"/>
      <c r="F30" s="76"/>
      <c r="G30" s="83"/>
      <c r="H30" s="76"/>
      <c r="I30" s="83"/>
      <c r="J30" s="86"/>
      <c r="K30" s="76"/>
      <c r="L30" s="76"/>
      <c r="M30" s="87"/>
      <c r="N30" s="72"/>
      <c r="O30" s="76"/>
      <c r="P30" s="79"/>
      <c r="Q30" s="88"/>
      <c r="R30" s="79"/>
      <c r="S30" s="88"/>
      <c r="T30" s="328"/>
    </row>
    <row r="31">
      <c r="A31" s="85"/>
      <c r="B31" s="84"/>
      <c r="C31" s="84"/>
      <c r="D31" s="72"/>
      <c r="E31" s="83"/>
      <c r="F31" s="76"/>
      <c r="G31" s="91"/>
      <c r="H31" s="76"/>
      <c r="I31" s="91"/>
      <c r="J31" s="86"/>
      <c r="K31" s="76"/>
      <c r="L31" s="76"/>
      <c r="M31" s="87"/>
      <c r="N31" s="72"/>
      <c r="O31" s="76"/>
      <c r="P31" s="79"/>
      <c r="Q31" s="88"/>
      <c r="R31" s="88"/>
      <c r="S31" s="88"/>
      <c r="T31" s="328"/>
    </row>
    <row r="32">
      <c r="A32" s="85"/>
      <c r="B32" s="84"/>
      <c r="C32" s="84"/>
      <c r="D32" s="86"/>
      <c r="E32" s="83"/>
      <c r="F32" s="76"/>
      <c r="G32" s="83"/>
      <c r="H32" s="76"/>
      <c r="I32" s="83"/>
      <c r="J32" s="86"/>
      <c r="K32" s="76"/>
      <c r="L32" s="76"/>
      <c r="M32" s="87"/>
      <c r="N32" s="72"/>
      <c r="O32" s="76"/>
      <c r="P32" s="79"/>
      <c r="Q32" s="88"/>
      <c r="R32" s="88"/>
      <c r="S32" s="88"/>
      <c r="T32" s="328"/>
    </row>
    <row r="33">
      <c r="A33" s="85"/>
      <c r="B33" s="84"/>
      <c r="C33" s="84"/>
      <c r="D33" s="86"/>
      <c r="E33" s="83"/>
      <c r="F33" s="76"/>
      <c r="G33" s="72"/>
      <c r="H33" s="76"/>
      <c r="I33" s="72"/>
      <c r="J33" s="86"/>
      <c r="K33" s="76"/>
      <c r="L33" s="76"/>
      <c r="M33" s="87"/>
      <c r="N33" s="72"/>
      <c r="O33" s="76"/>
      <c r="P33" s="79"/>
      <c r="Q33" s="88"/>
      <c r="R33" s="88"/>
      <c r="S33" s="88"/>
      <c r="T33" s="328"/>
    </row>
    <row r="34">
      <c r="A34" s="85"/>
      <c r="B34" s="84"/>
      <c r="C34" s="84"/>
      <c r="D34" s="86"/>
      <c r="E34" s="83"/>
      <c r="F34" s="76"/>
      <c r="G34" s="72"/>
      <c r="H34" s="76"/>
      <c r="I34" s="72"/>
      <c r="J34" s="86"/>
      <c r="K34" s="76"/>
      <c r="L34" s="76"/>
      <c r="M34" s="87"/>
      <c r="N34" s="72"/>
      <c r="O34" s="76"/>
      <c r="P34" s="79"/>
      <c r="Q34" s="88"/>
      <c r="R34" s="88"/>
      <c r="S34" s="88"/>
      <c r="T34" s="328"/>
    </row>
    <row r="35">
      <c r="A35" s="85"/>
      <c r="B35" s="84"/>
      <c r="C35" s="84"/>
      <c r="D35" s="86"/>
      <c r="E35" s="83"/>
      <c r="F35" s="76"/>
      <c r="G35" s="72"/>
      <c r="H35" s="76"/>
      <c r="I35" s="72"/>
      <c r="J35" s="86"/>
      <c r="K35" s="76"/>
      <c r="L35" s="76"/>
      <c r="M35" s="87"/>
      <c r="N35" s="72"/>
      <c r="O35" s="76"/>
      <c r="P35" s="79"/>
      <c r="Q35" s="88"/>
      <c r="R35" s="88"/>
      <c r="S35" s="88"/>
      <c r="T35" s="328"/>
    </row>
    <row r="36">
      <c r="A36" s="85"/>
      <c r="B36" s="84"/>
      <c r="C36" s="84"/>
      <c r="D36" s="86"/>
      <c r="E36" s="83"/>
      <c r="F36" s="76"/>
      <c r="G36" s="72"/>
      <c r="H36" s="76"/>
      <c r="I36" s="72"/>
      <c r="J36" s="86"/>
      <c r="K36" s="76"/>
      <c r="L36" s="76"/>
      <c r="M36" s="87"/>
      <c r="N36" s="72"/>
      <c r="O36" s="76"/>
      <c r="P36" s="79"/>
      <c r="Q36" s="88"/>
      <c r="R36" s="88"/>
      <c r="S36" s="88"/>
      <c r="T36" s="328"/>
    </row>
    <row r="37">
      <c r="A37" s="85"/>
      <c r="B37" s="84"/>
      <c r="C37" s="84"/>
      <c r="D37" s="86"/>
      <c r="E37" s="83"/>
      <c r="F37" s="76"/>
      <c r="G37" s="72"/>
      <c r="H37" s="76"/>
      <c r="I37" s="72"/>
      <c r="J37" s="86"/>
      <c r="K37" s="76"/>
      <c r="L37" s="76"/>
      <c r="M37" s="87"/>
      <c r="N37" s="72"/>
      <c r="O37" s="76"/>
      <c r="P37" s="79"/>
      <c r="Q37" s="88"/>
      <c r="R37" s="88"/>
      <c r="S37" s="88"/>
      <c r="T37" s="328"/>
    </row>
    <row r="38">
      <c r="A38" s="85"/>
      <c r="B38" s="84"/>
      <c r="C38" s="84"/>
      <c r="D38" s="86"/>
      <c r="E38" s="83"/>
      <c r="F38" s="76"/>
      <c r="G38" s="72"/>
      <c r="H38" s="76"/>
      <c r="I38" s="72"/>
      <c r="J38" s="86"/>
      <c r="K38" s="76"/>
      <c r="L38" s="76"/>
      <c r="M38" s="87"/>
      <c r="N38" s="72"/>
      <c r="O38" s="76"/>
      <c r="P38" s="79"/>
      <c r="Q38" s="88"/>
      <c r="R38" s="88"/>
      <c r="S38" s="88"/>
      <c r="T38" s="328"/>
    </row>
    <row r="39">
      <c r="A39" s="85"/>
      <c r="B39" s="84"/>
      <c r="C39" s="84"/>
      <c r="D39" s="86"/>
      <c r="E39" s="83"/>
      <c r="F39" s="76"/>
      <c r="G39" s="72"/>
      <c r="H39" s="76"/>
      <c r="I39" s="72"/>
      <c r="J39" s="86"/>
      <c r="K39" s="76"/>
      <c r="L39" s="76"/>
      <c r="M39" s="87"/>
      <c r="N39" s="72"/>
      <c r="O39" s="76"/>
      <c r="P39" s="79"/>
      <c r="Q39" s="88"/>
      <c r="R39" s="88"/>
      <c r="S39" s="88"/>
      <c r="T39" s="328"/>
    </row>
  </sheetData>
  <dataValidations>
    <dataValidation type="custom" allowBlank="1" showDropDown="1" sqref="F2:I27">
      <formula1>AND(ISNUMBER(F2),(NOT(OR(NOT(ISERROR(DATEVALUE(F2))), AND(ISNUMBER(F2), LEFT(CELL("format", F2))="D")))))</formula1>
    </dataValidation>
    <dataValidation allowBlank="1" showDropDown="1" sqref="D2:D27"/>
  </dataValidations>
  <drawing r:id="rId1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3" width="20.63"/>
    <col customWidth="1" min="4" max="4" width="12.63"/>
    <col customWidth="1" min="5" max="5" width="12.88"/>
    <col customWidth="1" min="6" max="6" width="16.38"/>
    <col customWidth="1" min="7" max="7" width="12.13"/>
    <col customWidth="1" min="8" max="8" width="17.38"/>
    <col customWidth="1" min="9" max="9" width="11.75"/>
    <col customWidth="1" min="10" max="10" width="7.88"/>
    <col customWidth="1" min="11" max="11" width="12.25"/>
    <col customWidth="1" min="12" max="12" width="12.38"/>
    <col customWidth="1" min="13" max="13" width="9.5"/>
    <col customWidth="1" min="15" max="15" width="10.25"/>
    <col customWidth="1" min="16" max="16" width="10.38"/>
    <col customWidth="1" min="19" max="19" width="16.75"/>
    <col customWidth="1" min="20" max="20" width="11.38"/>
  </cols>
  <sheetData>
    <row r="1" ht="22.5" customHeight="1">
      <c r="A1" s="252" t="s">
        <v>4</v>
      </c>
      <c r="B1" s="3" t="s">
        <v>2</v>
      </c>
      <c r="C1" s="3" t="s">
        <v>3</v>
      </c>
      <c r="D1" s="1" t="s">
        <v>0</v>
      </c>
      <c r="E1" s="2" t="s">
        <v>1</v>
      </c>
      <c r="F1" s="1" t="s">
        <v>5</v>
      </c>
      <c r="G1" s="5" t="s">
        <v>6</v>
      </c>
      <c r="H1" s="1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7" t="s">
        <v>12</v>
      </c>
      <c r="N1" s="4" t="s">
        <v>13</v>
      </c>
      <c r="O1" s="4" t="s">
        <v>14</v>
      </c>
      <c r="P1" s="252" t="s">
        <v>15</v>
      </c>
      <c r="Q1" s="252" t="s">
        <v>16</v>
      </c>
      <c r="R1" s="252" t="s">
        <v>17</v>
      </c>
      <c r="S1" s="252" t="s">
        <v>1078</v>
      </c>
      <c r="T1" s="298" t="s">
        <v>22</v>
      </c>
    </row>
    <row r="2" ht="22.5" customHeight="1">
      <c r="A2" s="257" t="s">
        <v>121</v>
      </c>
      <c r="B2" s="321" t="s">
        <v>875</v>
      </c>
      <c r="C2" s="321" t="s">
        <v>876</v>
      </c>
      <c r="D2" s="256" t="s">
        <v>118</v>
      </c>
      <c r="E2" s="322">
        <f t="shared" ref="E2:E24" si="1">SUM(J2*K2)</f>
        <v>93832500.27</v>
      </c>
      <c r="F2" s="281">
        <f t="shared" ref="F2:F24" si="2">SUM(G2*E2)</f>
        <v>956942562277</v>
      </c>
      <c r="G2" s="282">
        <v>10198.412698412698</v>
      </c>
      <c r="H2" s="259">
        <v>2.12153867402104E12</v>
      </c>
      <c r="I2" s="282">
        <f t="shared" ref="I2:I24" si="3">sum(H2/E2)</f>
        <v>22609.84912</v>
      </c>
      <c r="J2" s="302">
        <v>74.31</v>
      </c>
      <c r="K2" s="303">
        <v>1262717.0</v>
      </c>
      <c r="L2" s="304">
        <f t="shared" ref="L2:L24" si="4">SUM(K2*0.386102)</f>
        <v>487537.5591</v>
      </c>
      <c r="M2" s="305">
        <v>0.892</v>
      </c>
      <c r="N2" s="306">
        <v>8.91</v>
      </c>
      <c r="O2" s="307">
        <v>60.0</v>
      </c>
      <c r="P2" s="257" t="s">
        <v>122</v>
      </c>
      <c r="Q2" s="257" t="s">
        <v>123</v>
      </c>
      <c r="R2" s="255" t="s">
        <v>124</v>
      </c>
      <c r="S2" s="308">
        <f t="shared" ref="S2:S24" si="5">SUM(F2*T2)</f>
        <v>19138851246</v>
      </c>
      <c r="T2" s="298">
        <v>0.02</v>
      </c>
    </row>
    <row r="3" ht="22.5" customHeight="1">
      <c r="A3" s="257" t="s">
        <v>121</v>
      </c>
      <c r="B3" s="299" t="s">
        <v>532</v>
      </c>
      <c r="C3" s="300" t="s">
        <v>533</v>
      </c>
      <c r="D3" s="256" t="s">
        <v>229</v>
      </c>
      <c r="E3" s="301">
        <f t="shared" si="1"/>
        <v>33245173.5</v>
      </c>
      <c r="F3" s="281">
        <f t="shared" si="2"/>
        <v>291554894583</v>
      </c>
      <c r="G3" s="282">
        <v>8769.84126984127</v>
      </c>
      <c r="H3" s="281">
        <v>5.772786912750001E11</v>
      </c>
      <c r="I3" s="282">
        <f t="shared" si="3"/>
        <v>17364.28571</v>
      </c>
      <c r="J3" s="302">
        <v>50.82</v>
      </c>
      <c r="K3" s="330">
        <v>654175.0</v>
      </c>
      <c r="L3" s="304">
        <f t="shared" si="4"/>
        <v>252578.2759</v>
      </c>
      <c r="M3" s="305">
        <v>0.82</v>
      </c>
      <c r="N3" s="306">
        <v>7.66</v>
      </c>
      <c r="O3" s="307">
        <v>61.0</v>
      </c>
      <c r="P3" s="278" t="s">
        <v>232</v>
      </c>
      <c r="Q3" s="257" t="s">
        <v>233</v>
      </c>
      <c r="R3" s="257" t="s">
        <v>234</v>
      </c>
      <c r="S3" s="312">
        <f t="shared" si="5"/>
        <v>0</v>
      </c>
      <c r="T3" s="298"/>
    </row>
    <row r="4" ht="22.5" customHeight="1">
      <c r="A4" s="257" t="s">
        <v>121</v>
      </c>
      <c r="B4" s="310" t="s">
        <v>89</v>
      </c>
      <c r="C4" s="310" t="s">
        <v>90</v>
      </c>
      <c r="D4" s="256" t="s">
        <v>335</v>
      </c>
      <c r="E4" s="311">
        <f t="shared" si="1"/>
        <v>44277194.07</v>
      </c>
      <c r="F4" s="281">
        <f t="shared" si="2"/>
        <v>163579633646</v>
      </c>
      <c r="G4" s="282">
        <v>3694.4444444444443</v>
      </c>
      <c r="H4" s="281">
        <v>4.0077010243275446E11</v>
      </c>
      <c r="I4" s="282">
        <f t="shared" si="3"/>
        <v>9051.388889</v>
      </c>
      <c r="J4" s="302">
        <v>83.5496</v>
      </c>
      <c r="K4" s="303">
        <v>529951.0</v>
      </c>
      <c r="L4" s="304">
        <f t="shared" si="4"/>
        <v>204615.141</v>
      </c>
      <c r="M4" s="305">
        <v>0.751</v>
      </c>
      <c r="N4" s="306">
        <v>5.91</v>
      </c>
      <c r="O4" s="307">
        <v>62.0</v>
      </c>
      <c r="P4" s="278" t="s">
        <v>338</v>
      </c>
      <c r="Q4" s="257" t="s">
        <v>339</v>
      </c>
      <c r="R4" s="257" t="s">
        <v>340</v>
      </c>
      <c r="S4" s="312">
        <f t="shared" si="5"/>
        <v>3271592673</v>
      </c>
      <c r="T4" s="298">
        <v>0.02</v>
      </c>
    </row>
    <row r="5" ht="22.5" customHeight="1">
      <c r="A5" s="257" t="s">
        <v>121</v>
      </c>
      <c r="B5" s="299" t="s">
        <v>456</v>
      </c>
      <c r="C5" s="300" t="s">
        <v>457</v>
      </c>
      <c r="D5" s="256" t="s">
        <v>425</v>
      </c>
      <c r="E5" s="301">
        <f t="shared" si="1"/>
        <v>12783095.33</v>
      </c>
      <c r="F5" s="281">
        <f t="shared" si="2"/>
        <v>92322355125</v>
      </c>
      <c r="G5" s="282">
        <v>7222.222222222222</v>
      </c>
      <c r="H5" s="281">
        <v>1.9018405155749997E11</v>
      </c>
      <c r="I5" s="282">
        <f t="shared" si="3"/>
        <v>14877.77778</v>
      </c>
      <c r="J5" s="302">
        <v>66.2165</v>
      </c>
      <c r="K5" s="303">
        <v>193050.0</v>
      </c>
      <c r="L5" s="304">
        <f t="shared" si="4"/>
        <v>74536.9911</v>
      </c>
      <c r="M5" s="305">
        <v>0.812</v>
      </c>
      <c r="N5" s="306">
        <v>6.75</v>
      </c>
      <c r="O5" s="307">
        <v>65.0</v>
      </c>
      <c r="P5" s="278" t="s">
        <v>428</v>
      </c>
      <c r="Q5" s="257" t="s">
        <v>429</v>
      </c>
      <c r="R5" s="257" t="s">
        <v>430</v>
      </c>
      <c r="S5" s="312">
        <f t="shared" si="5"/>
        <v>0</v>
      </c>
      <c r="T5" s="298"/>
    </row>
    <row r="6" ht="22.5" customHeight="1">
      <c r="A6" s="257" t="s">
        <v>121</v>
      </c>
      <c r="B6" s="321" t="s">
        <v>904</v>
      </c>
      <c r="C6" s="321" t="s">
        <v>605</v>
      </c>
      <c r="D6" s="256" t="s">
        <v>449</v>
      </c>
      <c r="E6" s="322">
        <f t="shared" si="1"/>
        <v>12307246.88</v>
      </c>
      <c r="F6" s="281">
        <f t="shared" si="2"/>
        <v>74234187500</v>
      </c>
      <c r="G6" s="282">
        <v>6031.746031746032</v>
      </c>
      <c r="H6" s="281">
        <v>1.5886116125E11</v>
      </c>
      <c r="I6" s="282">
        <f t="shared" si="3"/>
        <v>12907.93651</v>
      </c>
      <c r="J6" s="302">
        <v>28.875</v>
      </c>
      <c r="K6" s="303">
        <v>426225.0</v>
      </c>
      <c r="L6" s="304">
        <f t="shared" si="4"/>
        <v>164566.325</v>
      </c>
      <c r="M6" s="305">
        <v>0.801</v>
      </c>
      <c r="N6" s="306">
        <v>6.04</v>
      </c>
      <c r="O6" s="307">
        <v>63.0</v>
      </c>
      <c r="P6" s="278" t="s">
        <v>452</v>
      </c>
      <c r="Q6" s="257" t="s">
        <v>453</v>
      </c>
      <c r="R6" s="255" t="s">
        <v>454</v>
      </c>
      <c r="S6" s="312">
        <f t="shared" si="5"/>
        <v>0</v>
      </c>
      <c r="T6" s="298"/>
    </row>
    <row r="7" ht="22.5" customHeight="1">
      <c r="A7" s="257" t="s">
        <v>121</v>
      </c>
      <c r="B7" s="319" t="s">
        <v>586</v>
      </c>
      <c r="C7" s="314" t="s">
        <v>587</v>
      </c>
      <c r="D7" s="256" t="s">
        <v>455</v>
      </c>
      <c r="E7" s="315">
        <f t="shared" si="1"/>
        <v>22501432.8</v>
      </c>
      <c r="F7" s="281">
        <f t="shared" si="2"/>
        <v>73218948000</v>
      </c>
      <c r="G7" s="282">
        <v>3253.968253968254</v>
      </c>
      <c r="H7" s="281">
        <v>1.976911596E11</v>
      </c>
      <c r="I7" s="282">
        <f t="shared" si="3"/>
        <v>8785.714286</v>
      </c>
      <c r="J7" s="302">
        <v>15.4</v>
      </c>
      <c r="K7" s="303">
        <v>1461132.0</v>
      </c>
      <c r="L7" s="304">
        <f t="shared" si="4"/>
        <v>564145.9875</v>
      </c>
      <c r="M7" s="305">
        <v>0.704</v>
      </c>
      <c r="N7" s="306">
        <v>4.13</v>
      </c>
      <c r="O7" s="307">
        <v>66.0</v>
      </c>
      <c r="P7" s="278" t="s">
        <v>458</v>
      </c>
      <c r="Q7" s="257" t="s">
        <v>459</v>
      </c>
      <c r="R7" s="257" t="s">
        <v>460</v>
      </c>
      <c r="S7" s="312">
        <f t="shared" si="5"/>
        <v>0</v>
      </c>
      <c r="T7" s="298"/>
    </row>
    <row r="8" ht="22.5" customHeight="1">
      <c r="A8" s="257" t="s">
        <v>121</v>
      </c>
      <c r="B8" s="317" t="s">
        <v>610</v>
      </c>
      <c r="C8" s="310" t="s">
        <v>611</v>
      </c>
      <c r="D8" s="256" t="s">
        <v>461</v>
      </c>
      <c r="E8" s="311">
        <f t="shared" si="1"/>
        <v>11019226.88</v>
      </c>
      <c r="F8" s="281">
        <f t="shared" si="2"/>
        <v>69526074381</v>
      </c>
      <c r="G8" s="282">
        <v>6309.523809523809</v>
      </c>
      <c r="H8" s="281">
        <v>1.4739527768736667E11</v>
      </c>
      <c r="I8" s="282">
        <f t="shared" si="3"/>
        <v>13376.19048</v>
      </c>
      <c r="J8" s="302">
        <v>31.9585</v>
      </c>
      <c r="K8" s="303">
        <v>344798.0</v>
      </c>
      <c r="L8" s="304">
        <f t="shared" si="4"/>
        <v>133127.1974</v>
      </c>
      <c r="M8" s="305">
        <v>0.805</v>
      </c>
      <c r="N8" s="306">
        <v>6.97</v>
      </c>
      <c r="O8" s="307">
        <v>610.0</v>
      </c>
      <c r="P8" s="278" t="s">
        <v>464</v>
      </c>
      <c r="Q8" s="257" t="s">
        <v>465</v>
      </c>
      <c r="R8" s="257" t="s">
        <v>466</v>
      </c>
      <c r="S8" s="312">
        <f t="shared" si="5"/>
        <v>0</v>
      </c>
      <c r="T8" s="298"/>
    </row>
    <row r="9" ht="22.5" customHeight="1">
      <c r="A9" s="257" t="s">
        <v>121</v>
      </c>
      <c r="B9" s="300" t="s">
        <v>401</v>
      </c>
      <c r="C9" s="300" t="s">
        <v>402</v>
      </c>
      <c r="D9" s="256" t="s">
        <v>503</v>
      </c>
      <c r="E9" s="301">
        <f t="shared" si="1"/>
        <v>15105090</v>
      </c>
      <c r="F9" s="281">
        <f t="shared" si="2"/>
        <v>55025685000</v>
      </c>
      <c r="G9" s="282">
        <v>3642.8571428571427</v>
      </c>
      <c r="H9" s="281">
        <v>1.529714043E11</v>
      </c>
      <c r="I9" s="282">
        <f t="shared" si="3"/>
        <v>10127.14286</v>
      </c>
      <c r="J9" s="302">
        <v>46.2</v>
      </c>
      <c r="K9" s="303">
        <v>326950.0</v>
      </c>
      <c r="L9" s="304">
        <f t="shared" si="4"/>
        <v>126236.0489</v>
      </c>
      <c r="M9" s="305">
        <v>0.785</v>
      </c>
      <c r="N9" s="306">
        <v>6.18</v>
      </c>
      <c r="O9" s="307">
        <v>64.0</v>
      </c>
      <c r="P9" s="278" t="s">
        <v>506</v>
      </c>
      <c r="Q9" s="257" t="s">
        <v>507</v>
      </c>
      <c r="R9" s="257" t="s">
        <v>508</v>
      </c>
      <c r="S9" s="312">
        <f t="shared" si="5"/>
        <v>0</v>
      </c>
      <c r="T9" s="298"/>
    </row>
    <row r="10" ht="22.5" customHeight="1">
      <c r="A10" s="257" t="s">
        <v>121</v>
      </c>
      <c r="B10" s="321" t="s">
        <v>468</v>
      </c>
      <c r="C10" s="321" t="s">
        <v>469</v>
      </c>
      <c r="D10" s="256" t="s">
        <v>509</v>
      </c>
      <c r="E10" s="322">
        <f t="shared" si="1"/>
        <v>16302959.75</v>
      </c>
      <c r="F10" s="281">
        <f t="shared" si="2"/>
        <v>54990142014</v>
      </c>
      <c r="G10" s="282">
        <v>3373.015873015873</v>
      </c>
      <c r="H10" s="281">
        <v>1.468236791770833E11</v>
      </c>
      <c r="I10" s="282">
        <f t="shared" si="3"/>
        <v>9005.952381</v>
      </c>
      <c r="J10" s="302">
        <v>9.625</v>
      </c>
      <c r="K10" s="303">
        <v>1693814.0</v>
      </c>
      <c r="L10" s="304">
        <f t="shared" si="4"/>
        <v>653984.973</v>
      </c>
      <c r="M10" s="305">
        <v>0.71</v>
      </c>
      <c r="N10" s="306">
        <v>4.52</v>
      </c>
      <c r="O10" s="307">
        <v>67.0</v>
      </c>
      <c r="P10" s="278" t="s">
        <v>512</v>
      </c>
      <c r="Q10" s="257" t="s">
        <v>513</v>
      </c>
      <c r="R10" s="257" t="s">
        <v>514</v>
      </c>
      <c r="S10" s="312">
        <f t="shared" si="5"/>
        <v>0</v>
      </c>
      <c r="T10" s="298"/>
    </row>
    <row r="11" ht="22.5" customHeight="1">
      <c r="A11" s="257" t="s">
        <v>121</v>
      </c>
      <c r="B11" s="319" t="s">
        <v>685</v>
      </c>
      <c r="C11" s="314" t="s">
        <v>686</v>
      </c>
      <c r="D11" s="256" t="s">
        <v>543</v>
      </c>
      <c r="E11" s="315">
        <f t="shared" si="1"/>
        <v>6835852.1</v>
      </c>
      <c r="F11" s="281">
        <f t="shared" si="2"/>
        <v>49370042944</v>
      </c>
      <c r="G11" s="282">
        <v>7222.222222222222</v>
      </c>
      <c r="H11" s="281">
        <v>1.0219598889499997E11</v>
      </c>
      <c r="I11" s="282">
        <f t="shared" si="3"/>
        <v>14950</v>
      </c>
      <c r="J11" s="302">
        <v>22.715</v>
      </c>
      <c r="K11" s="330">
        <v>300940.0</v>
      </c>
      <c r="L11" s="304">
        <f t="shared" si="4"/>
        <v>116193.5359</v>
      </c>
      <c r="M11" s="305">
        <v>0.81</v>
      </c>
      <c r="N11" s="306">
        <v>6.39</v>
      </c>
      <c r="O11" s="307">
        <v>69.0</v>
      </c>
      <c r="P11" s="278" t="s">
        <v>546</v>
      </c>
      <c r="Q11" s="257" t="s">
        <v>547</v>
      </c>
      <c r="R11" s="257" t="s">
        <v>548</v>
      </c>
      <c r="S11" s="312">
        <f t="shared" si="5"/>
        <v>0</v>
      </c>
      <c r="T11" s="298"/>
    </row>
    <row r="12" ht="22.5" customHeight="1">
      <c r="A12" s="257" t="s">
        <v>121</v>
      </c>
      <c r="B12" s="317" t="s">
        <v>82</v>
      </c>
      <c r="C12" s="310" t="s">
        <v>83</v>
      </c>
      <c r="D12" s="256" t="s">
        <v>708</v>
      </c>
      <c r="E12" s="311">
        <f t="shared" si="1"/>
        <v>3146472.56</v>
      </c>
      <c r="F12" s="281">
        <f t="shared" si="2"/>
        <v>19228443422</v>
      </c>
      <c r="G12" s="282">
        <v>6111.111111111111</v>
      </c>
      <c r="H12" s="281">
        <v>4.095658448933333E10</v>
      </c>
      <c r="I12" s="282">
        <f t="shared" si="3"/>
        <v>13016.66667</v>
      </c>
      <c r="J12" s="302">
        <v>1.54</v>
      </c>
      <c r="K12" s="303">
        <v>2043164.0</v>
      </c>
      <c r="L12" s="304">
        <f t="shared" si="4"/>
        <v>788869.7067</v>
      </c>
      <c r="M12" s="305">
        <v>0.803</v>
      </c>
      <c r="N12" s="306">
        <v>5.07</v>
      </c>
      <c r="O12" s="307">
        <v>68.0</v>
      </c>
      <c r="P12" s="278" t="s">
        <v>711</v>
      </c>
      <c r="Q12" s="257" t="s">
        <v>712</v>
      </c>
      <c r="R12" s="255" t="s">
        <v>713</v>
      </c>
      <c r="S12" s="312">
        <f t="shared" si="5"/>
        <v>0</v>
      </c>
      <c r="T12" s="298"/>
    </row>
    <row r="13" ht="22.5" customHeight="1">
      <c r="A13" s="257" t="s">
        <v>121</v>
      </c>
      <c r="B13" s="299" t="s">
        <v>993</v>
      </c>
      <c r="C13" s="300" t="s">
        <v>994</v>
      </c>
      <c r="D13" s="264" t="s">
        <v>726</v>
      </c>
      <c r="E13" s="301">
        <f t="shared" si="1"/>
        <v>730202.55</v>
      </c>
      <c r="F13" s="281">
        <f t="shared" si="2"/>
        <v>17965300833</v>
      </c>
      <c r="G13" s="282">
        <v>24603.174603174604</v>
      </c>
      <c r="H13" s="281">
        <v>2.1917667016666664E10</v>
      </c>
      <c r="I13" s="282">
        <f t="shared" si="3"/>
        <v>30015.87302</v>
      </c>
      <c r="J13" s="302">
        <v>220.605</v>
      </c>
      <c r="K13" s="303">
        <v>3310.0</v>
      </c>
      <c r="L13" s="304">
        <f t="shared" si="4"/>
        <v>1277.99762</v>
      </c>
      <c r="M13" s="305">
        <v>0.892</v>
      </c>
      <c r="N13" s="306">
        <v>5.68</v>
      </c>
      <c r="O13" s="307">
        <v>614.0</v>
      </c>
      <c r="P13" s="278" t="s">
        <v>729</v>
      </c>
      <c r="Q13" s="257" t="s">
        <v>730</v>
      </c>
      <c r="R13" s="257" t="s">
        <v>731</v>
      </c>
      <c r="S13" s="312">
        <f t="shared" si="5"/>
        <v>0</v>
      </c>
      <c r="T13" s="298"/>
    </row>
    <row r="14" ht="22.5" customHeight="1">
      <c r="A14" s="257" t="s">
        <v>121</v>
      </c>
      <c r="B14" s="321" t="s">
        <v>131</v>
      </c>
      <c r="C14" s="321" t="s">
        <v>132</v>
      </c>
      <c r="D14" s="256" t="s">
        <v>780</v>
      </c>
      <c r="E14" s="322">
        <f t="shared" si="1"/>
        <v>945980.451</v>
      </c>
      <c r="F14" s="281">
        <f t="shared" si="2"/>
        <v>11250410364</v>
      </c>
      <c r="G14" s="282">
        <v>11892.8571428571</v>
      </c>
      <c r="H14" s="281">
        <v>1.9238201721890285E10</v>
      </c>
      <c r="I14" s="282">
        <f t="shared" si="3"/>
        <v>20336.78571</v>
      </c>
      <c r="J14" s="302">
        <v>449.1835</v>
      </c>
      <c r="K14" s="303">
        <v>2106.0</v>
      </c>
      <c r="L14" s="304">
        <f t="shared" si="4"/>
        <v>813.130812</v>
      </c>
      <c r="M14" s="305">
        <v>0.858</v>
      </c>
      <c r="N14" s="306">
        <v>9.22</v>
      </c>
      <c r="O14" s="307">
        <v>613.0</v>
      </c>
      <c r="P14" s="278" t="s">
        <v>783</v>
      </c>
      <c r="Q14" s="257" t="s">
        <v>784</v>
      </c>
      <c r="R14" s="257" t="s">
        <v>785</v>
      </c>
      <c r="S14" s="312">
        <f t="shared" si="5"/>
        <v>0</v>
      </c>
      <c r="T14" s="298"/>
    </row>
    <row r="15" ht="22.5" customHeight="1">
      <c r="A15" s="257" t="s">
        <v>121</v>
      </c>
      <c r="B15" s="314" t="s">
        <v>1022</v>
      </c>
      <c r="C15" s="314" t="s">
        <v>1023</v>
      </c>
      <c r="D15" s="256" t="s">
        <v>820</v>
      </c>
      <c r="E15" s="315">
        <f t="shared" si="1"/>
        <v>447879.07</v>
      </c>
      <c r="F15" s="281">
        <f t="shared" si="2"/>
        <v>8282208199</v>
      </c>
      <c r="G15" s="282">
        <v>18492.06349206349</v>
      </c>
      <c r="H15" s="281">
        <v>1.2257668134825397E10</v>
      </c>
      <c r="I15" s="282">
        <f t="shared" si="3"/>
        <v>27368.25397</v>
      </c>
      <c r="J15" s="302">
        <v>175.57</v>
      </c>
      <c r="K15" s="303">
        <v>2551.0</v>
      </c>
      <c r="L15" s="304">
        <f t="shared" si="4"/>
        <v>984.946202</v>
      </c>
      <c r="M15" s="305">
        <v>0.871</v>
      </c>
      <c r="N15" s="306">
        <v>7.33</v>
      </c>
      <c r="O15" s="307">
        <v>650.0</v>
      </c>
      <c r="P15" s="278" t="s">
        <v>823</v>
      </c>
      <c r="Q15" s="257" t="s">
        <v>824</v>
      </c>
      <c r="R15" s="257" t="s">
        <v>825</v>
      </c>
      <c r="S15" s="312">
        <f t="shared" si="5"/>
        <v>0</v>
      </c>
      <c r="T15" s="298"/>
    </row>
    <row r="16" ht="22.5" customHeight="1">
      <c r="A16" s="257" t="s">
        <v>121</v>
      </c>
      <c r="B16" s="310" t="s">
        <v>70</v>
      </c>
      <c r="C16" s="310" t="s">
        <v>71</v>
      </c>
      <c r="D16" s="264" t="s">
        <v>838</v>
      </c>
      <c r="E16" s="311">
        <f t="shared" si="1"/>
        <v>376608.9492</v>
      </c>
      <c r="F16" s="281">
        <f t="shared" si="2"/>
        <v>7143614195</v>
      </c>
      <c r="G16" s="282">
        <v>18968.25396825397</v>
      </c>
      <c r="H16" s="281">
        <v>1.4858717525897144E10</v>
      </c>
      <c r="I16" s="282">
        <f t="shared" si="3"/>
        <v>39453.96825</v>
      </c>
      <c r="J16" s="302">
        <v>10.3938</v>
      </c>
      <c r="K16" s="303">
        <v>36234.0</v>
      </c>
      <c r="L16" s="304">
        <f t="shared" si="4"/>
        <v>13990.01987</v>
      </c>
      <c r="M16" s="305">
        <v>0.763</v>
      </c>
      <c r="N16" s="306">
        <v>6.43</v>
      </c>
      <c r="O16" s="307">
        <v>612.0</v>
      </c>
      <c r="P16" s="278" t="s">
        <v>841</v>
      </c>
      <c r="Q16" s="257" t="s">
        <v>842</v>
      </c>
      <c r="R16" s="257" t="s">
        <v>843</v>
      </c>
      <c r="S16" s="312">
        <f t="shared" si="5"/>
        <v>0</v>
      </c>
      <c r="T16" s="298"/>
    </row>
    <row r="17" ht="22.5" customHeight="1">
      <c r="A17" s="257" t="s">
        <v>121</v>
      </c>
      <c r="B17" s="299" t="s">
        <v>544</v>
      </c>
      <c r="C17" s="300" t="s">
        <v>545</v>
      </c>
      <c r="D17" s="264" t="s">
        <v>920</v>
      </c>
      <c r="E17" s="301">
        <f t="shared" si="1"/>
        <v>189681.24</v>
      </c>
      <c r="F17" s="281">
        <f t="shared" si="2"/>
        <v>2039826033</v>
      </c>
      <c r="G17" s="282">
        <v>10753.968253968254</v>
      </c>
      <c r="H17" s="281">
        <v>3.875669463333334E9</v>
      </c>
      <c r="I17" s="282">
        <f t="shared" si="3"/>
        <v>20432.53968</v>
      </c>
      <c r="J17" s="302">
        <v>132.83</v>
      </c>
      <c r="K17" s="330">
        <v>1428.0</v>
      </c>
      <c r="L17" s="304">
        <f t="shared" si="4"/>
        <v>551.353656</v>
      </c>
      <c r="M17" s="305">
        <v>0.827</v>
      </c>
      <c r="N17" s="306">
        <v>5.29</v>
      </c>
      <c r="O17" s="307">
        <v>667.0</v>
      </c>
      <c r="P17" s="278" t="s">
        <v>923</v>
      </c>
      <c r="Q17" s="257" t="s">
        <v>924</v>
      </c>
      <c r="R17" s="257" t="s">
        <v>925</v>
      </c>
      <c r="S17" s="312">
        <f t="shared" si="5"/>
        <v>0</v>
      </c>
      <c r="T17" s="298"/>
    </row>
    <row r="18" ht="22.5" customHeight="1">
      <c r="A18" s="257" t="s">
        <v>121</v>
      </c>
      <c r="B18" s="310" t="s">
        <v>963</v>
      </c>
      <c r="C18" s="310" t="s">
        <v>964</v>
      </c>
      <c r="D18" s="264" t="s">
        <v>938</v>
      </c>
      <c r="E18" s="311">
        <f t="shared" si="1"/>
        <v>828597</v>
      </c>
      <c r="F18" s="281">
        <f t="shared" si="2"/>
        <v>1410587750</v>
      </c>
      <c r="G18" s="282">
        <v>1702.3809523809523</v>
      </c>
      <c r="H18" s="281">
        <v>3.8932221899999995E9</v>
      </c>
      <c r="I18" s="282">
        <f t="shared" si="3"/>
        <v>4698.571429</v>
      </c>
      <c r="J18" s="302">
        <v>4.62</v>
      </c>
      <c r="K18" s="303">
        <v>179350.0</v>
      </c>
      <c r="L18" s="304">
        <f t="shared" si="4"/>
        <v>69247.3937</v>
      </c>
      <c r="M18" s="305">
        <v>0.699</v>
      </c>
      <c r="N18" s="306">
        <v>7.1</v>
      </c>
      <c r="O18" s="307">
        <v>611.0</v>
      </c>
      <c r="P18" s="278" t="s">
        <v>941</v>
      </c>
      <c r="Q18" s="257" t="s">
        <v>942</v>
      </c>
      <c r="R18" s="257" t="s">
        <v>943</v>
      </c>
      <c r="S18" s="312">
        <f t="shared" si="5"/>
        <v>0</v>
      </c>
      <c r="T18" s="298"/>
    </row>
    <row r="19" ht="22.5" customHeight="1">
      <c r="A19" s="257" t="s">
        <v>121</v>
      </c>
      <c r="B19" s="319" t="s">
        <v>189</v>
      </c>
      <c r="C19" s="314" t="s">
        <v>190</v>
      </c>
      <c r="D19" s="256" t="s">
        <v>950</v>
      </c>
      <c r="E19" s="315">
        <f t="shared" si="1"/>
        <v>495291.4</v>
      </c>
      <c r="F19" s="281">
        <f t="shared" si="2"/>
        <v>1120301976</v>
      </c>
      <c r="G19" s="282">
        <v>2261.904761904762</v>
      </c>
      <c r="H19" s="281">
        <v>3.0808304345238094E9</v>
      </c>
      <c r="I19" s="282">
        <f t="shared" si="3"/>
        <v>6220.238095</v>
      </c>
      <c r="J19" s="302">
        <v>43.325</v>
      </c>
      <c r="K19" s="303">
        <v>11432.0</v>
      </c>
      <c r="L19" s="304">
        <f t="shared" si="4"/>
        <v>4413.918064</v>
      </c>
      <c r="M19" s="305">
        <v>0.698</v>
      </c>
      <c r="N19" s="306">
        <v>5.34</v>
      </c>
      <c r="O19" s="307">
        <v>615.0</v>
      </c>
      <c r="P19" s="278" t="s">
        <v>953</v>
      </c>
      <c r="Q19" s="257" t="s">
        <v>954</v>
      </c>
      <c r="R19" s="257" t="s">
        <v>955</v>
      </c>
      <c r="S19" s="312">
        <f t="shared" si="5"/>
        <v>0</v>
      </c>
      <c r="T19" s="298"/>
    </row>
    <row r="20" ht="22.5" customHeight="1">
      <c r="A20" s="257" t="s">
        <v>121</v>
      </c>
      <c r="B20" s="317" t="s">
        <v>827</v>
      </c>
      <c r="C20" s="310" t="s">
        <v>828</v>
      </c>
      <c r="D20" s="264" t="s">
        <v>956</v>
      </c>
      <c r="E20" s="311">
        <f t="shared" si="1"/>
        <v>324028.32</v>
      </c>
      <c r="F20" s="281">
        <f t="shared" si="2"/>
        <v>843502293.3</v>
      </c>
      <c r="G20" s="282">
        <v>2603.1746031746034</v>
      </c>
      <c r="H20" s="281">
        <v>2.0750156416000001E9</v>
      </c>
      <c r="I20" s="282">
        <f t="shared" si="3"/>
        <v>6403.809524</v>
      </c>
      <c r="J20" s="302">
        <v>67.76</v>
      </c>
      <c r="K20" s="303">
        <v>4782.0</v>
      </c>
      <c r="L20" s="304">
        <f t="shared" si="4"/>
        <v>1846.339764</v>
      </c>
      <c r="M20" s="305">
        <v>0.754</v>
      </c>
      <c r="N20" s="306">
        <v>6.88</v>
      </c>
      <c r="O20" s="307">
        <v>677.0</v>
      </c>
      <c r="P20" s="278" t="s">
        <v>959</v>
      </c>
      <c r="Q20" s="257" t="s">
        <v>960</v>
      </c>
      <c r="R20" s="257" t="s">
        <v>961</v>
      </c>
      <c r="S20" s="312">
        <f t="shared" si="5"/>
        <v>0</v>
      </c>
      <c r="T20" s="298"/>
    </row>
    <row r="21" ht="22.5" customHeight="1">
      <c r="A21" s="257" t="s">
        <v>121</v>
      </c>
      <c r="B21" s="319" t="s">
        <v>282</v>
      </c>
      <c r="C21" s="314" t="s">
        <v>283</v>
      </c>
      <c r="D21" s="256" t="s">
        <v>974</v>
      </c>
      <c r="E21" s="315">
        <f t="shared" si="1"/>
        <v>239091.7217</v>
      </c>
      <c r="F21" s="281">
        <f t="shared" si="2"/>
        <v>747636018.6</v>
      </c>
      <c r="G21" s="282">
        <v>3126.9841269841268</v>
      </c>
      <c r="H21" s="281">
        <v>1.7494682836391425E9</v>
      </c>
      <c r="I21" s="282">
        <f t="shared" si="3"/>
        <v>7317.142857</v>
      </c>
      <c r="J21" s="302">
        <v>61.6057</v>
      </c>
      <c r="K21" s="303">
        <v>3881.0</v>
      </c>
      <c r="L21" s="304">
        <f t="shared" si="4"/>
        <v>1498.461862</v>
      </c>
      <c r="M21" s="305">
        <v>0.777</v>
      </c>
      <c r="N21" s="306">
        <v>4.6</v>
      </c>
      <c r="O21" s="307">
        <v>615.0</v>
      </c>
      <c r="P21" s="278" t="s">
        <v>977</v>
      </c>
      <c r="Q21" s="257" t="s">
        <v>978</v>
      </c>
      <c r="R21" s="257" t="s">
        <v>979</v>
      </c>
      <c r="S21" s="312">
        <f t="shared" si="5"/>
        <v>0</v>
      </c>
      <c r="T21" s="298"/>
    </row>
    <row r="22" ht="22.5" customHeight="1">
      <c r="A22" s="257" t="s">
        <v>121</v>
      </c>
      <c r="B22" s="320" t="s">
        <v>709</v>
      </c>
      <c r="C22" s="321" t="s">
        <v>710</v>
      </c>
      <c r="D22" s="264" t="s">
        <v>986</v>
      </c>
      <c r="E22" s="322">
        <f t="shared" si="1"/>
        <v>82798.0608</v>
      </c>
      <c r="F22" s="281">
        <f t="shared" si="2"/>
        <v>417275941.3</v>
      </c>
      <c r="G22" s="282">
        <v>5039.68253968254</v>
      </c>
      <c r="H22" s="281">
        <v>9.054887926933333E8</v>
      </c>
      <c r="I22" s="282">
        <f t="shared" si="3"/>
        <v>10936.11111</v>
      </c>
      <c r="J22" s="302">
        <v>61.6057</v>
      </c>
      <c r="K22" s="330">
        <v>1344.0</v>
      </c>
      <c r="L22" s="304">
        <f t="shared" si="4"/>
        <v>518.921088</v>
      </c>
      <c r="M22" s="305">
        <v>0.8</v>
      </c>
      <c r="N22" s="306">
        <v>6.21</v>
      </c>
      <c r="O22" s="307">
        <v>620.0</v>
      </c>
      <c r="P22" s="278" t="s">
        <v>989</v>
      </c>
      <c r="Q22" s="257" t="s">
        <v>990</v>
      </c>
      <c r="R22" s="257" t="s">
        <v>991</v>
      </c>
      <c r="S22" s="312">
        <f t="shared" si="5"/>
        <v>0</v>
      </c>
      <c r="T22" s="298"/>
    </row>
    <row r="23" ht="22.5" customHeight="1">
      <c r="A23" s="257" t="s">
        <v>121</v>
      </c>
      <c r="B23" s="299" t="s">
        <v>426</v>
      </c>
      <c r="C23" s="300" t="s">
        <v>427</v>
      </c>
      <c r="D23" s="256" t="s">
        <v>1010</v>
      </c>
      <c r="E23" s="301">
        <f t="shared" si="1"/>
        <v>37482.06</v>
      </c>
      <c r="F23" s="281">
        <f t="shared" si="2"/>
        <v>165099550</v>
      </c>
      <c r="G23" s="282">
        <v>4404.761904761905</v>
      </c>
      <c r="H23" s="281">
        <v>4.2595683900000006E8</v>
      </c>
      <c r="I23" s="282">
        <f t="shared" si="3"/>
        <v>11364.28571</v>
      </c>
      <c r="J23" s="302">
        <v>14.63</v>
      </c>
      <c r="K23" s="303">
        <v>2562.0</v>
      </c>
      <c r="L23" s="304">
        <f t="shared" si="4"/>
        <v>989.193324</v>
      </c>
      <c r="M23" s="305">
        <v>0.722</v>
      </c>
      <c r="N23" s="306">
        <v>3.86</v>
      </c>
      <c r="O23" s="307">
        <v>652.0</v>
      </c>
      <c r="P23" s="278" t="s">
        <v>1013</v>
      </c>
      <c r="Q23" s="257" t="s">
        <v>1014</v>
      </c>
      <c r="R23" s="257" t="s">
        <v>1015</v>
      </c>
      <c r="S23" s="312">
        <f t="shared" si="5"/>
        <v>0</v>
      </c>
      <c r="T23" s="298"/>
    </row>
    <row r="24" ht="22.5" customHeight="1">
      <c r="A24" s="257" t="s">
        <v>121</v>
      </c>
      <c r="B24" s="317" t="s">
        <v>892</v>
      </c>
      <c r="C24" s="310" t="s">
        <v>893</v>
      </c>
      <c r="D24" s="264" t="s">
        <v>1026</v>
      </c>
      <c r="E24" s="311">
        <f t="shared" si="1"/>
        <v>5165.16</v>
      </c>
      <c r="F24" s="281">
        <f t="shared" si="2"/>
        <v>48167166.67</v>
      </c>
      <c r="G24" s="282">
        <v>9325.396825396825</v>
      </c>
      <c r="H24" s="281">
        <v>9.440764666666666E7</v>
      </c>
      <c r="I24" s="282">
        <f t="shared" si="3"/>
        <v>18277.77778</v>
      </c>
      <c r="J24" s="302">
        <v>40.04</v>
      </c>
      <c r="K24" s="330">
        <v>129.0</v>
      </c>
      <c r="L24" s="304">
        <f t="shared" si="4"/>
        <v>49.807158</v>
      </c>
      <c r="M24" s="305">
        <v>0.822</v>
      </c>
      <c r="N24" s="306">
        <v>5.15</v>
      </c>
      <c r="O24" s="307">
        <v>616.0</v>
      </c>
      <c r="P24" s="278" t="s">
        <v>1029</v>
      </c>
      <c r="Q24" s="257" t="s">
        <v>1030</v>
      </c>
      <c r="R24" s="257" t="s">
        <v>1031</v>
      </c>
      <c r="S24" s="312">
        <f t="shared" si="5"/>
        <v>0</v>
      </c>
      <c r="T24" s="298"/>
    </row>
    <row r="25" ht="22.5" customHeight="1">
      <c r="A25" s="257" t="s">
        <v>1045</v>
      </c>
      <c r="B25" s="323"/>
      <c r="C25" s="323"/>
      <c r="D25" s="279" t="s">
        <v>1044</v>
      </c>
      <c r="E25" s="280">
        <f>SUM(New_Ayre[Population])</f>
        <v>276059050.1</v>
      </c>
      <c r="F25" s="281">
        <f>SUM(New_Ayre[GDP (Nominal)])</f>
        <v>1951426899214</v>
      </c>
      <c r="G25" s="282">
        <f>sum(New_Ayre[[#TOTALS],[GDP (Nominal)]]/New_Ayre[[#TOTALS],[Population]])</f>
        <v>7068.874932</v>
      </c>
      <c r="H25" s="281">
        <f>SUM(New_Ayre[GDP (PPP)])</f>
        <v>4321039088376</v>
      </c>
      <c r="I25" s="282">
        <f>sum(New_Ayre[[#TOTALS],[GDP (PPP)]]/New_Ayre[[#TOTALS],[Population]])</f>
        <v>15652.58986</v>
      </c>
      <c r="J25" s="324">
        <f>sum(New_Ayre[[#TOTALS],[Population]]/New_Ayre[[#TOTALS],[Area (Km)]])</f>
        <v>29.10165745</v>
      </c>
      <c r="K25" s="304">
        <f>SUM(New_Ayre[Area (Km)])</f>
        <v>9486025</v>
      </c>
      <c r="L25" s="304">
        <f>SUM(New_Ayre[Area (Mi)])</f>
        <v>3662573.225</v>
      </c>
      <c r="M25" s="257" t="s">
        <v>1045</v>
      </c>
      <c r="N25" s="257" t="s">
        <v>1045</v>
      </c>
      <c r="O25" s="257" t="s">
        <v>1045</v>
      </c>
      <c r="P25" s="257" t="s">
        <v>1045</v>
      </c>
      <c r="Q25" s="257" t="s">
        <v>186</v>
      </c>
      <c r="R25" s="278"/>
      <c r="S25" s="325">
        <f>SUM(New_Ayre[Military])</f>
        <v>22410443918</v>
      </c>
      <c r="T25" s="326"/>
    </row>
    <row r="26">
      <c r="A26" s="75"/>
      <c r="B26" s="74"/>
      <c r="C26" s="74"/>
      <c r="D26" s="72"/>
      <c r="E26" s="73"/>
      <c r="F26" s="76"/>
      <c r="G26" s="77"/>
      <c r="H26" s="76"/>
      <c r="I26" s="77"/>
      <c r="J26" s="78"/>
      <c r="K26" s="76"/>
      <c r="L26" s="76"/>
      <c r="M26" s="72"/>
      <c r="N26" s="72"/>
      <c r="O26" s="72"/>
      <c r="P26" s="75"/>
      <c r="Q26" s="75"/>
      <c r="R26" s="79"/>
      <c r="S26" s="79"/>
      <c r="T26" s="327"/>
    </row>
    <row r="27">
      <c r="A27" s="85"/>
      <c r="B27" s="84"/>
      <c r="C27" s="84"/>
      <c r="D27" s="72"/>
      <c r="E27" s="83"/>
      <c r="F27" s="76"/>
      <c r="G27" s="83"/>
      <c r="H27" s="76"/>
      <c r="I27" s="83"/>
      <c r="J27" s="86"/>
      <c r="K27" s="76"/>
      <c r="L27" s="76"/>
      <c r="M27" s="87"/>
      <c r="N27" s="72"/>
      <c r="O27" s="76"/>
      <c r="P27" s="79"/>
      <c r="Q27" s="88"/>
      <c r="R27" s="79"/>
      <c r="S27" s="88"/>
      <c r="T27" s="328"/>
    </row>
    <row r="28">
      <c r="A28" s="85"/>
      <c r="B28" s="84"/>
      <c r="C28" s="84"/>
      <c r="D28" s="72"/>
      <c r="E28" s="83"/>
      <c r="F28" s="76"/>
      <c r="G28" s="91"/>
      <c r="H28" s="76"/>
      <c r="I28" s="91"/>
      <c r="J28" s="86"/>
      <c r="K28" s="76"/>
      <c r="L28" s="76"/>
      <c r="M28" s="87"/>
      <c r="N28" s="72"/>
      <c r="O28" s="76"/>
      <c r="P28" s="79"/>
      <c r="Q28" s="88"/>
      <c r="R28" s="88"/>
      <c r="S28" s="88"/>
      <c r="T28" s="328"/>
    </row>
    <row r="29">
      <c r="A29" s="85"/>
      <c r="B29" s="84"/>
      <c r="C29" s="84"/>
      <c r="D29" s="86"/>
      <c r="E29" s="83"/>
      <c r="F29" s="76"/>
      <c r="G29" s="83"/>
      <c r="H29" s="76"/>
      <c r="I29" s="83"/>
      <c r="J29" s="86"/>
      <c r="K29" s="76"/>
      <c r="L29" s="76"/>
      <c r="M29" s="87"/>
      <c r="N29" s="72"/>
      <c r="O29" s="76"/>
      <c r="P29" s="79"/>
      <c r="Q29" s="88"/>
      <c r="R29" s="88"/>
      <c r="S29" s="88"/>
      <c r="T29" s="328"/>
    </row>
    <row r="30">
      <c r="A30" s="85"/>
      <c r="B30" s="84"/>
      <c r="C30" s="84"/>
      <c r="D30" s="86"/>
      <c r="E30" s="83"/>
      <c r="F30" s="76"/>
      <c r="G30" s="72"/>
      <c r="H30" s="76"/>
      <c r="I30" s="72"/>
      <c r="J30" s="86"/>
      <c r="K30" s="76"/>
      <c r="L30" s="76"/>
      <c r="M30" s="87"/>
      <c r="N30" s="72"/>
      <c r="O30" s="76"/>
      <c r="P30" s="79"/>
      <c r="Q30" s="88"/>
      <c r="R30" s="88"/>
      <c r="S30" s="88"/>
      <c r="T30" s="328"/>
    </row>
    <row r="31">
      <c r="A31" s="85"/>
      <c r="B31" s="84"/>
      <c r="C31" s="84"/>
      <c r="D31" s="86"/>
      <c r="E31" s="83"/>
      <c r="F31" s="76"/>
      <c r="G31" s="72"/>
      <c r="H31" s="76"/>
      <c r="I31" s="72"/>
      <c r="J31" s="86"/>
      <c r="K31" s="76"/>
      <c r="L31" s="76"/>
      <c r="M31" s="87"/>
      <c r="N31" s="72"/>
      <c r="O31" s="76"/>
      <c r="P31" s="79"/>
      <c r="Q31" s="88"/>
      <c r="R31" s="88"/>
      <c r="S31" s="88"/>
      <c r="T31" s="328"/>
    </row>
    <row r="32">
      <c r="A32" s="85"/>
      <c r="B32" s="84"/>
      <c r="C32" s="84"/>
      <c r="D32" s="86"/>
      <c r="E32" s="83"/>
      <c r="F32" s="76"/>
      <c r="G32" s="72"/>
      <c r="H32" s="76"/>
      <c r="I32" s="72"/>
      <c r="J32" s="86"/>
      <c r="K32" s="76"/>
      <c r="L32" s="76"/>
      <c r="M32" s="87"/>
      <c r="N32" s="72"/>
      <c r="O32" s="76"/>
      <c r="P32" s="79"/>
      <c r="Q32" s="88"/>
      <c r="R32" s="88"/>
      <c r="S32" s="88"/>
      <c r="T32" s="328"/>
    </row>
    <row r="33">
      <c r="A33" s="85"/>
      <c r="B33" s="84"/>
      <c r="C33" s="84"/>
      <c r="D33" s="86"/>
      <c r="E33" s="83"/>
      <c r="F33" s="76"/>
      <c r="G33" s="72"/>
      <c r="H33" s="76"/>
      <c r="I33" s="72"/>
      <c r="J33" s="86"/>
      <c r="K33" s="76"/>
      <c r="L33" s="76"/>
      <c r="M33" s="87"/>
      <c r="N33" s="72"/>
      <c r="O33" s="76"/>
      <c r="P33" s="79"/>
      <c r="Q33" s="88"/>
      <c r="R33" s="88"/>
      <c r="S33" s="88"/>
      <c r="T33" s="328"/>
    </row>
    <row r="34">
      <c r="A34" s="85"/>
      <c r="B34" s="84"/>
      <c r="C34" s="84"/>
      <c r="D34" s="86"/>
      <c r="E34" s="83"/>
      <c r="F34" s="76"/>
      <c r="G34" s="72"/>
      <c r="H34" s="76"/>
      <c r="I34" s="72"/>
      <c r="J34" s="86"/>
      <c r="K34" s="76"/>
      <c r="L34" s="76"/>
      <c r="M34" s="87"/>
      <c r="N34" s="72"/>
      <c r="O34" s="76"/>
      <c r="P34" s="79"/>
      <c r="Q34" s="88"/>
      <c r="R34" s="88"/>
      <c r="S34" s="88"/>
      <c r="T34" s="328"/>
    </row>
    <row r="35">
      <c r="A35" s="85"/>
      <c r="B35" s="84"/>
      <c r="C35" s="84"/>
      <c r="D35" s="86"/>
      <c r="E35" s="83"/>
      <c r="F35" s="76"/>
      <c r="G35" s="72"/>
      <c r="H35" s="76"/>
      <c r="I35" s="72"/>
      <c r="J35" s="86"/>
      <c r="K35" s="76"/>
      <c r="L35" s="76"/>
      <c r="M35" s="87"/>
      <c r="N35" s="72"/>
      <c r="O35" s="76"/>
      <c r="P35" s="79"/>
      <c r="Q35" s="88"/>
      <c r="R35" s="88"/>
      <c r="S35" s="88"/>
      <c r="T35" s="328"/>
    </row>
    <row r="36">
      <c r="A36" s="85"/>
      <c r="B36" s="84"/>
      <c r="C36" s="84"/>
      <c r="D36" s="86"/>
      <c r="E36" s="83"/>
      <c r="F36" s="76"/>
      <c r="G36" s="72"/>
      <c r="H36" s="76"/>
      <c r="I36" s="72"/>
      <c r="J36" s="86"/>
      <c r="K36" s="76"/>
      <c r="L36" s="76"/>
      <c r="M36" s="87"/>
      <c r="N36" s="72"/>
      <c r="O36" s="76"/>
      <c r="P36" s="79"/>
      <c r="Q36" s="88"/>
      <c r="R36" s="88"/>
      <c r="S36" s="88"/>
      <c r="T36" s="328"/>
    </row>
  </sheetData>
  <dataValidations>
    <dataValidation type="custom" allowBlank="1" showDropDown="1" sqref="F2:I24">
      <formula1>AND(ISNUMBER(F2),(NOT(OR(NOT(ISERROR(DATEVALUE(F2))), AND(ISNUMBER(F2), LEFT(CELL("format", F2))="D")))))</formula1>
    </dataValidation>
    <dataValidation allowBlank="1" showDropDown="1" sqref="D2:D24"/>
  </dataValidations>
  <drawing r:id="rId1"/>
  <tableParts count="2"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3" width="20.63"/>
    <col customWidth="1" min="4" max="4" width="12.63"/>
    <col customWidth="1" min="5" max="5" width="12.88"/>
    <col customWidth="1" min="6" max="6" width="16.38"/>
    <col customWidth="1" min="7" max="7" width="12.13"/>
    <col customWidth="1" min="8" max="8" width="17.38"/>
    <col customWidth="1" min="9" max="9" width="11.75"/>
    <col customWidth="1" min="10" max="10" width="7.88"/>
    <col customWidth="1" min="11" max="11" width="12.25"/>
    <col customWidth="1" min="12" max="12" width="12.38"/>
    <col customWidth="1" min="13" max="13" width="9.5"/>
    <col customWidth="1" min="15" max="15" width="10.25"/>
    <col customWidth="1" min="16" max="16" width="10.38"/>
    <col customWidth="1" min="19" max="19" width="16.75"/>
    <col customWidth="1" min="20" max="20" width="11.38"/>
  </cols>
  <sheetData>
    <row r="1" ht="22.5" customHeight="1">
      <c r="A1" s="252" t="s">
        <v>4</v>
      </c>
      <c r="B1" s="3" t="s">
        <v>2</v>
      </c>
      <c r="C1" s="3" t="s">
        <v>3</v>
      </c>
      <c r="D1" s="1" t="s">
        <v>0</v>
      </c>
      <c r="E1" s="2" t="s">
        <v>1</v>
      </c>
      <c r="F1" s="1" t="s">
        <v>5</v>
      </c>
      <c r="G1" s="5" t="s">
        <v>6</v>
      </c>
      <c r="H1" s="1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7" t="s">
        <v>12</v>
      </c>
      <c r="N1" s="4" t="s">
        <v>13</v>
      </c>
      <c r="O1" s="4" t="s">
        <v>14</v>
      </c>
      <c r="P1" s="252" t="s">
        <v>15</v>
      </c>
      <c r="Q1" s="252" t="s">
        <v>16</v>
      </c>
      <c r="R1" s="252" t="s">
        <v>17</v>
      </c>
      <c r="S1" s="252" t="s">
        <v>1078</v>
      </c>
      <c r="T1" s="298" t="s">
        <v>22</v>
      </c>
    </row>
    <row r="2" ht="22.5" customHeight="1">
      <c r="A2" s="257" t="s">
        <v>84</v>
      </c>
      <c r="B2" s="314" t="s">
        <v>1033</v>
      </c>
      <c r="C2" s="314" t="s">
        <v>1034</v>
      </c>
      <c r="D2" s="264" t="s">
        <v>914</v>
      </c>
      <c r="E2" s="315">
        <f t="shared" ref="E2:E24" si="1">SUM(J2*K2)</f>
        <v>7354909.54</v>
      </c>
      <c r="F2" s="281">
        <f t="shared" ref="F2:F24" si="2">SUM(G2*E2)</f>
        <v>2597567258</v>
      </c>
      <c r="G2" s="282">
        <v>353.1746031746032</v>
      </c>
      <c r="H2" s="281">
        <v>3.714521179189683E9</v>
      </c>
      <c r="I2" s="282">
        <f t="shared" ref="I2:I25" si="3">sum(H2/E2)</f>
        <v>505.0396825</v>
      </c>
      <c r="J2" s="302">
        <v>1.385</v>
      </c>
      <c r="K2" s="303">
        <v>5310404.0</v>
      </c>
      <c r="L2" s="304">
        <f t="shared" ref="L2:L24" si="4">SUM(K2*0.386102)</f>
        <v>2050357.605</v>
      </c>
      <c r="M2" s="305">
        <v>0.528</v>
      </c>
      <c r="N2" s="306">
        <v>1.8</v>
      </c>
      <c r="O2" s="307">
        <v>734.0</v>
      </c>
      <c r="P2" s="278" t="s">
        <v>917</v>
      </c>
      <c r="Q2" s="257" t="s">
        <v>918</v>
      </c>
      <c r="R2" s="257" t="s">
        <v>919</v>
      </c>
      <c r="S2" s="312">
        <f t="shared" ref="S2:S24" si="5">SUM(F2*T2)</f>
        <v>0</v>
      </c>
      <c r="T2" s="298"/>
    </row>
    <row r="3" ht="22.5" customHeight="1">
      <c r="A3" s="257" t="s">
        <v>84</v>
      </c>
      <c r="B3" s="321" t="s">
        <v>480</v>
      </c>
      <c r="C3" s="321" t="s">
        <v>481</v>
      </c>
      <c r="D3" s="264" t="s">
        <v>329</v>
      </c>
      <c r="E3" s="322">
        <f t="shared" si="1"/>
        <v>8002151.85</v>
      </c>
      <c r="F3" s="281">
        <f t="shared" si="2"/>
        <v>165123768333</v>
      </c>
      <c r="G3" s="282">
        <v>20634.920634920636</v>
      </c>
      <c r="H3" s="281">
        <v>2.3117327566666666E11</v>
      </c>
      <c r="I3" s="282">
        <f t="shared" si="3"/>
        <v>28888.88889</v>
      </c>
      <c r="J3" s="302">
        <v>1.925</v>
      </c>
      <c r="K3" s="303">
        <v>4156962.0</v>
      </c>
      <c r="L3" s="304">
        <f t="shared" si="4"/>
        <v>1605011.342</v>
      </c>
      <c r="M3" s="305">
        <v>0.876</v>
      </c>
      <c r="N3" s="306">
        <v>7.1</v>
      </c>
      <c r="O3" s="307">
        <v>773.0</v>
      </c>
      <c r="P3" s="278" t="s">
        <v>332</v>
      </c>
      <c r="Q3" s="257" t="s">
        <v>333</v>
      </c>
      <c r="R3" s="257" t="s">
        <v>334</v>
      </c>
      <c r="S3" s="312">
        <f t="shared" si="5"/>
        <v>0</v>
      </c>
      <c r="T3" s="298"/>
    </row>
    <row r="4" ht="22.5" customHeight="1">
      <c r="A4" s="257" t="s">
        <v>84</v>
      </c>
      <c r="B4" s="299" t="s">
        <v>939</v>
      </c>
      <c r="C4" s="300" t="s">
        <v>940</v>
      </c>
      <c r="D4" s="264" t="s">
        <v>323</v>
      </c>
      <c r="E4" s="301">
        <f t="shared" si="1"/>
        <v>33524352.79</v>
      </c>
      <c r="F4" s="281">
        <f t="shared" si="2"/>
        <v>55474821870</v>
      </c>
      <c r="G4" s="282">
        <v>1654.7619047619048</v>
      </c>
      <c r="H4" s="281">
        <v>2.3299425185575003E11</v>
      </c>
      <c r="I4" s="282">
        <f t="shared" si="3"/>
        <v>6950</v>
      </c>
      <c r="J4" s="302">
        <v>11.935</v>
      </c>
      <c r="K4" s="303">
        <v>2808911.0</v>
      </c>
      <c r="L4" s="304">
        <f t="shared" si="4"/>
        <v>1084526.155</v>
      </c>
      <c r="M4" s="305">
        <v>0.646</v>
      </c>
      <c r="N4" s="306">
        <v>2.11</v>
      </c>
      <c r="O4" s="307">
        <v>77.0</v>
      </c>
      <c r="P4" s="257" t="s">
        <v>326</v>
      </c>
      <c r="Q4" s="257" t="s">
        <v>327</v>
      </c>
      <c r="R4" s="255" t="s">
        <v>328</v>
      </c>
      <c r="S4" s="308">
        <f t="shared" si="5"/>
        <v>0</v>
      </c>
      <c r="T4" s="336"/>
    </row>
    <row r="5" ht="22.5" customHeight="1">
      <c r="A5" s="257" t="s">
        <v>84</v>
      </c>
      <c r="B5" s="310" t="s">
        <v>633</v>
      </c>
      <c r="C5" s="310" t="s">
        <v>634</v>
      </c>
      <c r="D5" s="264" t="s">
        <v>549</v>
      </c>
      <c r="E5" s="311">
        <f t="shared" si="1"/>
        <v>2048850.65</v>
      </c>
      <c r="F5" s="281">
        <f t="shared" si="2"/>
        <v>48050425958</v>
      </c>
      <c r="G5" s="282">
        <v>23452.38095238095</v>
      </c>
      <c r="H5" s="281">
        <v>6.198504948625001E10</v>
      </c>
      <c r="I5" s="282">
        <f t="shared" si="3"/>
        <v>30253.57143</v>
      </c>
      <c r="J5" s="302">
        <v>0.77</v>
      </c>
      <c r="K5" s="303">
        <v>2660845.0</v>
      </c>
      <c r="L5" s="304">
        <f t="shared" si="4"/>
        <v>1027357.576</v>
      </c>
      <c r="M5" s="305">
        <v>0.885</v>
      </c>
      <c r="N5" s="306">
        <v>2.34</v>
      </c>
      <c r="O5" s="307">
        <v>772.0</v>
      </c>
      <c r="P5" s="278" t="s">
        <v>552</v>
      </c>
      <c r="Q5" s="257" t="s">
        <v>553</v>
      </c>
      <c r="R5" s="257" t="s">
        <v>554</v>
      </c>
      <c r="S5" s="312">
        <f t="shared" si="5"/>
        <v>0</v>
      </c>
      <c r="T5" s="298"/>
    </row>
    <row r="6" ht="22.5" customHeight="1">
      <c r="A6" s="257" t="s">
        <v>84</v>
      </c>
      <c r="B6" s="319" t="s">
        <v>142</v>
      </c>
      <c r="C6" s="314" t="s">
        <v>143</v>
      </c>
      <c r="D6" s="264" t="s">
        <v>141</v>
      </c>
      <c r="E6" s="315">
        <f t="shared" si="1"/>
        <v>29182698.16</v>
      </c>
      <c r="F6" s="281">
        <f t="shared" si="2"/>
        <v>409947426533</v>
      </c>
      <c r="G6" s="282">
        <v>14047.619047619048</v>
      </c>
      <c r="H6" s="281">
        <v>5.452300772893333E11</v>
      </c>
      <c r="I6" s="282">
        <f t="shared" si="3"/>
        <v>18683.33333</v>
      </c>
      <c r="J6" s="302">
        <v>11.935</v>
      </c>
      <c r="K6" s="303">
        <v>2445136.0</v>
      </c>
      <c r="L6" s="304">
        <f t="shared" si="4"/>
        <v>944071.8999</v>
      </c>
      <c r="M6" s="305">
        <v>0.924</v>
      </c>
      <c r="N6" s="306">
        <v>8.64</v>
      </c>
      <c r="O6" s="307">
        <v>771.0</v>
      </c>
      <c r="P6" s="257" t="s">
        <v>144</v>
      </c>
      <c r="Q6" s="257" t="s">
        <v>145</v>
      </c>
      <c r="R6" s="255" t="s">
        <v>146</v>
      </c>
      <c r="S6" s="308">
        <f t="shared" si="5"/>
        <v>15618996951</v>
      </c>
      <c r="T6" s="298">
        <v>0.0381</v>
      </c>
    </row>
    <row r="7" ht="22.5" customHeight="1">
      <c r="A7" s="257" t="s">
        <v>84</v>
      </c>
      <c r="B7" s="321" t="s">
        <v>1017</v>
      </c>
      <c r="C7" s="321" t="s">
        <v>1018</v>
      </c>
      <c r="D7" s="256" t="s">
        <v>750</v>
      </c>
      <c r="E7" s="322">
        <f t="shared" si="1"/>
        <v>8714285.58</v>
      </c>
      <c r="F7" s="281">
        <f t="shared" si="2"/>
        <v>14869614283</v>
      </c>
      <c r="G7" s="282">
        <v>1706.3492063492063</v>
      </c>
      <c r="H7" s="281">
        <v>4.7136677278166664E10</v>
      </c>
      <c r="I7" s="282">
        <f t="shared" si="3"/>
        <v>5409.126984</v>
      </c>
      <c r="J7" s="302">
        <v>4.62</v>
      </c>
      <c r="K7" s="303">
        <v>1886209.0</v>
      </c>
      <c r="L7" s="304">
        <f t="shared" si="4"/>
        <v>728269.0673</v>
      </c>
      <c r="M7" s="305">
        <v>0.618</v>
      </c>
      <c r="N7" s="306">
        <v>8.39</v>
      </c>
      <c r="O7" s="307">
        <v>799.0</v>
      </c>
      <c r="P7" s="278" t="s">
        <v>753</v>
      </c>
      <c r="Q7" s="257" t="s">
        <v>754</v>
      </c>
      <c r="R7" s="255" t="s">
        <v>755</v>
      </c>
      <c r="S7" s="308">
        <f t="shared" si="5"/>
        <v>0</v>
      </c>
      <c r="T7" s="336"/>
    </row>
    <row r="8" ht="22.5" customHeight="1">
      <c r="A8" s="257" t="s">
        <v>84</v>
      </c>
      <c r="B8" s="299" t="s">
        <v>242</v>
      </c>
      <c r="C8" s="300" t="s">
        <v>243</v>
      </c>
      <c r="D8" s="264" t="s">
        <v>1004</v>
      </c>
      <c r="E8" s="301">
        <f t="shared" si="1"/>
        <v>1441953.94</v>
      </c>
      <c r="F8" s="281">
        <f t="shared" si="2"/>
        <v>223159538.3</v>
      </c>
      <c r="G8" s="282">
        <v>154.76190476190476</v>
      </c>
      <c r="H8" s="281">
        <v>5.467408689166666E8</v>
      </c>
      <c r="I8" s="282">
        <f t="shared" si="3"/>
        <v>379.1666667</v>
      </c>
      <c r="J8" s="302">
        <v>0.785</v>
      </c>
      <c r="K8" s="303">
        <v>1836884.0</v>
      </c>
      <c r="L8" s="304">
        <f t="shared" si="4"/>
        <v>709224.5862</v>
      </c>
      <c r="M8" s="305">
        <v>0.463</v>
      </c>
      <c r="N8" s="306">
        <v>4.35</v>
      </c>
      <c r="O8" s="307">
        <v>735.0</v>
      </c>
      <c r="P8" s="278" t="s">
        <v>1007</v>
      </c>
      <c r="Q8" s="257" t="s">
        <v>1008</v>
      </c>
      <c r="R8" s="257" t="s">
        <v>1009</v>
      </c>
      <c r="S8" s="312">
        <f t="shared" si="5"/>
        <v>0</v>
      </c>
      <c r="T8" s="298"/>
    </row>
    <row r="9" ht="22.5" customHeight="1">
      <c r="A9" s="257" t="s">
        <v>84</v>
      </c>
      <c r="B9" s="317" t="s">
        <v>1039</v>
      </c>
      <c r="C9" s="310" t="s">
        <v>1040</v>
      </c>
      <c r="D9" s="256" t="s">
        <v>81</v>
      </c>
      <c r="E9" s="311">
        <f t="shared" si="1"/>
        <v>425141433.6</v>
      </c>
      <c r="F9" s="281">
        <f t="shared" si="2"/>
        <v>1449192426574</v>
      </c>
      <c r="G9" s="282">
        <v>3408.7301587301586</v>
      </c>
      <c r="H9" s="281">
        <v>4.2171499613316333E12</v>
      </c>
      <c r="I9" s="282">
        <f t="shared" si="3"/>
        <v>9919.404762</v>
      </c>
      <c r="J9" s="302">
        <v>252.715</v>
      </c>
      <c r="K9" s="303">
        <v>1682296.0</v>
      </c>
      <c r="L9" s="304">
        <f t="shared" si="4"/>
        <v>649537.8502</v>
      </c>
      <c r="M9" s="305">
        <v>0.66</v>
      </c>
      <c r="N9" s="306">
        <v>6.24</v>
      </c>
      <c r="O9" s="307">
        <v>71.0</v>
      </c>
      <c r="P9" s="278" t="s">
        <v>85</v>
      </c>
      <c r="Q9" s="257" t="s">
        <v>86</v>
      </c>
      <c r="R9" s="255" t="s">
        <v>87</v>
      </c>
      <c r="S9" s="308">
        <f t="shared" si="5"/>
        <v>28114333076</v>
      </c>
      <c r="T9" s="329">
        <v>0.0194</v>
      </c>
    </row>
    <row r="10" ht="22.5" customHeight="1">
      <c r="A10" s="257" t="s">
        <v>84</v>
      </c>
      <c r="B10" s="319" t="s">
        <v>975</v>
      </c>
      <c r="C10" s="314" t="s">
        <v>976</v>
      </c>
      <c r="D10" s="256" t="s">
        <v>371</v>
      </c>
      <c r="E10" s="315">
        <f t="shared" si="1"/>
        <v>17219176.59</v>
      </c>
      <c r="F10" s="281">
        <f t="shared" si="2"/>
        <v>127093922450</v>
      </c>
      <c r="G10" s="282">
        <v>7380.952380952381</v>
      </c>
      <c r="H10" s="259">
        <v>2.266313806965E11</v>
      </c>
      <c r="I10" s="282">
        <f t="shared" si="3"/>
        <v>13161.56899</v>
      </c>
      <c r="J10" s="302">
        <v>11.165</v>
      </c>
      <c r="K10" s="303">
        <v>1542246.0</v>
      </c>
      <c r="L10" s="304">
        <f t="shared" si="4"/>
        <v>595464.2651</v>
      </c>
      <c r="M10" s="305">
        <v>0.787</v>
      </c>
      <c r="N10" s="306">
        <v>5.01</v>
      </c>
      <c r="O10" s="307">
        <v>731.0</v>
      </c>
      <c r="P10" s="278" t="s">
        <v>374</v>
      </c>
      <c r="Q10" s="257" t="s">
        <v>375</v>
      </c>
      <c r="R10" s="255" t="s">
        <v>376</v>
      </c>
      <c r="S10" s="308">
        <f t="shared" si="5"/>
        <v>0</v>
      </c>
      <c r="T10" s="336"/>
    </row>
    <row r="11" ht="22.5" customHeight="1">
      <c r="A11" s="257" t="s">
        <v>84</v>
      </c>
      <c r="B11" s="320" t="s">
        <v>951</v>
      </c>
      <c r="C11" s="321" t="s">
        <v>952</v>
      </c>
      <c r="D11" s="264" t="s">
        <v>106</v>
      </c>
      <c r="E11" s="322">
        <f t="shared" si="1"/>
        <v>53302915.82</v>
      </c>
      <c r="F11" s="281">
        <f t="shared" si="2"/>
        <v>539374743417</v>
      </c>
      <c r="G11" s="282">
        <v>10119.047619047618</v>
      </c>
      <c r="H11" s="259">
        <v>9.96030852295833E11</v>
      </c>
      <c r="I11" s="282">
        <f t="shared" si="3"/>
        <v>18686.23577</v>
      </c>
      <c r="J11" s="302">
        <v>44.66</v>
      </c>
      <c r="K11" s="303">
        <v>1193527.0</v>
      </c>
      <c r="L11" s="304">
        <f t="shared" si="4"/>
        <v>460823.1618</v>
      </c>
      <c r="M11" s="305">
        <v>0.9</v>
      </c>
      <c r="N11" s="306">
        <v>4.93</v>
      </c>
      <c r="O11" s="307">
        <v>70.0</v>
      </c>
      <c r="P11" s="257" t="s">
        <v>109</v>
      </c>
      <c r="Q11" s="257" t="s">
        <v>110</v>
      </c>
      <c r="R11" s="257" t="s">
        <v>111</v>
      </c>
      <c r="S11" s="312">
        <f t="shared" si="5"/>
        <v>28694736350</v>
      </c>
      <c r="T11" s="298">
        <v>0.0532</v>
      </c>
    </row>
    <row r="12" ht="22.5" customHeight="1">
      <c r="A12" s="257" t="s">
        <v>84</v>
      </c>
      <c r="B12" s="299" t="s">
        <v>751</v>
      </c>
      <c r="C12" s="300" t="s">
        <v>752</v>
      </c>
      <c r="D12" s="256" t="s">
        <v>171</v>
      </c>
      <c r="E12" s="301">
        <f t="shared" si="1"/>
        <v>143972722.7</v>
      </c>
      <c r="F12" s="281">
        <f t="shared" si="2"/>
        <v>719863613700</v>
      </c>
      <c r="G12" s="282">
        <v>5000.0</v>
      </c>
      <c r="H12" s="281">
        <v>1.9508303931269998E12</v>
      </c>
      <c r="I12" s="282">
        <f t="shared" si="3"/>
        <v>13550</v>
      </c>
      <c r="J12" s="302">
        <v>217.14</v>
      </c>
      <c r="K12" s="303">
        <v>663041.0</v>
      </c>
      <c r="L12" s="304">
        <f t="shared" si="4"/>
        <v>256001.4562</v>
      </c>
      <c r="M12" s="305">
        <v>0.734</v>
      </c>
      <c r="N12" s="306">
        <v>2.88</v>
      </c>
      <c r="O12" s="307">
        <v>72.0</v>
      </c>
      <c r="P12" s="278" t="s">
        <v>174</v>
      </c>
      <c r="Q12" s="257" t="s">
        <v>175</v>
      </c>
      <c r="R12" s="255" t="s">
        <v>176</v>
      </c>
      <c r="S12" s="308">
        <f t="shared" si="5"/>
        <v>9502199701</v>
      </c>
      <c r="T12" s="298">
        <v>0.0132</v>
      </c>
    </row>
    <row r="13" ht="22.5" customHeight="1">
      <c r="A13" s="257" t="s">
        <v>84</v>
      </c>
      <c r="B13" s="321" t="s">
        <v>1335</v>
      </c>
      <c r="C13" s="321" t="s">
        <v>1336</v>
      </c>
      <c r="D13" s="256" t="s">
        <v>305</v>
      </c>
      <c r="E13" s="322">
        <f t="shared" si="1"/>
        <v>90945636.32</v>
      </c>
      <c r="F13" s="281">
        <f t="shared" si="2"/>
        <v>165290085058</v>
      </c>
      <c r="G13" s="282">
        <v>1817.4603174603174</v>
      </c>
      <c r="H13" s="281">
        <v>5.867798019551111E11</v>
      </c>
      <c r="I13" s="282">
        <f t="shared" si="3"/>
        <v>6451.984127</v>
      </c>
      <c r="J13" s="302">
        <v>174.02</v>
      </c>
      <c r="K13" s="303">
        <v>522616.0</v>
      </c>
      <c r="L13" s="304">
        <f t="shared" si="4"/>
        <v>201783.0828</v>
      </c>
      <c r="M13" s="305">
        <v>0.601</v>
      </c>
      <c r="N13" s="306">
        <v>5.22</v>
      </c>
      <c r="O13" s="307">
        <v>73.0</v>
      </c>
      <c r="P13" s="278" t="s">
        <v>308</v>
      </c>
      <c r="Q13" s="257" t="s">
        <v>309</v>
      </c>
      <c r="R13" s="255" t="s">
        <v>310</v>
      </c>
      <c r="S13" s="308">
        <f t="shared" si="5"/>
        <v>4016549067</v>
      </c>
      <c r="T13" s="336">
        <v>0.0243</v>
      </c>
    </row>
    <row r="14" ht="22.5" customHeight="1">
      <c r="A14" s="257" t="s">
        <v>84</v>
      </c>
      <c r="B14" s="314" t="s">
        <v>999</v>
      </c>
      <c r="C14" s="314" t="s">
        <v>1000</v>
      </c>
      <c r="D14" s="256" t="s">
        <v>258</v>
      </c>
      <c r="E14" s="315">
        <f t="shared" si="1"/>
        <v>140080975.6</v>
      </c>
      <c r="F14" s="281">
        <f t="shared" si="2"/>
        <v>311846933732</v>
      </c>
      <c r="G14" s="282">
        <v>2226.190476190476</v>
      </c>
      <c r="H14" s="281">
        <v>1.1132935534220498E12</v>
      </c>
      <c r="I14" s="282">
        <f t="shared" si="3"/>
        <v>7947.5</v>
      </c>
      <c r="J14" s="302">
        <v>274.82</v>
      </c>
      <c r="K14" s="303">
        <v>509719.0</v>
      </c>
      <c r="L14" s="304">
        <f t="shared" si="4"/>
        <v>196803.5253</v>
      </c>
      <c r="M14" s="305">
        <v>0.534</v>
      </c>
      <c r="N14" s="306">
        <v>4.76</v>
      </c>
      <c r="O14" s="307">
        <v>75.0</v>
      </c>
      <c r="P14" s="278" t="s">
        <v>261</v>
      </c>
      <c r="Q14" s="257" t="s">
        <v>262</v>
      </c>
      <c r="R14" s="255" t="s">
        <v>263</v>
      </c>
      <c r="S14" s="259">
        <f t="shared" si="5"/>
        <v>5020735633</v>
      </c>
      <c r="T14" s="298">
        <v>0.0161</v>
      </c>
    </row>
    <row r="15" ht="22.5" customHeight="1">
      <c r="A15" s="257" t="s">
        <v>84</v>
      </c>
      <c r="B15" s="320" t="s">
        <v>95</v>
      </c>
      <c r="C15" s="321" t="s">
        <v>96</v>
      </c>
      <c r="D15" s="256" t="s">
        <v>270</v>
      </c>
      <c r="E15" s="322">
        <f t="shared" si="1"/>
        <v>21768596.85</v>
      </c>
      <c r="F15" s="281">
        <f t="shared" si="2"/>
        <v>234098799458</v>
      </c>
      <c r="G15" s="282">
        <v>10753.968253968254</v>
      </c>
      <c r="H15" s="259">
        <v>4.45794662494167E11</v>
      </c>
      <c r="I15" s="282">
        <f t="shared" si="3"/>
        <v>20478.79639</v>
      </c>
      <c r="J15" s="302">
        <v>43.505</v>
      </c>
      <c r="K15" s="303">
        <v>500370.0</v>
      </c>
      <c r="L15" s="304">
        <f t="shared" si="4"/>
        <v>193193.8577</v>
      </c>
      <c r="M15" s="305">
        <v>0.79</v>
      </c>
      <c r="N15" s="306">
        <v>6.43</v>
      </c>
      <c r="O15" s="307">
        <v>78.0</v>
      </c>
      <c r="P15" s="278" t="s">
        <v>273</v>
      </c>
      <c r="Q15" s="257" t="s">
        <v>274</v>
      </c>
      <c r="R15" s="257" t="s">
        <v>275</v>
      </c>
      <c r="S15" s="312">
        <f t="shared" si="5"/>
        <v>0</v>
      </c>
      <c r="T15" s="298"/>
    </row>
    <row r="16" ht="22.5" customHeight="1">
      <c r="A16" s="257" t="s">
        <v>84</v>
      </c>
      <c r="B16" s="319" t="s">
        <v>697</v>
      </c>
      <c r="C16" s="314" t="s">
        <v>698</v>
      </c>
      <c r="D16" s="256" t="s">
        <v>212</v>
      </c>
      <c r="E16" s="315">
        <f t="shared" si="1"/>
        <v>31745420.39</v>
      </c>
      <c r="F16" s="281">
        <f t="shared" si="2"/>
        <v>342648981987</v>
      </c>
      <c r="G16" s="282">
        <v>10793.650793650793</v>
      </c>
      <c r="H16" s="259">
        <v>6.26063516049016E11</v>
      </c>
      <c r="I16" s="282">
        <f t="shared" si="3"/>
        <v>19721.38054</v>
      </c>
      <c r="J16" s="302">
        <v>72.005</v>
      </c>
      <c r="K16" s="303">
        <v>440878.0</v>
      </c>
      <c r="L16" s="304">
        <f t="shared" si="4"/>
        <v>170223.8776</v>
      </c>
      <c r="M16" s="305">
        <v>0.829</v>
      </c>
      <c r="N16" s="306">
        <v>3.91</v>
      </c>
      <c r="O16" s="307">
        <v>730.0</v>
      </c>
      <c r="P16" s="278" t="s">
        <v>215</v>
      </c>
      <c r="Q16" s="257" t="s">
        <v>216</v>
      </c>
      <c r="R16" s="257" t="s">
        <v>217</v>
      </c>
      <c r="S16" s="312">
        <f t="shared" si="5"/>
        <v>7264158418</v>
      </c>
      <c r="T16" s="298">
        <v>0.0212</v>
      </c>
    </row>
    <row r="17" ht="22.5" customHeight="1">
      <c r="A17" s="257" t="s">
        <v>84</v>
      </c>
      <c r="B17" s="320" t="s">
        <v>627</v>
      </c>
      <c r="C17" s="321" t="s">
        <v>628</v>
      </c>
      <c r="D17" s="256" t="s">
        <v>311</v>
      </c>
      <c r="E17" s="322">
        <f t="shared" si="1"/>
        <v>42672208.04</v>
      </c>
      <c r="F17" s="281">
        <f t="shared" si="2"/>
        <v>313268193944</v>
      </c>
      <c r="G17" s="282">
        <v>7341.269841269841</v>
      </c>
      <c r="H17" s="259">
        <v>7.24141172136111E11</v>
      </c>
      <c r="I17" s="282">
        <f t="shared" si="3"/>
        <v>16969.85475</v>
      </c>
      <c r="J17" s="302">
        <v>98.945</v>
      </c>
      <c r="K17" s="303">
        <v>431272.0</v>
      </c>
      <c r="L17" s="304">
        <f t="shared" si="4"/>
        <v>166514.9817</v>
      </c>
      <c r="M17" s="305">
        <v>0.753</v>
      </c>
      <c r="N17" s="306">
        <v>4.79</v>
      </c>
      <c r="O17" s="307">
        <v>76.0</v>
      </c>
      <c r="P17" s="278" t="s">
        <v>314</v>
      </c>
      <c r="Q17" s="257" t="s">
        <v>315</v>
      </c>
      <c r="R17" s="255" t="s">
        <v>316</v>
      </c>
      <c r="S17" s="308">
        <f t="shared" si="5"/>
        <v>3790545147</v>
      </c>
      <c r="T17" s="298">
        <v>0.0121</v>
      </c>
    </row>
    <row r="18" ht="22.5" customHeight="1">
      <c r="A18" s="257" t="s">
        <v>84</v>
      </c>
      <c r="B18" s="319" t="s">
        <v>107</v>
      </c>
      <c r="C18" s="314" t="s">
        <v>108</v>
      </c>
      <c r="D18" s="256" t="s">
        <v>100</v>
      </c>
      <c r="E18" s="315">
        <f t="shared" si="1"/>
        <v>62265520.75</v>
      </c>
      <c r="F18" s="281">
        <f t="shared" si="2"/>
        <v>793144133363</v>
      </c>
      <c r="G18" s="282">
        <v>12738.095238095239</v>
      </c>
      <c r="H18" s="281">
        <v>1.16592187604375E12</v>
      </c>
      <c r="I18" s="282">
        <f t="shared" si="3"/>
        <v>18725</v>
      </c>
      <c r="J18" s="302">
        <v>147.47</v>
      </c>
      <c r="K18" s="337">
        <v>422225.0</v>
      </c>
      <c r="L18" s="304">
        <f t="shared" si="4"/>
        <v>163021.917</v>
      </c>
      <c r="M18" s="305">
        <v>0.903</v>
      </c>
      <c r="N18" s="306">
        <v>7.18</v>
      </c>
      <c r="O18" s="307">
        <v>74.0</v>
      </c>
      <c r="P18" s="278" t="s">
        <v>103</v>
      </c>
      <c r="Q18" s="257" t="s">
        <v>104</v>
      </c>
      <c r="R18" s="257" t="s">
        <v>105</v>
      </c>
      <c r="S18" s="312">
        <f t="shared" si="5"/>
        <v>19273402441</v>
      </c>
      <c r="T18" s="298">
        <v>0.0243</v>
      </c>
    </row>
    <row r="19" ht="22.5" customHeight="1">
      <c r="A19" s="257" t="s">
        <v>84</v>
      </c>
      <c r="B19" s="317" t="s">
        <v>474</v>
      </c>
      <c r="C19" s="310" t="s">
        <v>475</v>
      </c>
      <c r="D19" s="256" t="s">
        <v>567</v>
      </c>
      <c r="E19" s="311">
        <f t="shared" si="1"/>
        <v>12224862.27</v>
      </c>
      <c r="F19" s="281">
        <f t="shared" si="2"/>
        <v>44921517688</v>
      </c>
      <c r="G19" s="282">
        <v>3674.6031746031745</v>
      </c>
      <c r="H19" s="281">
        <v>1.271278950571972E11</v>
      </c>
      <c r="I19" s="282">
        <f t="shared" si="3"/>
        <v>10399.12698</v>
      </c>
      <c r="J19" s="302">
        <v>45.815</v>
      </c>
      <c r="K19" s="303">
        <v>266831.0</v>
      </c>
      <c r="L19" s="304">
        <f t="shared" si="4"/>
        <v>103023.9828</v>
      </c>
      <c r="M19" s="305">
        <v>0.735</v>
      </c>
      <c r="N19" s="306">
        <v>3.26</v>
      </c>
      <c r="O19" s="307">
        <v>732.0</v>
      </c>
      <c r="P19" s="278" t="s">
        <v>570</v>
      </c>
      <c r="Q19" s="257" t="s">
        <v>571</v>
      </c>
      <c r="R19" s="257" t="s">
        <v>572</v>
      </c>
      <c r="S19" s="312">
        <f t="shared" si="5"/>
        <v>0</v>
      </c>
      <c r="T19" s="298"/>
    </row>
    <row r="20" ht="22.5" customHeight="1">
      <c r="A20" s="257" t="s">
        <v>84</v>
      </c>
      <c r="B20" s="314" t="s">
        <v>667</v>
      </c>
      <c r="C20" s="314" t="s">
        <v>668</v>
      </c>
      <c r="D20" s="256" t="s">
        <v>591</v>
      </c>
      <c r="E20" s="315">
        <f t="shared" si="1"/>
        <v>10233102.88</v>
      </c>
      <c r="F20" s="281">
        <f t="shared" si="2"/>
        <v>37196516818</v>
      </c>
      <c r="G20" s="282">
        <v>3634.9206349206347</v>
      </c>
      <c r="H20" s="281">
        <v>1.0043059540799998E11</v>
      </c>
      <c r="I20" s="282">
        <f t="shared" si="3"/>
        <v>9814.285714</v>
      </c>
      <c r="J20" s="302">
        <v>40.04</v>
      </c>
      <c r="K20" s="303">
        <v>255572.0</v>
      </c>
      <c r="L20" s="304">
        <f t="shared" si="4"/>
        <v>98676.86034</v>
      </c>
      <c r="M20" s="305">
        <v>0.701</v>
      </c>
      <c r="N20" s="306">
        <v>5.58</v>
      </c>
      <c r="O20" s="307">
        <v>79.0</v>
      </c>
      <c r="P20" s="278" t="s">
        <v>594</v>
      </c>
      <c r="Q20" s="257" t="s">
        <v>595</v>
      </c>
      <c r="R20" s="255" t="s">
        <v>596</v>
      </c>
      <c r="S20" s="308">
        <f t="shared" si="5"/>
        <v>0</v>
      </c>
      <c r="T20" s="336"/>
    </row>
    <row r="21" ht="22.5" customHeight="1">
      <c r="A21" s="257" t="s">
        <v>84</v>
      </c>
      <c r="B21" s="317" t="s">
        <v>24</v>
      </c>
      <c r="C21" s="310" t="s">
        <v>25</v>
      </c>
      <c r="D21" s="256" t="s">
        <v>241</v>
      </c>
      <c r="E21" s="311">
        <f t="shared" si="1"/>
        <v>20712945.73</v>
      </c>
      <c r="F21" s="281">
        <f t="shared" si="2"/>
        <v>480014297870</v>
      </c>
      <c r="G21" s="282">
        <v>23174.603174603173</v>
      </c>
      <c r="H21" s="281">
        <v>6.336188731881904E11</v>
      </c>
      <c r="I21" s="282">
        <f t="shared" si="3"/>
        <v>30590.47619</v>
      </c>
      <c r="J21" s="302">
        <v>122.83</v>
      </c>
      <c r="K21" s="303">
        <v>168631.0</v>
      </c>
      <c r="L21" s="304">
        <f t="shared" si="4"/>
        <v>65108.76636</v>
      </c>
      <c r="M21" s="305">
        <v>0.88</v>
      </c>
      <c r="N21" s="306">
        <v>8.72</v>
      </c>
      <c r="O21" s="307">
        <v>748.0</v>
      </c>
      <c r="P21" s="278" t="s">
        <v>244</v>
      </c>
      <c r="Q21" s="257" t="s">
        <v>245</v>
      </c>
      <c r="R21" s="255" t="s">
        <v>241</v>
      </c>
      <c r="S21" s="308">
        <f t="shared" si="5"/>
        <v>5616167285</v>
      </c>
      <c r="T21" s="298">
        <v>0.0117</v>
      </c>
    </row>
    <row r="22" ht="22.5" customHeight="1">
      <c r="A22" s="257" t="s">
        <v>84</v>
      </c>
      <c r="B22" s="319" t="s">
        <v>348</v>
      </c>
      <c r="C22" s="314" t="s">
        <v>349</v>
      </c>
      <c r="D22" s="264" t="s">
        <v>891</v>
      </c>
      <c r="E22" s="315">
        <f t="shared" si="1"/>
        <v>1724423.085</v>
      </c>
      <c r="F22" s="281">
        <f t="shared" si="2"/>
        <v>4215256430</v>
      </c>
      <c r="G22" s="282">
        <v>2444.4444444444443</v>
      </c>
      <c r="H22" s="281">
        <v>1.1381192361E10</v>
      </c>
      <c r="I22" s="282">
        <f t="shared" si="3"/>
        <v>6600</v>
      </c>
      <c r="J22" s="302">
        <v>11.165</v>
      </c>
      <c r="K22" s="303">
        <v>154449.0</v>
      </c>
      <c r="L22" s="304">
        <f t="shared" si="4"/>
        <v>59633.0678</v>
      </c>
      <c r="M22" s="305">
        <v>0.708</v>
      </c>
      <c r="N22" s="306">
        <v>2.56</v>
      </c>
      <c r="O22" s="307">
        <v>733.0</v>
      </c>
      <c r="P22" s="278" t="s">
        <v>894</v>
      </c>
      <c r="Q22" s="257" t="s">
        <v>895</v>
      </c>
      <c r="R22" s="257" t="s">
        <v>896</v>
      </c>
      <c r="S22" s="312">
        <f t="shared" si="5"/>
        <v>0</v>
      </c>
      <c r="T22" s="298"/>
    </row>
    <row r="23" ht="22.5" customHeight="1">
      <c r="A23" s="257" t="s">
        <v>84</v>
      </c>
      <c r="B23" s="317" t="s">
        <v>727</v>
      </c>
      <c r="C23" s="310" t="s">
        <v>728</v>
      </c>
      <c r="D23" s="256" t="s">
        <v>944</v>
      </c>
      <c r="E23" s="311">
        <f t="shared" si="1"/>
        <v>2898501.76</v>
      </c>
      <c r="F23" s="281">
        <f t="shared" si="2"/>
        <v>1150199111</v>
      </c>
      <c r="G23" s="282">
        <v>396.8253968253968</v>
      </c>
      <c r="H23" s="281">
        <v>2.7949838400000005E9</v>
      </c>
      <c r="I23" s="282">
        <f t="shared" si="3"/>
        <v>964.2857143</v>
      </c>
      <c r="J23" s="302">
        <v>67.76</v>
      </c>
      <c r="K23" s="303">
        <v>42776.0</v>
      </c>
      <c r="L23" s="304">
        <f t="shared" si="4"/>
        <v>16515.89915</v>
      </c>
      <c r="M23" s="332">
        <v>0.388</v>
      </c>
      <c r="N23" s="306">
        <v>0.67</v>
      </c>
      <c r="O23" s="307">
        <v>700.0</v>
      </c>
      <c r="P23" s="278" t="s">
        <v>947</v>
      </c>
      <c r="Q23" s="257" t="s">
        <v>948</v>
      </c>
      <c r="R23" s="257" t="s">
        <v>949</v>
      </c>
      <c r="S23" s="312">
        <f t="shared" si="5"/>
        <v>0</v>
      </c>
      <c r="T23" s="298"/>
    </row>
    <row r="24" ht="22.5" customHeight="1">
      <c r="A24" s="257" t="s">
        <v>84</v>
      </c>
      <c r="B24" s="319" t="s">
        <v>101</v>
      </c>
      <c r="C24" s="314" t="s">
        <v>102</v>
      </c>
      <c r="D24" s="256" t="s">
        <v>738</v>
      </c>
      <c r="E24" s="315">
        <f t="shared" si="1"/>
        <v>1638021</v>
      </c>
      <c r="F24" s="281">
        <f t="shared" si="2"/>
        <v>15405197500</v>
      </c>
      <c r="G24" s="282">
        <v>9404.761904761905</v>
      </c>
      <c r="H24" s="259">
        <v>2.912920165E10</v>
      </c>
      <c r="I24" s="282">
        <f t="shared" si="3"/>
        <v>17783.1674</v>
      </c>
      <c r="J24" s="302">
        <v>107.8</v>
      </c>
      <c r="K24" s="303">
        <v>15195.0</v>
      </c>
      <c r="L24" s="304">
        <f t="shared" si="4"/>
        <v>5866.81989</v>
      </c>
      <c r="M24" s="305">
        <v>0.705</v>
      </c>
      <c r="N24" s="306">
        <v>4.09</v>
      </c>
      <c r="O24" s="307">
        <v>751.0</v>
      </c>
      <c r="P24" s="278" t="s">
        <v>741</v>
      </c>
      <c r="Q24" s="257" t="s">
        <v>742</v>
      </c>
      <c r="R24" s="255" t="s">
        <v>743</v>
      </c>
      <c r="S24" s="312">
        <f t="shared" si="5"/>
        <v>0</v>
      </c>
      <c r="T24" s="298"/>
    </row>
    <row r="25" ht="22.5" customHeight="1">
      <c r="A25" s="271" t="s">
        <v>84</v>
      </c>
      <c r="B25" s="320" t="s">
        <v>538</v>
      </c>
      <c r="C25" s="321" t="s">
        <v>539</v>
      </c>
      <c r="D25" s="297" t="s">
        <v>1021</v>
      </c>
      <c r="E25" s="338">
        <v>76045.20000000001</v>
      </c>
      <c r="F25" s="339">
        <v>1.2342256666666669E8</v>
      </c>
      <c r="G25" s="340">
        <v>1623.015873015873</v>
      </c>
      <c r="H25" s="339">
        <v>3.2830402733333343E8</v>
      </c>
      <c r="I25" s="282">
        <f t="shared" si="3"/>
        <v>4317.222222</v>
      </c>
      <c r="J25" s="341">
        <v>46.2</v>
      </c>
      <c r="K25" s="304">
        <v>1646.0</v>
      </c>
      <c r="L25" s="304">
        <v>635.523892</v>
      </c>
      <c r="M25" s="342">
        <v>0.72</v>
      </c>
      <c r="N25" s="343">
        <v>2.47</v>
      </c>
      <c r="O25" s="344">
        <v>780.0</v>
      </c>
      <c r="P25" s="271" t="s">
        <v>1024</v>
      </c>
      <c r="Q25" s="271" t="s">
        <v>1025</v>
      </c>
      <c r="R25" s="257" t="s">
        <v>1021</v>
      </c>
      <c r="S25" s="325">
        <v>0.0</v>
      </c>
      <c r="T25" s="326"/>
    </row>
    <row r="26" ht="22.5" customHeight="1">
      <c r="A26" s="257" t="s">
        <v>1045</v>
      </c>
      <c r="B26" s="323"/>
      <c r="C26" s="323"/>
      <c r="D26" s="279" t="s">
        <v>1044</v>
      </c>
      <c r="E26" s="280">
        <f>SUM(Quia[Population])</f>
        <v>1168891711</v>
      </c>
      <c r="F26" s="281">
        <f>SUM(Quia[GDP (Nominal)])</f>
        <v>6275135025442</v>
      </c>
      <c r="G26" s="282">
        <f>sum(Quia[[#TOTALS],[GDP (Nominal)]]/Quia[[#TOTALS],[Population]])</f>
        <v>5368.448562</v>
      </c>
      <c r="H26" s="281">
        <f>SUM(Quia[GDP (PPP)])</f>
        <v>14080228808707</v>
      </c>
      <c r="I26" s="282">
        <f>sum(Quia[[#TOTALS],[GDP (PPP)]]/Quia[[#TOTALS],[Population]])</f>
        <v>12045.79404</v>
      </c>
      <c r="J26" s="324">
        <f>sum(Quia[[#TOTALS],[Population]]/Quia[[#TOTALS],[Area (Km)]])</f>
        <v>39.06901089</v>
      </c>
      <c r="K26" s="304">
        <f>SUM(Quia[Area (Km)])</f>
        <v>29918641</v>
      </c>
      <c r="L26" s="304">
        <f>SUM(Quia[Area (Mi)])</f>
        <v>11551647.13</v>
      </c>
      <c r="M26" s="257" t="s">
        <v>1045</v>
      </c>
      <c r="N26" s="257" t="s">
        <v>1045</v>
      </c>
      <c r="O26" s="257" t="s">
        <v>1045</v>
      </c>
      <c r="P26" s="257" t="s">
        <v>1045</v>
      </c>
      <c r="Q26" s="257" t="s">
        <v>186</v>
      </c>
      <c r="R26" s="278"/>
      <c r="S26" s="325">
        <f>SUM(Quia[Military])</f>
        <v>126911824068</v>
      </c>
      <c r="T26" s="326"/>
    </row>
    <row r="27">
      <c r="A27" s="75"/>
      <c r="B27" s="74"/>
      <c r="C27" s="74"/>
      <c r="D27" s="72"/>
      <c r="E27" s="73"/>
      <c r="F27" s="76"/>
      <c r="G27" s="77"/>
      <c r="H27" s="76"/>
      <c r="I27" s="77"/>
      <c r="J27" s="78"/>
      <c r="K27" s="76"/>
      <c r="L27" s="76"/>
      <c r="M27" s="72"/>
      <c r="N27" s="72"/>
      <c r="O27" s="72"/>
      <c r="P27" s="75"/>
      <c r="Q27" s="75"/>
      <c r="R27" s="79"/>
      <c r="S27" s="79"/>
      <c r="T27" s="327"/>
    </row>
    <row r="28">
      <c r="A28" s="85"/>
      <c r="B28" s="84"/>
      <c r="C28" s="84"/>
      <c r="D28" s="72"/>
      <c r="E28" s="83"/>
      <c r="F28" s="76"/>
      <c r="G28" s="83"/>
      <c r="H28" s="76"/>
      <c r="I28" s="83"/>
      <c r="J28" s="86"/>
      <c r="K28" s="76"/>
      <c r="L28" s="76"/>
      <c r="M28" s="87"/>
      <c r="N28" s="72"/>
      <c r="O28" s="76"/>
      <c r="P28" s="79"/>
      <c r="Q28" s="88"/>
      <c r="R28" s="79"/>
      <c r="S28" s="88"/>
      <c r="T28" s="328"/>
    </row>
    <row r="29">
      <c r="A29" s="85"/>
      <c r="B29" s="84"/>
      <c r="C29" s="84"/>
      <c r="D29" s="72"/>
      <c r="E29" s="83"/>
      <c r="F29" s="76"/>
      <c r="G29" s="91"/>
      <c r="H29" s="76"/>
      <c r="I29" s="91"/>
      <c r="J29" s="86"/>
      <c r="K29" s="76"/>
      <c r="L29" s="76"/>
      <c r="M29" s="87"/>
      <c r="N29" s="72"/>
      <c r="O29" s="76"/>
      <c r="P29" s="79"/>
      <c r="Q29" s="88"/>
      <c r="R29" s="88"/>
      <c r="S29" s="88"/>
      <c r="T29" s="328"/>
    </row>
    <row r="30">
      <c r="A30" s="85"/>
      <c r="B30" s="84"/>
      <c r="C30" s="84"/>
      <c r="D30" s="86"/>
      <c r="E30" s="83"/>
      <c r="F30" s="76"/>
      <c r="G30" s="83"/>
      <c r="H30" s="76"/>
      <c r="I30" s="83"/>
      <c r="J30" s="86"/>
      <c r="K30" s="76"/>
      <c r="L30" s="76"/>
      <c r="M30" s="87"/>
      <c r="N30" s="72"/>
      <c r="O30" s="76"/>
      <c r="P30" s="79"/>
      <c r="Q30" s="88"/>
      <c r="R30" s="88"/>
      <c r="S30" s="88"/>
      <c r="T30" s="328"/>
    </row>
    <row r="31">
      <c r="A31" s="85"/>
      <c r="B31" s="84"/>
      <c r="C31" s="84"/>
      <c r="D31" s="86"/>
      <c r="E31" s="83"/>
      <c r="F31" s="76"/>
      <c r="G31" s="72"/>
      <c r="H31" s="76"/>
      <c r="I31" s="72"/>
      <c r="J31" s="86"/>
      <c r="K31" s="76"/>
      <c r="L31" s="76"/>
      <c r="M31" s="87"/>
      <c r="N31" s="72"/>
      <c r="O31" s="76"/>
      <c r="P31" s="79"/>
      <c r="Q31" s="88"/>
      <c r="R31" s="88"/>
      <c r="S31" s="88"/>
      <c r="T31" s="328"/>
    </row>
    <row r="32">
      <c r="A32" s="85"/>
      <c r="B32" s="84"/>
      <c r="C32" s="84"/>
      <c r="D32" s="86"/>
      <c r="E32" s="83"/>
      <c r="F32" s="76"/>
      <c r="G32" s="72"/>
      <c r="H32" s="76"/>
      <c r="I32" s="72"/>
      <c r="J32" s="86"/>
      <c r="K32" s="76"/>
      <c r="L32" s="76"/>
      <c r="M32" s="87"/>
      <c r="N32" s="72"/>
      <c r="O32" s="76"/>
      <c r="P32" s="79"/>
      <c r="Q32" s="88"/>
      <c r="R32" s="88"/>
      <c r="S32" s="88"/>
      <c r="T32" s="328"/>
    </row>
    <row r="33">
      <c r="A33" s="85"/>
      <c r="B33" s="84"/>
      <c r="C33" s="84"/>
      <c r="D33" s="86"/>
      <c r="E33" s="83"/>
      <c r="F33" s="76"/>
      <c r="G33" s="72"/>
      <c r="H33" s="76"/>
      <c r="I33" s="72"/>
      <c r="J33" s="86"/>
      <c r="K33" s="76"/>
      <c r="L33" s="76"/>
      <c r="M33" s="87"/>
      <c r="N33" s="72"/>
      <c r="O33" s="76"/>
      <c r="P33" s="79"/>
      <c r="Q33" s="88"/>
      <c r="R33" s="88"/>
      <c r="S33" s="88"/>
      <c r="T33" s="328"/>
    </row>
    <row r="34">
      <c r="A34" s="85"/>
      <c r="B34" s="84"/>
      <c r="C34" s="84"/>
      <c r="D34" s="86"/>
      <c r="E34" s="83"/>
      <c r="F34" s="76"/>
      <c r="G34" s="72"/>
      <c r="H34" s="76"/>
      <c r="I34" s="72"/>
      <c r="J34" s="86"/>
      <c r="K34" s="76"/>
      <c r="L34" s="76"/>
      <c r="M34" s="87"/>
      <c r="N34" s="72"/>
      <c r="O34" s="76"/>
      <c r="P34" s="79"/>
      <c r="Q34" s="88"/>
      <c r="R34" s="88"/>
      <c r="S34" s="88"/>
      <c r="T34" s="328"/>
    </row>
    <row r="35">
      <c r="A35" s="85"/>
      <c r="B35" s="84"/>
      <c r="C35" s="84"/>
      <c r="D35" s="86"/>
      <c r="E35" s="83"/>
      <c r="F35" s="76"/>
      <c r="G35" s="72"/>
      <c r="H35" s="76"/>
      <c r="I35" s="72"/>
      <c r="J35" s="86"/>
      <c r="K35" s="76"/>
      <c r="L35" s="76"/>
      <c r="M35" s="87"/>
      <c r="N35" s="72"/>
      <c r="O35" s="76"/>
      <c r="P35" s="79"/>
      <c r="Q35" s="88"/>
      <c r="R35" s="88"/>
      <c r="S35" s="88"/>
      <c r="T35" s="328"/>
    </row>
    <row r="36">
      <c r="A36" s="85"/>
      <c r="B36" s="84"/>
      <c r="C36" s="84"/>
      <c r="D36" s="86"/>
      <c r="E36" s="83"/>
      <c r="F36" s="76"/>
      <c r="G36" s="72"/>
      <c r="H36" s="76"/>
      <c r="I36" s="72"/>
      <c r="J36" s="86"/>
      <c r="K36" s="76"/>
      <c r="L36" s="76"/>
      <c r="M36" s="87"/>
      <c r="N36" s="72"/>
      <c r="O36" s="76"/>
      <c r="P36" s="79"/>
      <c r="Q36" s="88"/>
      <c r="R36" s="88"/>
      <c r="S36" s="88"/>
      <c r="T36" s="328"/>
    </row>
    <row r="37">
      <c r="A37" s="85"/>
      <c r="B37" s="84"/>
      <c r="C37" s="84"/>
      <c r="D37" s="86"/>
      <c r="E37" s="83"/>
      <c r="F37" s="76"/>
      <c r="G37" s="72"/>
      <c r="H37" s="76"/>
      <c r="I37" s="72"/>
      <c r="J37" s="86"/>
      <c r="K37" s="76"/>
      <c r="L37" s="76"/>
      <c r="M37" s="87"/>
      <c r="N37" s="72"/>
      <c r="O37" s="76"/>
      <c r="P37" s="79"/>
      <c r="Q37" s="88"/>
      <c r="R37" s="88"/>
      <c r="S37" s="88"/>
      <c r="T37" s="328"/>
    </row>
  </sheetData>
  <dataValidations>
    <dataValidation type="custom" allowBlank="1" showDropDown="1" sqref="F2:I25">
      <formula1>AND(ISNUMBER(F2),(NOT(OR(NOT(ISERROR(DATEVALUE(F2))), AND(ISNUMBER(F2), LEFT(CELL("format", F2))="D")))))</formula1>
    </dataValidation>
    <dataValidation allowBlank="1" showDropDown="1" sqref="D2:D25"/>
  </dataValidations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3" max="3" width="14.75"/>
    <col customWidth="1" min="4" max="4" width="9.25"/>
    <col customWidth="1" min="5" max="5" width="22.63"/>
    <col customWidth="1" min="7" max="7" width="20.5"/>
  </cols>
  <sheetData>
    <row r="1" ht="22.5" customHeight="1">
      <c r="A1" s="345" t="s">
        <v>4</v>
      </c>
      <c r="B1" s="3" t="s">
        <v>10</v>
      </c>
      <c r="C1" s="346" t="s">
        <v>1</v>
      </c>
      <c r="D1" s="3" t="s">
        <v>9</v>
      </c>
      <c r="E1" s="347" t="s">
        <v>5</v>
      </c>
      <c r="F1" s="3" t="s">
        <v>6</v>
      </c>
      <c r="G1" s="347" t="s">
        <v>7</v>
      </c>
    </row>
    <row r="2" ht="22.5" customHeight="1">
      <c r="A2" s="268" t="s">
        <v>33</v>
      </c>
      <c r="B2" s="304">
        <v>1.773116E7</v>
      </c>
      <c r="C2" s="348">
        <v>1.3896764777499E9</v>
      </c>
      <c r="D2" s="324">
        <v>78.37482024582148</v>
      </c>
      <c r="E2" s="281">
        <v>1.2830997338805521E13</v>
      </c>
      <c r="F2" s="349">
        <v>9233.08233552379</v>
      </c>
      <c r="G2" s="339">
        <v>2.434777960244704E13</v>
      </c>
    </row>
    <row r="3" ht="22.5" customHeight="1">
      <c r="A3" s="268" t="s">
        <v>40</v>
      </c>
      <c r="B3" s="304">
        <v>1.6973205E7</v>
      </c>
      <c r="C3" s="348">
        <v>1.2873235833447E9</v>
      </c>
      <c r="D3" s="324">
        <v>75.84446092206511</v>
      </c>
      <c r="E3" s="281">
        <v>9.092314488616951E12</v>
      </c>
      <c r="F3" s="349">
        <v>7062.959621227065</v>
      </c>
      <c r="G3" s="339">
        <v>1.7876025414090965E13</v>
      </c>
    </row>
    <row r="4" ht="22.5" customHeight="1">
      <c r="A4" s="268" t="s">
        <v>84</v>
      </c>
      <c r="B4" s="304">
        <v>2.9918641E7</v>
      </c>
      <c r="C4" s="348">
        <v>1.1688917111450002E9</v>
      </c>
      <c r="D4" s="324">
        <v>39.069010893409235</v>
      </c>
      <c r="E4" s="281">
        <v>6.275135025442438E12</v>
      </c>
      <c r="F4" s="349">
        <v>5368.448561668355</v>
      </c>
      <c r="G4" s="339">
        <v>1.4080228808707164E13</v>
      </c>
    </row>
    <row r="5" ht="22.5" customHeight="1">
      <c r="A5" s="268" t="s">
        <v>47</v>
      </c>
      <c r="B5" s="304">
        <v>1.7989207E7</v>
      </c>
      <c r="C5" s="348">
        <v>1.0700779506522003E9</v>
      </c>
      <c r="D5" s="324">
        <v>59.48444256893594</v>
      </c>
      <c r="E5" s="281">
        <v>5.745716033803905E12</v>
      </c>
      <c r="F5" s="349">
        <v>5369.436899715536</v>
      </c>
      <c r="G5" s="339">
        <v>1.4211450824581926E13</v>
      </c>
    </row>
    <row r="6" ht="22.5" customHeight="1">
      <c r="A6" s="268" t="s">
        <v>54</v>
      </c>
      <c r="B6" s="304">
        <v>1.9736033E7</v>
      </c>
      <c r="C6" s="348">
        <v>1.0202428086160002E9</v>
      </c>
      <c r="D6" s="324">
        <v>51.69442149878854</v>
      </c>
      <c r="E6" s="281">
        <v>1.3577578364819207E13</v>
      </c>
      <c r="F6" s="349">
        <v>13308.183356114738</v>
      </c>
      <c r="G6" s="339">
        <v>2.061905492826982E13</v>
      </c>
    </row>
    <row r="7" ht="22.5" customHeight="1">
      <c r="A7" s="292" t="s">
        <v>26</v>
      </c>
      <c r="B7" s="350">
        <v>1.3816821E7</v>
      </c>
      <c r="C7" s="351">
        <v>5.382860635454999E8</v>
      </c>
      <c r="D7" s="352">
        <v>38.958749161294044</v>
      </c>
      <c r="E7" s="353">
        <v>1.3288249889281564E13</v>
      </c>
      <c r="F7" s="354">
        <v>24686.223161262176</v>
      </c>
      <c r="G7" s="355">
        <v>1.3715532092913268E13</v>
      </c>
    </row>
    <row r="8" ht="22.5" customHeight="1">
      <c r="A8" s="268" t="s">
        <v>121</v>
      </c>
      <c r="B8" s="304">
        <v>9486025.0</v>
      </c>
      <c r="C8" s="348">
        <v>2.760590501153E8</v>
      </c>
      <c r="D8" s="324">
        <v>29.101657450333516</v>
      </c>
      <c r="E8" s="281">
        <v>1.951426899213992E12</v>
      </c>
      <c r="F8" s="349">
        <v>7068.874932370269</v>
      </c>
      <c r="G8" s="339">
        <v>4.3210390883758135E12</v>
      </c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6.38"/>
    <col customWidth="1" min="3" max="3" width="3.5"/>
    <col customWidth="1" min="5" max="5" width="4.13"/>
    <col customWidth="1" min="6" max="6" width="14.75"/>
    <col customWidth="1" min="7" max="7" width="21.38"/>
    <col customWidth="1" min="8" max="8" width="16.5"/>
    <col customWidth="1" min="9" max="9" width="16.63"/>
    <col customWidth="1" min="10" max="10" width="15.13"/>
    <col customWidth="1" min="11" max="11" width="3.38"/>
  </cols>
  <sheetData>
    <row r="1" ht="22.5" customHeight="1">
      <c r="A1" s="356" t="s">
        <v>4</v>
      </c>
      <c r="B1" s="1" t="s">
        <v>1047</v>
      </c>
      <c r="C1" s="357" t="s">
        <v>1337</v>
      </c>
      <c r="D1" s="3" t="s">
        <v>10</v>
      </c>
      <c r="E1" s="358" t="s">
        <v>1338</v>
      </c>
      <c r="F1" s="346" t="s">
        <v>1</v>
      </c>
      <c r="G1" s="347" t="s">
        <v>5</v>
      </c>
      <c r="H1" s="3" t="s">
        <v>6</v>
      </c>
      <c r="I1" s="347" t="s">
        <v>7</v>
      </c>
      <c r="J1" s="359" t="s">
        <v>1339</v>
      </c>
      <c r="K1" s="3" t="s">
        <v>9</v>
      </c>
    </row>
    <row r="2" ht="22.5" customHeight="1">
      <c r="A2" s="41" t="s">
        <v>47</v>
      </c>
      <c r="B2" s="41" t="s">
        <v>1055</v>
      </c>
      <c r="C2" s="360">
        <v>20.0</v>
      </c>
      <c r="D2" s="361">
        <v>2524625.0</v>
      </c>
      <c r="E2" s="362">
        <v>19.0</v>
      </c>
      <c r="F2" s="363">
        <v>1.11363641E8</v>
      </c>
      <c r="G2" s="364">
        <v>5.23519823268E11</v>
      </c>
      <c r="H2" s="365">
        <v>1.8542825827E11</v>
      </c>
      <c r="I2" s="366">
        <v>1665.0</v>
      </c>
      <c r="J2" s="366">
        <v>7.0</v>
      </c>
      <c r="K2" s="367">
        <v>44.11</v>
      </c>
    </row>
    <row r="3" ht="22.5" customHeight="1">
      <c r="A3" s="41" t="s">
        <v>47</v>
      </c>
      <c r="B3" s="41" t="s">
        <v>1056</v>
      </c>
      <c r="C3" s="360">
        <v>3.0</v>
      </c>
      <c r="D3" s="361">
        <v>9977889.0</v>
      </c>
      <c r="E3" s="362">
        <v>2.0</v>
      </c>
      <c r="F3" s="363">
        <v>7.15830862E8</v>
      </c>
      <c r="G3" s="364">
        <v>1.2511112242955E13</v>
      </c>
      <c r="H3" s="365">
        <v>5.201878259196E12</v>
      </c>
      <c r="I3" s="366">
        <v>7267.0</v>
      </c>
      <c r="J3" s="366">
        <v>6.0</v>
      </c>
      <c r="K3" s="367">
        <v>71.74</v>
      </c>
    </row>
    <row r="4" ht="22.5" customHeight="1">
      <c r="A4" s="41" t="s">
        <v>47</v>
      </c>
      <c r="B4" s="41" t="s">
        <v>1057</v>
      </c>
      <c r="C4" s="360">
        <v>8.0</v>
      </c>
      <c r="D4" s="361">
        <v>5821227.0</v>
      </c>
      <c r="E4" s="362">
        <v>10.0</v>
      </c>
      <c r="F4" s="363">
        <v>2.63489404E8</v>
      </c>
      <c r="G4" s="364">
        <v>1.43370634645E12</v>
      </c>
      <c r="H4" s="365">
        <v>4.55715420918E11</v>
      </c>
      <c r="I4" s="366">
        <v>1730.0</v>
      </c>
      <c r="J4" s="366">
        <v>13.0</v>
      </c>
      <c r="K4" s="367">
        <v>45.26</v>
      </c>
    </row>
    <row r="5" ht="22.5" customHeight="1">
      <c r="A5" s="41" t="s">
        <v>26</v>
      </c>
      <c r="B5" s="41" t="s">
        <v>1058</v>
      </c>
      <c r="C5" s="360">
        <v>5.0</v>
      </c>
      <c r="D5" s="361">
        <v>6652554.0</v>
      </c>
      <c r="E5" s="362">
        <v>6.0</v>
      </c>
      <c r="F5" s="363">
        <v>3.2637904E8</v>
      </c>
      <c r="G5" s="364">
        <v>9.101885593677E12</v>
      </c>
      <c r="H5" s="365">
        <v>8.973049140556E12</v>
      </c>
      <c r="I5" s="366">
        <v>27493.0</v>
      </c>
      <c r="J5" s="366">
        <v>5.0</v>
      </c>
      <c r="K5" s="367">
        <v>49.06</v>
      </c>
    </row>
    <row r="6" ht="22.5" customHeight="1">
      <c r="A6" s="41" t="s">
        <v>26</v>
      </c>
      <c r="B6" s="41" t="s">
        <v>1059</v>
      </c>
      <c r="C6" s="360">
        <v>15.0</v>
      </c>
      <c r="D6" s="361">
        <v>3956846.0</v>
      </c>
      <c r="E6" s="362">
        <v>20.0</v>
      </c>
      <c r="F6" s="363">
        <v>1.07817357E8</v>
      </c>
      <c r="G6" s="364">
        <v>2.719380694345E12</v>
      </c>
      <c r="H6" s="365">
        <v>3.076418727213E12</v>
      </c>
      <c r="I6" s="366">
        <v>28534.0</v>
      </c>
      <c r="J6" s="366">
        <v>7.0</v>
      </c>
      <c r="K6" s="367">
        <v>27.25</v>
      </c>
    </row>
    <row r="7" ht="22.5" customHeight="1">
      <c r="A7" s="1" t="s">
        <v>26</v>
      </c>
      <c r="B7" s="1" t="s">
        <v>1060</v>
      </c>
      <c r="C7" s="368">
        <v>17.0</v>
      </c>
      <c r="D7" s="17">
        <v>3207421.0</v>
      </c>
      <c r="E7" s="369">
        <v>21.0</v>
      </c>
      <c r="F7" s="2">
        <v>1.04089667E8</v>
      </c>
      <c r="G7" s="28">
        <v>1.894265804891E12</v>
      </c>
      <c r="H7" s="370">
        <v>1.238782021512E12</v>
      </c>
      <c r="I7" s="371">
        <v>11901.0</v>
      </c>
      <c r="J7" s="371">
        <v>8.0</v>
      </c>
      <c r="K7" s="372">
        <v>32.45</v>
      </c>
    </row>
    <row r="8" ht="22.5" customHeight="1">
      <c r="A8" s="41" t="s">
        <v>54</v>
      </c>
      <c r="B8" s="41" t="s">
        <v>1061</v>
      </c>
      <c r="C8" s="360">
        <v>19.0</v>
      </c>
      <c r="D8" s="361">
        <v>2902984.0</v>
      </c>
      <c r="E8" s="362">
        <v>9.0</v>
      </c>
      <c r="F8" s="363">
        <v>2.70793519E8</v>
      </c>
      <c r="G8" s="364">
        <v>3.843677002271E12</v>
      </c>
      <c r="H8" s="365">
        <v>1.864733753239E12</v>
      </c>
      <c r="I8" s="366">
        <v>6886.0</v>
      </c>
      <c r="J8" s="366">
        <v>5.0</v>
      </c>
      <c r="K8" s="367">
        <v>93.28</v>
      </c>
    </row>
    <row r="9" ht="22.5" customHeight="1">
      <c r="A9" s="41" t="s">
        <v>54</v>
      </c>
      <c r="B9" s="41" t="s">
        <v>1062</v>
      </c>
      <c r="C9" s="360">
        <v>2.0</v>
      </c>
      <c r="D9" s="361">
        <v>1.2671321E7</v>
      </c>
      <c r="E9" s="362">
        <v>7.0</v>
      </c>
      <c r="F9" s="363">
        <v>3.05354539E8</v>
      </c>
      <c r="G9" s="364">
        <v>5.673836855348E12</v>
      </c>
      <c r="H9" s="365">
        <v>3.114569439267E12</v>
      </c>
      <c r="I9" s="366">
        <v>10200.0</v>
      </c>
      <c r="J9" s="366">
        <v>10.0</v>
      </c>
      <c r="K9" s="367">
        <v>24.1</v>
      </c>
    </row>
    <row r="10" ht="22.5" customHeight="1">
      <c r="A10" s="41" t="s">
        <v>54</v>
      </c>
      <c r="B10" s="41" t="s">
        <v>1051</v>
      </c>
      <c r="C10" s="360">
        <v>22.0</v>
      </c>
      <c r="D10" s="361">
        <v>1720149.0</v>
      </c>
      <c r="E10" s="362">
        <v>11.0</v>
      </c>
      <c r="F10" s="363">
        <v>2.50108462E8</v>
      </c>
      <c r="G10" s="364">
        <v>6.725795075492E12</v>
      </c>
      <c r="H10" s="365">
        <v>5.261134872875E12</v>
      </c>
      <c r="I10" s="366">
        <v>21035.0</v>
      </c>
      <c r="J10" s="366">
        <v>7.0</v>
      </c>
      <c r="K10" s="367">
        <v>145.4</v>
      </c>
    </row>
    <row r="11" ht="22.5" customHeight="1">
      <c r="A11" s="1" t="s">
        <v>54</v>
      </c>
      <c r="B11" s="1" t="s">
        <v>1063</v>
      </c>
      <c r="C11" s="368">
        <v>21.0</v>
      </c>
      <c r="D11" s="17">
        <v>2107045.0</v>
      </c>
      <c r="E11" s="369">
        <v>15.0</v>
      </c>
      <c r="F11" s="2">
        <v>1.73380332E8</v>
      </c>
      <c r="G11" s="28">
        <v>4.118858407068E12</v>
      </c>
      <c r="H11" s="370">
        <v>3.239834394859E12</v>
      </c>
      <c r="I11" s="371">
        <v>18686.0</v>
      </c>
      <c r="J11" s="371">
        <v>6.0</v>
      </c>
      <c r="K11" s="372">
        <v>82.29</v>
      </c>
    </row>
    <row r="12" ht="22.5" customHeight="1">
      <c r="A12" s="41" t="s">
        <v>40</v>
      </c>
      <c r="B12" s="41" t="s">
        <v>1064</v>
      </c>
      <c r="C12" s="360">
        <v>23.0</v>
      </c>
      <c r="D12" s="361">
        <v>1708765.0</v>
      </c>
      <c r="E12" s="362">
        <v>13.0</v>
      </c>
      <c r="F12" s="363">
        <v>2.03928833E8</v>
      </c>
      <c r="G12" s="364">
        <v>3.194242271217E12</v>
      </c>
      <c r="H12" s="365">
        <v>1.99293731388E12</v>
      </c>
      <c r="I12" s="366">
        <v>9773.0</v>
      </c>
      <c r="J12" s="366">
        <v>4.0</v>
      </c>
      <c r="K12" s="367">
        <v>119.34</v>
      </c>
    </row>
    <row r="13" ht="22.5" customHeight="1">
      <c r="A13" s="41" t="s">
        <v>40</v>
      </c>
      <c r="B13" s="41" t="s">
        <v>1065</v>
      </c>
      <c r="C13" s="360">
        <v>6.0</v>
      </c>
      <c r="D13" s="361">
        <v>6546180.0</v>
      </c>
      <c r="E13" s="362">
        <v>3.0</v>
      </c>
      <c r="F13" s="363">
        <v>6.38348513E8</v>
      </c>
      <c r="G13" s="364">
        <v>9.775020049609E12</v>
      </c>
      <c r="H13" s="365">
        <v>4.91990643241E12</v>
      </c>
      <c r="I13" s="366">
        <v>7707.0</v>
      </c>
      <c r="J13" s="366">
        <v>5.0</v>
      </c>
      <c r="K13" s="367">
        <v>97.51</v>
      </c>
    </row>
    <row r="14" ht="22.5" customHeight="1">
      <c r="A14" s="41" t="s">
        <v>40</v>
      </c>
      <c r="B14" s="41" t="s">
        <v>1066</v>
      </c>
      <c r="C14" s="360">
        <v>11.0</v>
      </c>
      <c r="D14" s="361">
        <v>5102688.0</v>
      </c>
      <c r="E14" s="362">
        <v>8.0</v>
      </c>
      <c r="F14" s="363">
        <v>2.98186865E8</v>
      </c>
      <c r="G14" s="364">
        <v>2.197821899312E12</v>
      </c>
      <c r="H14" s="365">
        <v>6.30240553677E11</v>
      </c>
      <c r="I14" s="366">
        <v>2114.0</v>
      </c>
      <c r="J14" s="366">
        <v>11.0</v>
      </c>
      <c r="K14" s="367">
        <v>58.44</v>
      </c>
    </row>
    <row r="15" ht="22.5" customHeight="1">
      <c r="A15" s="1" t="s">
        <v>40</v>
      </c>
      <c r="B15" s="1" t="s">
        <v>1067</v>
      </c>
      <c r="C15" s="368">
        <v>16.0</v>
      </c>
      <c r="D15" s="17">
        <v>3615572.0</v>
      </c>
      <c r="E15" s="369">
        <v>17.0</v>
      </c>
      <c r="F15" s="2">
        <v>1.46859371E8</v>
      </c>
      <c r="G15" s="28">
        <v>2.708941193953E12</v>
      </c>
      <c r="H15" s="370">
        <v>1.549230188651E12</v>
      </c>
      <c r="I15" s="371">
        <v>10549.0</v>
      </c>
      <c r="J15" s="371">
        <v>5.0</v>
      </c>
      <c r="K15" s="372">
        <v>40.62</v>
      </c>
    </row>
    <row r="16" ht="22.5" customHeight="1">
      <c r="A16" s="41" t="s">
        <v>33</v>
      </c>
      <c r="B16" s="41" t="s">
        <v>1068</v>
      </c>
      <c r="C16" s="360">
        <v>9.0</v>
      </c>
      <c r="D16" s="361">
        <v>5790442.0</v>
      </c>
      <c r="E16" s="362">
        <v>14.0</v>
      </c>
      <c r="F16" s="363">
        <v>1.97726757E8</v>
      </c>
      <c r="G16" s="364">
        <v>1.826679057638E12</v>
      </c>
      <c r="H16" s="365">
        <v>8.06046863294E11</v>
      </c>
      <c r="I16" s="366">
        <v>4077.0</v>
      </c>
      <c r="J16" s="366">
        <v>12.0</v>
      </c>
      <c r="K16" s="367">
        <v>34.15</v>
      </c>
    </row>
    <row r="17" ht="22.5" customHeight="1">
      <c r="A17" s="41" t="s">
        <v>33</v>
      </c>
      <c r="B17" s="41" t="s">
        <v>1069</v>
      </c>
      <c r="C17" s="360">
        <v>7.0</v>
      </c>
      <c r="D17" s="361">
        <v>6173029.0</v>
      </c>
      <c r="E17" s="362">
        <v>16.0</v>
      </c>
      <c r="F17" s="363">
        <v>1.5636234E8</v>
      </c>
      <c r="G17" s="364">
        <v>1.702582035874E12</v>
      </c>
      <c r="H17" s="365">
        <v>9.34255444913E11</v>
      </c>
      <c r="I17" s="366">
        <v>5975.0</v>
      </c>
      <c r="J17" s="366">
        <v>4.0</v>
      </c>
      <c r="K17" s="367">
        <v>25.33</v>
      </c>
    </row>
    <row r="18" ht="22.5" customHeight="1">
      <c r="A18" s="1" t="s">
        <v>33</v>
      </c>
      <c r="B18" s="1" t="s">
        <v>1070</v>
      </c>
      <c r="C18" s="368">
        <v>10.0</v>
      </c>
      <c r="D18" s="17">
        <v>5767689.0</v>
      </c>
      <c r="E18" s="369">
        <v>1.0</v>
      </c>
      <c r="F18" s="2">
        <v>1.035587381E9</v>
      </c>
      <c r="G18" s="28">
        <v>2.0818518508935E13</v>
      </c>
      <c r="H18" s="370">
        <v>1.1090695030599E13</v>
      </c>
      <c r="I18" s="371">
        <v>10710.0</v>
      </c>
      <c r="J18" s="371">
        <v>10.0</v>
      </c>
      <c r="K18" s="372">
        <v>179.55</v>
      </c>
    </row>
    <row r="19" ht="22.5" customHeight="1">
      <c r="A19" s="41" t="s">
        <v>121</v>
      </c>
      <c r="B19" s="41" t="s">
        <v>1050</v>
      </c>
      <c r="C19" s="360">
        <v>14.0</v>
      </c>
      <c r="D19" s="361">
        <v>4444248.0</v>
      </c>
      <c r="E19" s="362">
        <v>12.0</v>
      </c>
      <c r="F19" s="363">
        <v>2.04346477E8</v>
      </c>
      <c r="G19" s="364">
        <v>3.467338821017E12</v>
      </c>
      <c r="H19" s="365">
        <v>1.558096264878E12</v>
      </c>
      <c r="I19" s="366">
        <v>7625.0</v>
      </c>
      <c r="J19" s="366">
        <v>13.0</v>
      </c>
      <c r="K19" s="367">
        <v>45.98</v>
      </c>
    </row>
    <row r="20" ht="22.5" customHeight="1">
      <c r="A20" s="41" t="s">
        <v>121</v>
      </c>
      <c r="B20" s="41" t="s">
        <v>1071</v>
      </c>
      <c r="C20" s="360">
        <v>12.0</v>
      </c>
      <c r="D20" s="361">
        <v>5041777.0</v>
      </c>
      <c r="E20" s="362">
        <v>23.0</v>
      </c>
      <c r="F20" s="363">
        <v>7.1712573E7</v>
      </c>
      <c r="G20" s="364">
        <v>8.5370026736E11</v>
      </c>
      <c r="H20" s="365">
        <v>3.75365333503E11</v>
      </c>
      <c r="I20" s="366">
        <v>5234.0</v>
      </c>
      <c r="J20" s="366">
        <v>10.0</v>
      </c>
      <c r="K20" s="367">
        <v>14.22</v>
      </c>
    </row>
    <row r="21" ht="22.5" customHeight="1">
      <c r="A21" s="41" t="s">
        <v>84</v>
      </c>
      <c r="B21" s="41" t="s">
        <v>1048</v>
      </c>
      <c r="C21" s="360">
        <v>4.0</v>
      </c>
      <c r="D21" s="361">
        <v>8401652.0</v>
      </c>
      <c r="E21" s="362">
        <v>18.0</v>
      </c>
      <c r="F21" s="363">
        <v>1.23174103E8</v>
      </c>
      <c r="G21" s="364">
        <v>1.819490272887E12</v>
      </c>
      <c r="H21" s="365">
        <v>8.71941956576E11</v>
      </c>
      <c r="I21" s="366">
        <v>7079.0</v>
      </c>
      <c r="J21" s="366">
        <v>7.0</v>
      </c>
      <c r="K21" s="367">
        <v>14.66</v>
      </c>
    </row>
    <row r="22" ht="22.5" customHeight="1">
      <c r="A22" s="41" t="s">
        <v>84</v>
      </c>
      <c r="B22" s="41" t="s">
        <v>1072</v>
      </c>
      <c r="C22" s="360">
        <v>13.0</v>
      </c>
      <c r="D22" s="361">
        <v>4638211.0</v>
      </c>
      <c r="E22" s="362">
        <v>4.0</v>
      </c>
      <c r="F22" s="363">
        <v>6.0031786E8</v>
      </c>
      <c r="G22" s="364">
        <v>5.855627344043E12</v>
      </c>
      <c r="H22" s="365">
        <v>2.026686593226E12</v>
      </c>
      <c r="I22" s="366">
        <v>3376.0</v>
      </c>
      <c r="J22" s="366">
        <v>7.0</v>
      </c>
      <c r="K22" s="367">
        <v>129.43</v>
      </c>
    </row>
    <row r="23" ht="22.5" customHeight="1">
      <c r="A23" s="41" t="s">
        <v>84</v>
      </c>
      <c r="B23" s="41" t="s">
        <v>1073</v>
      </c>
      <c r="C23" s="360">
        <v>1.0</v>
      </c>
      <c r="D23" s="361">
        <v>1.3908738E7</v>
      </c>
      <c r="E23" s="362">
        <v>22.0</v>
      </c>
      <c r="F23" s="363">
        <v>7.4200007E7</v>
      </c>
      <c r="G23" s="364">
        <v>1.071929395167E12</v>
      </c>
      <c r="H23" s="365">
        <v>6.78819602234E11</v>
      </c>
      <c r="I23" s="366">
        <v>9149.0</v>
      </c>
      <c r="J23" s="366">
        <v>5.0</v>
      </c>
      <c r="K23" s="367">
        <v>5.33</v>
      </c>
    </row>
    <row r="24" ht="22.5" customHeight="1">
      <c r="A24" s="1" t="s">
        <v>84</v>
      </c>
      <c r="B24" s="1" t="s">
        <v>1074</v>
      </c>
      <c r="C24" s="368">
        <v>18.0</v>
      </c>
      <c r="D24" s="17">
        <v>2970040.0</v>
      </c>
      <c r="E24" s="369">
        <v>5.0</v>
      </c>
      <c r="F24" s="2">
        <v>3.71199741E8</v>
      </c>
      <c r="G24" s="28">
        <v>5.33318179661E12</v>
      </c>
      <c r="H24" s="370">
        <v>2.697686873407E12</v>
      </c>
      <c r="I24" s="371">
        <v>7267.0</v>
      </c>
      <c r="J24" s="371">
        <v>5.0</v>
      </c>
      <c r="K24" s="372">
        <v>124.98</v>
      </c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3.25"/>
    <col customWidth="1" min="3" max="3" width="18.88"/>
    <col customWidth="1" min="4" max="4" width="19.0"/>
    <col customWidth="1" min="5" max="5" width="12.25"/>
    <col customWidth="1" min="6" max="6" width="13.0"/>
    <col customWidth="1" min="7" max="7" width="12.88"/>
    <col customWidth="1" min="8" max="9" width="9.5"/>
  </cols>
  <sheetData>
    <row r="1" ht="22.5" customHeight="1">
      <c r="A1" s="373" t="s">
        <v>1340</v>
      </c>
      <c r="B1" s="1" t="s">
        <v>0</v>
      </c>
      <c r="C1" s="1" t="s">
        <v>1341</v>
      </c>
      <c r="D1" s="374" t="s">
        <v>1342</v>
      </c>
      <c r="E1" s="375" t="s">
        <v>1343</v>
      </c>
      <c r="F1" s="4" t="s">
        <v>4</v>
      </c>
      <c r="G1" s="5" t="s">
        <v>1344</v>
      </c>
      <c r="H1" s="7" t="s">
        <v>12</v>
      </c>
      <c r="I1" s="254" t="s">
        <v>13</v>
      </c>
    </row>
    <row r="2" ht="22.5" customHeight="1">
      <c r="A2" s="376">
        <v>95.0</v>
      </c>
      <c r="B2" s="264" t="s">
        <v>246</v>
      </c>
      <c r="C2" s="281">
        <v>4.339847220180476E10</v>
      </c>
      <c r="D2" s="377">
        <f t="shared" ref="D2:D173" si="1">C2*E2</f>
        <v>273844359593</v>
      </c>
      <c r="E2" s="378">
        <v>6.31</v>
      </c>
      <c r="F2" s="257" t="s">
        <v>40</v>
      </c>
      <c r="G2" s="282">
        <v>488.0952380952381</v>
      </c>
      <c r="H2" s="332">
        <v>0.396</v>
      </c>
      <c r="I2" s="306">
        <v>7.66</v>
      </c>
    </row>
    <row r="3" ht="22.5" customHeight="1">
      <c r="A3" s="376">
        <v>154.0</v>
      </c>
      <c r="B3" s="256" t="s">
        <v>926</v>
      </c>
      <c r="C3" s="281">
        <v>1.9289087541904762E9</v>
      </c>
      <c r="D3" s="377">
        <f t="shared" si="1"/>
        <v>11766343401</v>
      </c>
      <c r="E3" s="378">
        <v>6.1</v>
      </c>
      <c r="F3" s="257" t="s">
        <v>33</v>
      </c>
      <c r="G3" s="282">
        <v>309.5238095238095</v>
      </c>
      <c r="H3" s="305">
        <v>0.499</v>
      </c>
      <c r="I3" s="306">
        <v>4.79</v>
      </c>
    </row>
    <row r="4" ht="22.5" customHeight="1">
      <c r="A4" s="376">
        <v>160.0</v>
      </c>
      <c r="B4" s="264" t="s">
        <v>962</v>
      </c>
      <c r="C4" s="281">
        <v>8.144746311428571E8</v>
      </c>
      <c r="D4" s="377">
        <f t="shared" si="1"/>
        <v>3559254138</v>
      </c>
      <c r="E4" s="378">
        <v>4.37</v>
      </c>
      <c r="F4" s="257" t="s">
        <v>47</v>
      </c>
      <c r="G4" s="282">
        <v>158.73015873015873</v>
      </c>
      <c r="H4" s="305">
        <v>0.445</v>
      </c>
      <c r="I4" s="306">
        <v>0.95</v>
      </c>
    </row>
    <row r="5" ht="22.5" customHeight="1">
      <c r="A5" s="376">
        <v>165.0</v>
      </c>
      <c r="B5" s="256" t="s">
        <v>992</v>
      </c>
      <c r="C5" s="281">
        <v>3.758608342160714E8</v>
      </c>
      <c r="D5" s="377">
        <f t="shared" si="1"/>
        <v>1627477412</v>
      </c>
      <c r="E5" s="379">
        <v>4.33</v>
      </c>
      <c r="F5" s="257" t="s">
        <v>33</v>
      </c>
      <c r="G5" s="282">
        <v>127.38095238095238</v>
      </c>
      <c r="H5" s="332">
        <v>0.393</v>
      </c>
      <c r="I5" s="306">
        <v>1.25</v>
      </c>
    </row>
    <row r="6" ht="22.5" customHeight="1">
      <c r="A6" s="376">
        <v>149.0</v>
      </c>
      <c r="B6" s="256" t="s">
        <v>897</v>
      </c>
      <c r="C6" s="281">
        <v>3.8412326131199994E9</v>
      </c>
      <c r="D6" s="377">
        <f t="shared" si="1"/>
        <v>16248413953</v>
      </c>
      <c r="E6" s="379">
        <v>4.23</v>
      </c>
      <c r="F6" s="257" t="s">
        <v>33</v>
      </c>
      <c r="G6" s="282">
        <v>195.23809523809524</v>
      </c>
      <c r="H6" s="305">
        <v>0.414</v>
      </c>
      <c r="I6" s="306">
        <v>3.94</v>
      </c>
    </row>
    <row r="7" ht="22.5" customHeight="1">
      <c r="A7" s="376">
        <v>80.0</v>
      </c>
      <c r="B7" s="264" t="s">
        <v>323</v>
      </c>
      <c r="C7" s="281">
        <v>5.547482187041667E10</v>
      </c>
      <c r="D7" s="377">
        <f t="shared" si="1"/>
        <v>232994251856</v>
      </c>
      <c r="E7" s="378">
        <v>4.2</v>
      </c>
      <c r="F7" s="257" t="s">
        <v>84</v>
      </c>
      <c r="G7" s="282">
        <v>1654.7619047619048</v>
      </c>
      <c r="H7" s="305">
        <v>0.646</v>
      </c>
      <c r="I7" s="306">
        <v>2.11</v>
      </c>
    </row>
    <row r="8" ht="22.5" customHeight="1">
      <c r="A8" s="376">
        <v>137.0</v>
      </c>
      <c r="B8" s="256" t="s">
        <v>826</v>
      </c>
      <c r="C8" s="281">
        <v>8.243141133333333E9</v>
      </c>
      <c r="D8" s="377">
        <f t="shared" si="1"/>
        <v>34291467115</v>
      </c>
      <c r="E8" s="379">
        <v>4.16</v>
      </c>
      <c r="F8" s="257" t="s">
        <v>47</v>
      </c>
      <c r="G8" s="282">
        <v>301.58730158730157</v>
      </c>
      <c r="H8" s="305">
        <v>0.427</v>
      </c>
      <c r="I8" s="306">
        <v>1.98</v>
      </c>
    </row>
    <row r="9" ht="22.5" customHeight="1">
      <c r="A9" s="376">
        <v>138.0</v>
      </c>
      <c r="B9" s="256" t="s">
        <v>832</v>
      </c>
      <c r="C9" s="281">
        <v>7.879696146809524E9</v>
      </c>
      <c r="D9" s="377">
        <f t="shared" si="1"/>
        <v>32227957240</v>
      </c>
      <c r="E9" s="378">
        <v>4.09</v>
      </c>
      <c r="F9" s="257" t="s">
        <v>47</v>
      </c>
      <c r="G9" s="282">
        <v>1059.5238095238094</v>
      </c>
      <c r="H9" s="305">
        <v>0.456</v>
      </c>
      <c r="I9" s="306">
        <v>2.87</v>
      </c>
    </row>
    <row r="10" ht="22.5" customHeight="1">
      <c r="A10" s="376">
        <v>104.0</v>
      </c>
      <c r="B10" s="264" t="s">
        <v>632</v>
      </c>
      <c r="C10" s="281">
        <v>3.3077557424999996E10</v>
      </c>
      <c r="D10" s="377">
        <f t="shared" si="1"/>
        <v>127017820512</v>
      </c>
      <c r="E10" s="379">
        <v>3.84</v>
      </c>
      <c r="F10" s="257" t="s">
        <v>47</v>
      </c>
      <c r="G10" s="282">
        <v>1087.3015873015872</v>
      </c>
      <c r="H10" s="305">
        <v>0.487</v>
      </c>
      <c r="I10" s="306">
        <v>4.17</v>
      </c>
    </row>
    <row r="11" ht="22.5" customHeight="1">
      <c r="A11" s="376">
        <v>69.0</v>
      </c>
      <c r="B11" s="256" t="s">
        <v>437</v>
      </c>
      <c r="C11" s="281">
        <v>7.890045393371428E10</v>
      </c>
      <c r="D11" s="377">
        <f t="shared" si="1"/>
        <v>302188738566</v>
      </c>
      <c r="E11" s="378">
        <v>3.83</v>
      </c>
      <c r="F11" s="257" t="s">
        <v>40</v>
      </c>
      <c r="G11" s="282">
        <v>3650.7936507936506</v>
      </c>
      <c r="H11" s="305">
        <v>0.675</v>
      </c>
      <c r="I11" s="306">
        <v>7.47</v>
      </c>
    </row>
    <row r="12" ht="22.5" customHeight="1">
      <c r="A12" s="376">
        <v>127.0</v>
      </c>
      <c r="B12" s="264" t="s">
        <v>774</v>
      </c>
      <c r="C12" s="281">
        <v>1.127400384E10</v>
      </c>
      <c r="D12" s="377">
        <f t="shared" si="1"/>
        <v>43066694669</v>
      </c>
      <c r="E12" s="379">
        <v>3.82</v>
      </c>
      <c r="F12" s="257" t="s">
        <v>47</v>
      </c>
      <c r="G12" s="282">
        <v>857.1428571428571</v>
      </c>
      <c r="H12" s="305">
        <v>0.492</v>
      </c>
      <c r="I12" s="306">
        <v>1.76</v>
      </c>
    </row>
    <row r="13" ht="22.5" customHeight="1">
      <c r="A13" s="376">
        <v>129.0</v>
      </c>
      <c r="B13" s="256" t="s">
        <v>696</v>
      </c>
      <c r="C13" s="281">
        <v>1.0550357120174603E10</v>
      </c>
      <c r="D13" s="377">
        <f t="shared" si="1"/>
        <v>39774846343</v>
      </c>
      <c r="E13" s="379">
        <v>3.77</v>
      </c>
      <c r="F13" s="257" t="s">
        <v>47</v>
      </c>
      <c r="G13" s="282">
        <v>234.12698412698413</v>
      </c>
      <c r="H13" s="305">
        <v>0.505</v>
      </c>
      <c r="I13" s="306">
        <v>3.65</v>
      </c>
    </row>
    <row r="14" ht="22.5" customHeight="1">
      <c r="A14" s="376">
        <v>100.0</v>
      </c>
      <c r="B14" s="256" t="s">
        <v>609</v>
      </c>
      <c r="C14" s="281">
        <v>3.5259446580650795E10</v>
      </c>
      <c r="D14" s="377">
        <f t="shared" si="1"/>
        <v>130812546814</v>
      </c>
      <c r="E14" s="379">
        <v>3.71</v>
      </c>
      <c r="F14" s="257" t="s">
        <v>47</v>
      </c>
      <c r="G14" s="282">
        <v>1198.4126984126983</v>
      </c>
      <c r="H14" s="305">
        <v>0.512</v>
      </c>
      <c r="I14" s="306">
        <v>5.62</v>
      </c>
    </row>
    <row r="15" ht="22.5" customHeight="1">
      <c r="A15" s="376">
        <v>76.0</v>
      </c>
      <c r="B15" s="264" t="s">
        <v>479</v>
      </c>
      <c r="C15" s="281">
        <v>6.705151861142856E10</v>
      </c>
      <c r="D15" s="377">
        <f t="shared" si="1"/>
        <v>244738042932</v>
      </c>
      <c r="E15" s="378">
        <v>3.65</v>
      </c>
      <c r="F15" s="257" t="s">
        <v>54</v>
      </c>
      <c r="G15" s="282">
        <v>2936.5079365079364</v>
      </c>
      <c r="H15" s="305">
        <v>0.715</v>
      </c>
      <c r="I15" s="306">
        <v>5.38</v>
      </c>
    </row>
    <row r="16" ht="22.5" customHeight="1">
      <c r="A16" s="376">
        <v>40.0</v>
      </c>
      <c r="B16" s="291" t="s">
        <v>258</v>
      </c>
      <c r="C16" s="281">
        <v>3.118469337316666E11</v>
      </c>
      <c r="D16" s="377">
        <f t="shared" si="1"/>
        <v>1113293553422</v>
      </c>
      <c r="E16" s="379">
        <v>3.57</v>
      </c>
      <c r="F16" s="257" t="s">
        <v>84</v>
      </c>
      <c r="G16" s="282">
        <v>2226.190476190476</v>
      </c>
      <c r="H16" s="305">
        <v>0.534</v>
      </c>
      <c r="I16" s="306">
        <v>4.76</v>
      </c>
    </row>
    <row r="17" ht="22.5" customHeight="1">
      <c r="A17" s="376">
        <v>120.0</v>
      </c>
      <c r="B17" s="256" t="s">
        <v>732</v>
      </c>
      <c r="C17" s="281">
        <v>1.5720457803426985E10</v>
      </c>
      <c r="D17" s="377">
        <f t="shared" si="1"/>
        <v>56122034358</v>
      </c>
      <c r="E17" s="379">
        <v>3.57</v>
      </c>
      <c r="F17" s="257" t="s">
        <v>33</v>
      </c>
      <c r="G17" s="282">
        <v>492.06349206349205</v>
      </c>
      <c r="H17" s="305">
        <v>0.543</v>
      </c>
      <c r="I17" s="306">
        <v>0.67</v>
      </c>
    </row>
    <row r="18" ht="22.5" customHeight="1">
      <c r="A18" s="376">
        <v>50.0</v>
      </c>
      <c r="B18" s="256" t="s">
        <v>305</v>
      </c>
      <c r="C18" s="281">
        <v>1.6529008505777777E11</v>
      </c>
      <c r="D18" s="377">
        <f t="shared" si="1"/>
        <v>586779801955</v>
      </c>
      <c r="E18" s="378">
        <v>3.55</v>
      </c>
      <c r="F18" s="257" t="s">
        <v>84</v>
      </c>
      <c r="G18" s="282">
        <v>1817.4603174603174</v>
      </c>
      <c r="H18" s="305">
        <v>0.601</v>
      </c>
      <c r="I18" s="306">
        <v>5.22</v>
      </c>
    </row>
    <row r="19" ht="22.5" customHeight="1">
      <c r="A19" s="376">
        <v>79.0</v>
      </c>
      <c r="B19" s="264" t="s">
        <v>497</v>
      </c>
      <c r="C19" s="281">
        <v>5.581396866021428E10</v>
      </c>
      <c r="D19" s="377">
        <f t="shared" si="1"/>
        <v>194790750624</v>
      </c>
      <c r="E19" s="379">
        <v>3.49</v>
      </c>
      <c r="F19" s="257" t="s">
        <v>47</v>
      </c>
      <c r="G19" s="282">
        <v>1821.4285714285713</v>
      </c>
      <c r="H19" s="305">
        <v>0.553</v>
      </c>
      <c r="I19" s="306">
        <v>4.51</v>
      </c>
    </row>
    <row r="20" ht="22.5" customHeight="1">
      <c r="A20" s="376">
        <v>96.0</v>
      </c>
      <c r="B20" s="256" t="s">
        <v>585</v>
      </c>
      <c r="C20" s="281">
        <v>4.039568578222223E10</v>
      </c>
      <c r="D20" s="377">
        <f t="shared" si="1"/>
        <v>140173029664</v>
      </c>
      <c r="E20" s="379">
        <v>3.47</v>
      </c>
      <c r="F20" s="257" t="s">
        <v>47</v>
      </c>
      <c r="G20" s="282">
        <v>1111.111111111111</v>
      </c>
      <c r="H20" s="305">
        <v>0.56</v>
      </c>
      <c r="I20" s="306">
        <v>2.09</v>
      </c>
    </row>
    <row r="21" ht="22.5" customHeight="1">
      <c r="A21" s="376">
        <v>103.0</v>
      </c>
      <c r="B21" s="256" t="s">
        <v>626</v>
      </c>
      <c r="C21" s="281">
        <v>3.384650644294762E10</v>
      </c>
      <c r="D21" s="377">
        <f t="shared" si="1"/>
        <v>115755052035</v>
      </c>
      <c r="E21" s="379">
        <v>3.42</v>
      </c>
      <c r="F21" s="257" t="s">
        <v>33</v>
      </c>
      <c r="G21" s="282">
        <v>1511.904761904762</v>
      </c>
      <c r="H21" s="305">
        <v>0.568</v>
      </c>
      <c r="I21" s="306">
        <v>2.68</v>
      </c>
    </row>
    <row r="22" ht="22.5" customHeight="1">
      <c r="A22" s="376">
        <v>112.0</v>
      </c>
      <c r="B22" s="256" t="s">
        <v>678</v>
      </c>
      <c r="C22" s="281">
        <v>2.3187620689444443E10</v>
      </c>
      <c r="D22" s="377">
        <f t="shared" si="1"/>
        <v>79069786551</v>
      </c>
      <c r="E22" s="379">
        <v>3.41</v>
      </c>
      <c r="F22" s="257" t="s">
        <v>47</v>
      </c>
      <c r="G22" s="282">
        <v>1337.3015873015872</v>
      </c>
      <c r="H22" s="305">
        <v>0.572</v>
      </c>
      <c r="I22" s="306">
        <v>4.39</v>
      </c>
    </row>
    <row r="23" ht="22.5" customHeight="1">
      <c r="A23" s="376">
        <v>161.0</v>
      </c>
      <c r="B23" s="264" t="s">
        <v>968</v>
      </c>
      <c r="C23" s="281">
        <v>7.602750476190476E8</v>
      </c>
      <c r="D23" s="377">
        <f t="shared" si="1"/>
        <v>2584935162</v>
      </c>
      <c r="E23" s="379">
        <v>3.4</v>
      </c>
      <c r="F23" s="257" t="s">
        <v>54</v>
      </c>
      <c r="G23" s="282">
        <v>3452.3809523809523</v>
      </c>
      <c r="H23" s="305">
        <v>0.562</v>
      </c>
      <c r="I23" s="306">
        <v>5.33</v>
      </c>
    </row>
    <row r="24" ht="22.5" customHeight="1">
      <c r="A24" s="376">
        <v>110.0</v>
      </c>
      <c r="B24" s="264" t="s">
        <v>666</v>
      </c>
      <c r="C24" s="281">
        <v>2.536206520380952E10</v>
      </c>
      <c r="D24" s="377">
        <f t="shared" si="1"/>
        <v>84455677129</v>
      </c>
      <c r="E24" s="379">
        <v>3.33</v>
      </c>
      <c r="F24" s="257" t="s">
        <v>47</v>
      </c>
      <c r="G24" s="282">
        <v>3531.746031746032</v>
      </c>
      <c r="H24" s="305">
        <v>0.576</v>
      </c>
      <c r="I24" s="306">
        <v>6.43</v>
      </c>
    </row>
    <row r="25" ht="22.5" customHeight="1">
      <c r="A25" s="376">
        <v>131.0</v>
      </c>
      <c r="B25" s="256" t="s">
        <v>791</v>
      </c>
      <c r="C25" s="281">
        <v>1.003694148111111E10</v>
      </c>
      <c r="D25" s="377">
        <f t="shared" si="1"/>
        <v>33222276302</v>
      </c>
      <c r="E25" s="379">
        <v>3.31</v>
      </c>
      <c r="F25" s="257" t="s">
        <v>47</v>
      </c>
      <c r="G25" s="282">
        <v>436.5079365079365</v>
      </c>
      <c r="H25" s="305">
        <v>0.595</v>
      </c>
      <c r="I25" s="306">
        <v>6.57</v>
      </c>
    </row>
    <row r="26" ht="22.5" customHeight="1">
      <c r="A26" s="376">
        <v>146.0</v>
      </c>
      <c r="B26" s="256" t="s">
        <v>879</v>
      </c>
      <c r="C26" s="281">
        <v>4.856030666666666E9</v>
      </c>
      <c r="D26" s="377">
        <f t="shared" si="1"/>
        <v>16073461507</v>
      </c>
      <c r="E26" s="379">
        <v>3.31</v>
      </c>
      <c r="F26" s="257" t="s">
        <v>47</v>
      </c>
      <c r="G26" s="282">
        <v>1904.7619047619048</v>
      </c>
      <c r="H26" s="305">
        <v>0.589</v>
      </c>
      <c r="I26" s="306">
        <v>6.21</v>
      </c>
    </row>
    <row r="27" ht="22.5" customHeight="1">
      <c r="A27" s="376">
        <v>102.0</v>
      </c>
      <c r="B27" s="256" t="s">
        <v>621</v>
      </c>
      <c r="C27" s="281">
        <v>3.387271407445714E10</v>
      </c>
      <c r="D27" s="377">
        <f t="shared" si="1"/>
        <v>110763775023</v>
      </c>
      <c r="E27" s="379">
        <v>3.27</v>
      </c>
      <c r="F27" s="257" t="s">
        <v>40</v>
      </c>
      <c r="G27" s="282">
        <v>928.5714285714286</v>
      </c>
      <c r="H27" s="305">
        <v>0.602</v>
      </c>
      <c r="I27" s="306">
        <v>8.46</v>
      </c>
    </row>
    <row r="28" ht="22.5" customHeight="1">
      <c r="A28" s="376">
        <v>45.0</v>
      </c>
      <c r="B28" s="294" t="s">
        <v>264</v>
      </c>
      <c r="C28" s="281">
        <v>2.2538522908035718E11</v>
      </c>
      <c r="D28" s="377">
        <f t="shared" si="1"/>
        <v>732501994511</v>
      </c>
      <c r="E28" s="378">
        <v>3.25</v>
      </c>
      <c r="F28" s="257" t="s">
        <v>47</v>
      </c>
      <c r="G28" s="282">
        <v>2559.5238095238096</v>
      </c>
      <c r="H28" s="305">
        <v>0.637</v>
      </c>
      <c r="I28" s="306">
        <v>2.33</v>
      </c>
    </row>
    <row r="29" ht="22.5" customHeight="1">
      <c r="A29" s="376">
        <v>38.0</v>
      </c>
      <c r="B29" s="256" t="s">
        <v>206</v>
      </c>
      <c r="C29" s="281">
        <v>3.132786133818E11</v>
      </c>
      <c r="D29" s="377">
        <f t="shared" si="1"/>
        <v>1005624348956</v>
      </c>
      <c r="E29" s="378">
        <v>3.21</v>
      </c>
      <c r="F29" s="257" t="s">
        <v>40</v>
      </c>
      <c r="G29" s="282">
        <v>3297.6190476190477</v>
      </c>
      <c r="H29" s="305">
        <v>0.738</v>
      </c>
      <c r="I29" s="306">
        <v>4.29</v>
      </c>
    </row>
    <row r="30" ht="22.5" customHeight="1">
      <c r="A30" s="376">
        <v>84.0</v>
      </c>
      <c r="B30" s="256" t="s">
        <v>520</v>
      </c>
      <c r="C30" s="281">
        <v>5.102959448583333E10</v>
      </c>
      <c r="D30" s="377">
        <f t="shared" si="1"/>
        <v>163804998300</v>
      </c>
      <c r="E30" s="379">
        <v>3.21</v>
      </c>
      <c r="F30" s="257" t="s">
        <v>33</v>
      </c>
      <c r="G30" s="282">
        <v>1658.7301587301588</v>
      </c>
      <c r="H30" s="305">
        <v>0.61</v>
      </c>
      <c r="I30" s="306">
        <v>2.66</v>
      </c>
    </row>
    <row r="31" ht="22.5" customHeight="1">
      <c r="A31" s="376">
        <v>123.0</v>
      </c>
      <c r="B31" s="256" t="s">
        <v>750</v>
      </c>
      <c r="C31" s="281">
        <v>1.4869614283333332E10</v>
      </c>
      <c r="D31" s="377">
        <f t="shared" si="1"/>
        <v>47136677278</v>
      </c>
      <c r="E31" s="379">
        <v>3.17</v>
      </c>
      <c r="F31" s="257" t="s">
        <v>84</v>
      </c>
      <c r="G31" s="282">
        <v>1706.3492063492063</v>
      </c>
      <c r="H31" s="305">
        <v>0.618</v>
      </c>
      <c r="I31" s="306">
        <v>8.39</v>
      </c>
    </row>
    <row r="32" ht="22.5" customHeight="1">
      <c r="A32" s="376">
        <v>132.0</v>
      </c>
      <c r="B32" s="256" t="s">
        <v>797</v>
      </c>
      <c r="C32" s="281">
        <v>8.866733107555557E9</v>
      </c>
      <c r="D32" s="377">
        <f t="shared" si="1"/>
        <v>27841541958</v>
      </c>
      <c r="E32" s="379">
        <v>3.14</v>
      </c>
      <c r="F32" s="257" t="s">
        <v>40</v>
      </c>
      <c r="G32" s="282">
        <v>888.8888888888889</v>
      </c>
      <c r="H32" s="305">
        <v>0.628</v>
      </c>
      <c r="I32" s="306">
        <v>4.77</v>
      </c>
    </row>
    <row r="33" ht="22.5" customHeight="1">
      <c r="A33" s="376">
        <v>143.0</v>
      </c>
      <c r="B33" s="256" t="s">
        <v>862</v>
      </c>
      <c r="C33" s="281">
        <v>5.630823874866667E9</v>
      </c>
      <c r="D33" s="377">
        <f t="shared" si="1"/>
        <v>17399245773</v>
      </c>
      <c r="E33" s="379">
        <v>3.09</v>
      </c>
      <c r="F33" s="257" t="s">
        <v>33</v>
      </c>
      <c r="G33" s="282">
        <v>1702.3809523809523</v>
      </c>
      <c r="H33" s="305">
        <v>0.634</v>
      </c>
      <c r="I33" s="306">
        <v>9.02</v>
      </c>
    </row>
    <row r="34" ht="22.5" customHeight="1">
      <c r="A34" s="376">
        <v>114.0</v>
      </c>
      <c r="B34" s="256" t="s">
        <v>690</v>
      </c>
      <c r="C34" s="281">
        <v>2.0040472904699207E10</v>
      </c>
      <c r="D34" s="377">
        <f t="shared" si="1"/>
        <v>60923037630</v>
      </c>
      <c r="E34" s="379">
        <v>3.04</v>
      </c>
      <c r="F34" s="257" t="s">
        <v>40</v>
      </c>
      <c r="G34" s="282">
        <v>1781.7460317460318</v>
      </c>
      <c r="H34" s="305">
        <v>0.643</v>
      </c>
      <c r="I34" s="306">
        <v>7.29</v>
      </c>
    </row>
    <row r="35" ht="22.5" customHeight="1">
      <c r="A35" s="376">
        <v>111.0</v>
      </c>
      <c r="B35" s="264" t="s">
        <v>672</v>
      </c>
      <c r="C35" s="281">
        <v>2.5041893481942856E10</v>
      </c>
      <c r="D35" s="377">
        <f t="shared" si="1"/>
        <v>75125680446</v>
      </c>
      <c r="E35" s="379">
        <v>3.0</v>
      </c>
      <c r="F35" s="257" t="s">
        <v>40</v>
      </c>
      <c r="G35" s="282">
        <v>1559.5238095238094</v>
      </c>
      <c r="H35" s="305">
        <v>0.652</v>
      </c>
      <c r="I35" s="306">
        <v>1.14</v>
      </c>
    </row>
    <row r="36" ht="22.5" customHeight="1">
      <c r="A36" s="376">
        <v>87.0</v>
      </c>
      <c r="B36" s="256" t="s">
        <v>537</v>
      </c>
      <c r="C36" s="281">
        <v>5.0581824408507935E10</v>
      </c>
      <c r="D36" s="377">
        <f t="shared" si="1"/>
        <v>150228018493</v>
      </c>
      <c r="E36" s="378">
        <v>2.97</v>
      </c>
      <c r="F36" s="257" t="s">
        <v>26</v>
      </c>
      <c r="G36" s="282">
        <v>1865.079365079365</v>
      </c>
      <c r="H36" s="305">
        <v>0.736</v>
      </c>
      <c r="I36" s="306">
        <v>7.11</v>
      </c>
    </row>
    <row r="37" ht="22.5" customHeight="1">
      <c r="A37" s="376">
        <v>169.0</v>
      </c>
      <c r="B37" s="256" t="s">
        <v>1016</v>
      </c>
      <c r="C37" s="281">
        <v>1.5420487499999997E8</v>
      </c>
      <c r="D37" s="377">
        <f t="shared" si="1"/>
        <v>456446430</v>
      </c>
      <c r="E37" s="379">
        <v>2.96</v>
      </c>
      <c r="F37" s="257" t="s">
        <v>54</v>
      </c>
      <c r="G37" s="282">
        <v>1071.4285714285713</v>
      </c>
      <c r="H37" s="305">
        <v>0.662</v>
      </c>
      <c r="I37" s="343">
        <v>2.47</v>
      </c>
    </row>
    <row r="38" ht="22.5" customHeight="1">
      <c r="A38" s="376">
        <v>173.0</v>
      </c>
      <c r="B38" s="264" t="s">
        <v>1038</v>
      </c>
      <c r="C38" s="281">
        <v>7524968.777777778</v>
      </c>
      <c r="D38" s="377">
        <f t="shared" si="1"/>
        <v>22273907.58</v>
      </c>
      <c r="E38" s="379">
        <v>2.96</v>
      </c>
      <c r="F38" s="257" t="s">
        <v>40</v>
      </c>
      <c r="G38" s="282">
        <v>1888.888888888889</v>
      </c>
      <c r="H38" s="305">
        <v>0.659</v>
      </c>
      <c r="I38" s="306">
        <v>7.45</v>
      </c>
    </row>
    <row r="39" ht="22.5" customHeight="1">
      <c r="A39" s="376">
        <v>39.0</v>
      </c>
      <c r="B39" s="291" t="s">
        <v>311</v>
      </c>
      <c r="C39" s="281">
        <v>3.132681939444444E11</v>
      </c>
      <c r="D39" s="377">
        <f t="shared" si="1"/>
        <v>924141172136</v>
      </c>
      <c r="E39" s="378">
        <v>2.95</v>
      </c>
      <c r="F39" s="257" t="s">
        <v>84</v>
      </c>
      <c r="G39" s="282">
        <v>7341.269841269841</v>
      </c>
      <c r="H39" s="305">
        <v>0.753</v>
      </c>
      <c r="I39" s="306">
        <v>9.35</v>
      </c>
    </row>
    <row r="40" ht="22.5" customHeight="1">
      <c r="A40" s="376">
        <v>106.0</v>
      </c>
      <c r="B40" s="256" t="s">
        <v>643</v>
      </c>
      <c r="C40" s="281">
        <v>3.1521557893571426E10</v>
      </c>
      <c r="D40" s="377">
        <f t="shared" si="1"/>
        <v>92988595786</v>
      </c>
      <c r="E40" s="379">
        <v>2.95</v>
      </c>
      <c r="F40" s="257" t="s">
        <v>33</v>
      </c>
      <c r="G40" s="282">
        <v>2662.6984126984125</v>
      </c>
      <c r="H40" s="305">
        <v>0.657</v>
      </c>
      <c r="I40" s="306">
        <v>2.44</v>
      </c>
    </row>
    <row r="41" ht="22.5" customHeight="1">
      <c r="A41" s="376">
        <v>125.0</v>
      </c>
      <c r="B41" s="256" t="s">
        <v>762</v>
      </c>
      <c r="C41" s="281">
        <v>1.3854551673733335E10</v>
      </c>
      <c r="D41" s="377">
        <f t="shared" si="1"/>
        <v>40593836404</v>
      </c>
      <c r="E41" s="379">
        <v>2.93</v>
      </c>
      <c r="F41" s="257" t="s">
        <v>40</v>
      </c>
      <c r="G41" s="282">
        <v>1753.968253968254</v>
      </c>
      <c r="H41" s="305">
        <v>0.666</v>
      </c>
      <c r="I41" s="306">
        <v>7.95</v>
      </c>
    </row>
    <row r="42" ht="22.5" customHeight="1">
      <c r="A42" s="376">
        <v>140.0</v>
      </c>
      <c r="B42" s="264" t="s">
        <v>844</v>
      </c>
      <c r="C42" s="281">
        <v>6.773122888888889E9</v>
      </c>
      <c r="D42" s="377">
        <f t="shared" si="1"/>
        <v>19845250064</v>
      </c>
      <c r="E42" s="379">
        <v>2.93</v>
      </c>
      <c r="F42" s="257" t="s">
        <v>54</v>
      </c>
      <c r="G42" s="282">
        <v>2182.5396825396824</v>
      </c>
      <c r="H42" s="305">
        <v>0.664</v>
      </c>
      <c r="I42" s="306">
        <v>5.91</v>
      </c>
    </row>
    <row r="43" ht="22.5" customHeight="1">
      <c r="A43" s="376">
        <v>11.0</v>
      </c>
      <c r="B43" s="291" t="s">
        <v>81</v>
      </c>
      <c r="C43" s="281">
        <v>1.4491924265744443E12</v>
      </c>
      <c r="D43" s="377">
        <f t="shared" si="1"/>
        <v>4217149961332</v>
      </c>
      <c r="E43" s="379">
        <v>2.91</v>
      </c>
      <c r="F43" s="257" t="s">
        <v>84</v>
      </c>
      <c r="G43" s="282">
        <v>3408.7301587301586</v>
      </c>
      <c r="H43" s="305">
        <v>0.66</v>
      </c>
      <c r="I43" s="306">
        <v>6.24</v>
      </c>
    </row>
    <row r="44" ht="22.5" customHeight="1">
      <c r="A44" s="376">
        <v>142.0</v>
      </c>
      <c r="B44" s="256" t="s">
        <v>856</v>
      </c>
      <c r="C44" s="281">
        <v>6.259292804E9</v>
      </c>
      <c r="D44" s="377">
        <f t="shared" si="1"/>
        <v>18214542060</v>
      </c>
      <c r="E44" s="378">
        <v>2.91</v>
      </c>
      <c r="F44" s="257" t="s">
        <v>47</v>
      </c>
      <c r="G44" s="282">
        <v>666.6666666666666</v>
      </c>
      <c r="H44" s="305">
        <v>0.474</v>
      </c>
      <c r="I44" s="306">
        <v>8.57</v>
      </c>
    </row>
    <row r="45" ht="22.5" customHeight="1">
      <c r="A45" s="376">
        <v>134.0</v>
      </c>
      <c r="B45" s="264" t="s">
        <v>808</v>
      </c>
      <c r="C45" s="281">
        <v>8.593393755888891E9</v>
      </c>
      <c r="D45" s="377">
        <f t="shared" si="1"/>
        <v>24920841892</v>
      </c>
      <c r="E45" s="379">
        <v>2.9</v>
      </c>
      <c r="F45" s="257" t="s">
        <v>33</v>
      </c>
      <c r="G45" s="282">
        <v>2111.1111111111113</v>
      </c>
      <c r="H45" s="305">
        <v>0.67</v>
      </c>
      <c r="I45" s="306">
        <v>2.58</v>
      </c>
    </row>
    <row r="46" ht="22.5" customHeight="1">
      <c r="A46" s="376">
        <v>93.0</v>
      </c>
      <c r="B46" s="256" t="s">
        <v>573</v>
      </c>
      <c r="C46" s="281">
        <v>4.36973522825254E10</v>
      </c>
      <c r="D46" s="377">
        <f t="shared" si="1"/>
        <v>126285348096</v>
      </c>
      <c r="E46" s="379">
        <v>2.89</v>
      </c>
      <c r="F46" s="257" t="s">
        <v>40</v>
      </c>
      <c r="G46" s="282">
        <v>1742.063492063492</v>
      </c>
      <c r="H46" s="305">
        <v>0.673</v>
      </c>
      <c r="I46" s="306">
        <v>5.62</v>
      </c>
    </row>
    <row r="47" ht="22.5" customHeight="1">
      <c r="A47" s="376">
        <v>20.0</v>
      </c>
      <c r="B47" s="291" t="s">
        <v>153</v>
      </c>
      <c r="C47" s="281">
        <v>7.413321415798096E11</v>
      </c>
      <c r="D47" s="377">
        <f t="shared" si="1"/>
        <v>2135036567750</v>
      </c>
      <c r="E47" s="378">
        <v>2.88</v>
      </c>
      <c r="F47" s="257" t="s">
        <v>40</v>
      </c>
      <c r="G47" s="282">
        <v>3134.9206349206347</v>
      </c>
      <c r="H47" s="305">
        <v>0.769</v>
      </c>
      <c r="I47" s="306">
        <v>6.43</v>
      </c>
    </row>
    <row r="48" ht="22.5" customHeight="1">
      <c r="A48" s="376">
        <v>92.0</v>
      </c>
      <c r="B48" s="256" t="s">
        <v>567</v>
      </c>
      <c r="C48" s="281">
        <v>4.492151768805555E10</v>
      </c>
      <c r="D48" s="377">
        <f t="shared" si="1"/>
        <v>127127895057</v>
      </c>
      <c r="E48" s="378">
        <v>2.83</v>
      </c>
      <c r="F48" s="257" t="s">
        <v>84</v>
      </c>
      <c r="G48" s="282">
        <v>3674.6031746031745</v>
      </c>
      <c r="H48" s="305">
        <v>0.735</v>
      </c>
      <c r="I48" s="306">
        <v>4.52</v>
      </c>
    </row>
    <row r="49" ht="22.5" customHeight="1">
      <c r="A49" s="376">
        <v>126.0</v>
      </c>
      <c r="B49" s="264" t="s">
        <v>768</v>
      </c>
      <c r="C49" s="281">
        <v>1.2611833376337301E10</v>
      </c>
      <c r="D49" s="377">
        <f t="shared" si="1"/>
        <v>35691488455</v>
      </c>
      <c r="E49" s="379">
        <v>2.83</v>
      </c>
      <c r="F49" s="257" t="s">
        <v>40</v>
      </c>
      <c r="G49" s="282">
        <v>1384.920634920635</v>
      </c>
      <c r="H49" s="305">
        <v>0.687</v>
      </c>
      <c r="I49" s="306">
        <v>4.91</v>
      </c>
    </row>
    <row r="50" ht="22.5" customHeight="1">
      <c r="A50" s="376">
        <v>32.0</v>
      </c>
      <c r="B50" s="294" t="s">
        <v>165</v>
      </c>
      <c r="C50" s="281">
        <v>3.7733789437654443E11</v>
      </c>
      <c r="D50" s="377">
        <f t="shared" si="1"/>
        <v>1060319483198</v>
      </c>
      <c r="E50" s="379">
        <v>2.81</v>
      </c>
      <c r="F50" s="257" t="s">
        <v>33</v>
      </c>
      <c r="G50" s="282">
        <v>3099.2063492063494</v>
      </c>
      <c r="H50" s="305">
        <v>0.682</v>
      </c>
      <c r="I50" s="306">
        <v>4.18</v>
      </c>
    </row>
    <row r="51" ht="22.5" customHeight="1">
      <c r="A51" s="376">
        <v>44.0</v>
      </c>
      <c r="B51" s="291" t="s">
        <v>270</v>
      </c>
      <c r="C51" s="281">
        <v>2.3409879945833337E11</v>
      </c>
      <c r="D51" s="377">
        <f t="shared" si="1"/>
        <v>650794662494</v>
      </c>
      <c r="E51" s="378">
        <v>2.78</v>
      </c>
      <c r="F51" s="257" t="s">
        <v>84</v>
      </c>
      <c r="G51" s="282">
        <v>10753.968253968254</v>
      </c>
      <c r="H51" s="305">
        <v>0.79</v>
      </c>
      <c r="I51" s="306">
        <v>6.43</v>
      </c>
    </row>
    <row r="52" ht="22.5" customHeight="1">
      <c r="A52" s="376">
        <v>81.0</v>
      </c>
      <c r="B52" s="256" t="s">
        <v>503</v>
      </c>
      <c r="C52" s="281">
        <v>5.5025685E10</v>
      </c>
      <c r="D52" s="377">
        <f t="shared" si="1"/>
        <v>152971404300</v>
      </c>
      <c r="E52" s="378">
        <v>2.78</v>
      </c>
      <c r="F52" s="257" t="s">
        <v>121</v>
      </c>
      <c r="G52" s="282">
        <v>3642.8571428571427</v>
      </c>
      <c r="H52" s="305">
        <v>0.785</v>
      </c>
      <c r="I52" s="306">
        <v>6.18</v>
      </c>
    </row>
    <row r="53" ht="22.5" customHeight="1">
      <c r="A53" s="376">
        <v>150.0</v>
      </c>
      <c r="B53" s="264" t="s">
        <v>903</v>
      </c>
      <c r="C53" s="281">
        <v>3.4182115E9</v>
      </c>
      <c r="D53" s="377">
        <f t="shared" si="1"/>
        <v>9502627970</v>
      </c>
      <c r="E53" s="379">
        <v>2.78</v>
      </c>
      <c r="F53" s="257" t="s">
        <v>54</v>
      </c>
      <c r="G53" s="282">
        <v>1785.7142857142858</v>
      </c>
      <c r="H53" s="305">
        <v>0.695</v>
      </c>
      <c r="I53" s="306">
        <v>2.3</v>
      </c>
    </row>
    <row r="54" ht="22.5" customHeight="1">
      <c r="A54" s="376">
        <v>98.0</v>
      </c>
      <c r="B54" s="256" t="s">
        <v>597</v>
      </c>
      <c r="C54" s="281">
        <v>3.655503323999999E10</v>
      </c>
      <c r="D54" s="377">
        <f t="shared" si="1"/>
        <v>101257442075</v>
      </c>
      <c r="E54" s="379">
        <v>2.77</v>
      </c>
      <c r="F54" s="257" t="s">
        <v>47</v>
      </c>
      <c r="G54" s="282">
        <v>2904.7619047619046</v>
      </c>
      <c r="H54" s="305">
        <v>0.691</v>
      </c>
      <c r="I54" s="306">
        <v>4.21</v>
      </c>
    </row>
    <row r="55" ht="22.5" customHeight="1">
      <c r="A55" s="376">
        <v>156.0</v>
      </c>
      <c r="B55" s="264" t="s">
        <v>938</v>
      </c>
      <c r="C55" s="281">
        <v>1.41058775E9</v>
      </c>
      <c r="D55" s="377">
        <f t="shared" si="1"/>
        <v>3893222190</v>
      </c>
      <c r="E55" s="379">
        <v>2.76</v>
      </c>
      <c r="F55" s="257" t="s">
        <v>121</v>
      </c>
      <c r="G55" s="282">
        <v>1702.3809523809523</v>
      </c>
      <c r="H55" s="305">
        <v>0.699</v>
      </c>
      <c r="I55" s="306">
        <v>7.1</v>
      </c>
    </row>
    <row r="56" ht="22.5" customHeight="1">
      <c r="A56" s="376">
        <v>158.0</v>
      </c>
      <c r="B56" s="256" t="s">
        <v>950</v>
      </c>
      <c r="C56" s="281">
        <v>1.1203019761904762E9</v>
      </c>
      <c r="D56" s="377">
        <f t="shared" si="1"/>
        <v>3080830435</v>
      </c>
      <c r="E56" s="379">
        <v>2.75</v>
      </c>
      <c r="F56" s="257" t="s">
        <v>121</v>
      </c>
      <c r="G56" s="282">
        <v>2261.904761904762</v>
      </c>
      <c r="H56" s="305">
        <v>0.698</v>
      </c>
      <c r="I56" s="306">
        <v>5.34</v>
      </c>
    </row>
    <row r="57" ht="22.5" customHeight="1">
      <c r="A57" s="376">
        <v>21.0</v>
      </c>
      <c r="B57" s="291" t="s">
        <v>171</v>
      </c>
      <c r="C57" s="281">
        <v>7.198636136999999E11</v>
      </c>
      <c r="D57" s="377">
        <f t="shared" si="1"/>
        <v>1950830393127</v>
      </c>
      <c r="E57" s="378">
        <v>2.71</v>
      </c>
      <c r="F57" s="257" t="s">
        <v>84</v>
      </c>
      <c r="G57" s="282">
        <v>5000.0</v>
      </c>
      <c r="H57" s="305">
        <v>0.734</v>
      </c>
      <c r="I57" s="306">
        <v>8.66</v>
      </c>
    </row>
    <row r="58" ht="22.5" customHeight="1">
      <c r="A58" s="376">
        <v>72.0</v>
      </c>
      <c r="B58" s="256" t="s">
        <v>455</v>
      </c>
      <c r="C58" s="281">
        <v>7.3218948E10</v>
      </c>
      <c r="D58" s="377">
        <f t="shared" si="1"/>
        <v>197691159600</v>
      </c>
      <c r="E58" s="379">
        <v>2.7</v>
      </c>
      <c r="F58" s="257" t="s">
        <v>121</v>
      </c>
      <c r="G58" s="282">
        <v>3253.968253968254</v>
      </c>
      <c r="H58" s="305">
        <v>0.704</v>
      </c>
      <c r="I58" s="306">
        <v>6.97</v>
      </c>
    </row>
    <row r="59" ht="22.5" customHeight="1">
      <c r="A59" s="376">
        <v>97.0</v>
      </c>
      <c r="B59" s="256" t="s">
        <v>591</v>
      </c>
      <c r="C59" s="281">
        <v>3.719651681777777E10</v>
      </c>
      <c r="D59" s="377">
        <f t="shared" si="1"/>
        <v>100430595408</v>
      </c>
      <c r="E59" s="379">
        <v>2.7</v>
      </c>
      <c r="F59" s="257" t="s">
        <v>84</v>
      </c>
      <c r="G59" s="282">
        <v>3634.9206349206347</v>
      </c>
      <c r="H59" s="305">
        <v>0.701</v>
      </c>
      <c r="I59" s="306">
        <v>1.86</v>
      </c>
    </row>
    <row r="60" ht="22.5" customHeight="1">
      <c r="A60" s="376">
        <v>148.0</v>
      </c>
      <c r="B60" s="264" t="s">
        <v>891</v>
      </c>
      <c r="C60" s="281">
        <v>4.2152564299999995E9</v>
      </c>
      <c r="D60" s="377">
        <f t="shared" si="1"/>
        <v>11381192361</v>
      </c>
      <c r="E60" s="379">
        <v>2.7</v>
      </c>
      <c r="F60" s="257" t="s">
        <v>84</v>
      </c>
      <c r="G60" s="282">
        <v>2444.4444444444443</v>
      </c>
      <c r="H60" s="305">
        <v>0.708</v>
      </c>
      <c r="I60" s="306">
        <v>2.56</v>
      </c>
    </row>
    <row r="61" ht="22.5" customHeight="1">
      <c r="A61" s="376">
        <v>83.0</v>
      </c>
      <c r="B61" s="264" t="s">
        <v>515</v>
      </c>
      <c r="C61" s="281">
        <v>5.364982572113968E10</v>
      </c>
      <c r="D61" s="377">
        <f t="shared" si="1"/>
        <v>143781532933</v>
      </c>
      <c r="E61" s="379">
        <v>2.68</v>
      </c>
      <c r="F61" s="257" t="s">
        <v>40</v>
      </c>
      <c r="G61" s="282">
        <v>1492.063492063492</v>
      </c>
      <c r="H61" s="305">
        <v>0.717</v>
      </c>
      <c r="I61" s="306">
        <v>5.88</v>
      </c>
    </row>
    <row r="62" ht="22.5" customHeight="1">
      <c r="A62" s="376">
        <v>78.0</v>
      </c>
      <c r="B62" s="264" t="s">
        <v>491</v>
      </c>
      <c r="C62" s="281">
        <v>5.891156266500001E10</v>
      </c>
      <c r="D62" s="377">
        <f t="shared" si="1"/>
        <v>157293872316</v>
      </c>
      <c r="E62" s="379">
        <v>2.67</v>
      </c>
      <c r="F62" s="257" t="s">
        <v>33</v>
      </c>
      <c r="G62" s="282">
        <v>6428.571428571428</v>
      </c>
      <c r="H62" s="305">
        <v>0.693</v>
      </c>
      <c r="I62" s="306">
        <v>5.62</v>
      </c>
    </row>
    <row r="63" ht="22.5" customHeight="1">
      <c r="A63" s="376">
        <v>82.0</v>
      </c>
      <c r="B63" s="256" t="s">
        <v>509</v>
      </c>
      <c r="C63" s="281">
        <v>5.4990142013888885E10</v>
      </c>
      <c r="D63" s="377">
        <f t="shared" si="1"/>
        <v>146823679177</v>
      </c>
      <c r="E63" s="379">
        <v>2.67</v>
      </c>
      <c r="F63" s="257" t="s">
        <v>121</v>
      </c>
      <c r="G63" s="282">
        <v>3373.015873015873</v>
      </c>
      <c r="H63" s="305">
        <v>0.71</v>
      </c>
      <c r="I63" s="306">
        <v>5.29</v>
      </c>
    </row>
    <row r="64" ht="22.5" customHeight="1">
      <c r="A64" s="376">
        <v>170.0</v>
      </c>
      <c r="B64" s="297" t="s">
        <v>1021</v>
      </c>
      <c r="C64" s="339">
        <v>1.2342256666666669E8</v>
      </c>
      <c r="D64" s="377">
        <f t="shared" si="1"/>
        <v>328304027.3</v>
      </c>
      <c r="E64" s="379">
        <v>2.66</v>
      </c>
      <c r="F64" s="297" t="s">
        <v>84</v>
      </c>
      <c r="G64" s="340">
        <v>1623.015873015873</v>
      </c>
      <c r="H64" s="342">
        <v>0.72</v>
      </c>
      <c r="I64" s="306">
        <v>2.05</v>
      </c>
    </row>
    <row r="65" ht="22.5" customHeight="1">
      <c r="A65" s="376">
        <v>63.0</v>
      </c>
      <c r="B65" s="272" t="s">
        <v>400</v>
      </c>
      <c r="C65" s="281">
        <v>9.730590458E10</v>
      </c>
      <c r="D65" s="377">
        <f t="shared" si="1"/>
        <v>256887588091</v>
      </c>
      <c r="E65" s="379">
        <v>2.64</v>
      </c>
      <c r="F65" s="257" t="s">
        <v>54</v>
      </c>
      <c r="G65" s="282">
        <v>4722.222222222223</v>
      </c>
      <c r="H65" s="305">
        <v>0.709</v>
      </c>
      <c r="I65" s="306">
        <v>3.09</v>
      </c>
    </row>
    <row r="66" ht="22.5" customHeight="1">
      <c r="A66" s="376">
        <v>155.0</v>
      </c>
      <c r="B66" s="264" t="s">
        <v>932</v>
      </c>
      <c r="C66" s="281">
        <v>1.4390784694444447E9</v>
      </c>
      <c r="D66" s="377">
        <f t="shared" si="1"/>
        <v>3784776375</v>
      </c>
      <c r="E66" s="379">
        <v>2.63</v>
      </c>
      <c r="F66" s="257" t="s">
        <v>47</v>
      </c>
      <c r="G66" s="282">
        <v>6150.793650793651</v>
      </c>
      <c r="H66" s="305">
        <v>0.703</v>
      </c>
      <c r="I66" s="306">
        <v>6.88</v>
      </c>
    </row>
    <row r="67" ht="22.5" customHeight="1">
      <c r="A67" s="376">
        <v>94.0</v>
      </c>
      <c r="B67" s="256" t="s">
        <v>579</v>
      </c>
      <c r="C67" s="281">
        <v>4.36080538E10</v>
      </c>
      <c r="D67" s="377">
        <f t="shared" si="1"/>
        <v>112508778804</v>
      </c>
      <c r="E67" s="379">
        <v>2.58</v>
      </c>
      <c r="F67" s="257" t="s">
        <v>47</v>
      </c>
      <c r="G67" s="282">
        <v>5555.555555555556</v>
      </c>
      <c r="H67" s="305">
        <v>0.717</v>
      </c>
      <c r="I67" s="306">
        <v>4.88</v>
      </c>
    </row>
    <row r="68" ht="22.5" customHeight="1">
      <c r="A68" s="376">
        <v>108.0</v>
      </c>
      <c r="B68" s="268" t="s">
        <v>655</v>
      </c>
      <c r="C68" s="281">
        <v>2.8444719378690475E10</v>
      </c>
      <c r="D68" s="377">
        <f t="shared" si="1"/>
        <v>73387375997</v>
      </c>
      <c r="E68" s="379">
        <v>2.58</v>
      </c>
      <c r="F68" s="257" t="s">
        <v>54</v>
      </c>
      <c r="G68" s="282">
        <v>2896.8253968253966</v>
      </c>
      <c r="H68" s="305">
        <v>0.729</v>
      </c>
      <c r="I68" s="306">
        <v>5.06</v>
      </c>
    </row>
    <row r="69" ht="22.5" customHeight="1">
      <c r="A69" s="376">
        <v>168.0</v>
      </c>
      <c r="B69" s="256" t="s">
        <v>1010</v>
      </c>
      <c r="C69" s="281">
        <v>1.6509955000000003E8</v>
      </c>
      <c r="D69" s="377">
        <f t="shared" si="1"/>
        <v>425956839</v>
      </c>
      <c r="E69" s="379">
        <v>2.58</v>
      </c>
      <c r="F69" s="257" t="s">
        <v>121</v>
      </c>
      <c r="G69" s="282">
        <v>4404.761904761905</v>
      </c>
      <c r="H69" s="305">
        <v>0.722</v>
      </c>
      <c r="I69" s="306">
        <v>3.86</v>
      </c>
    </row>
    <row r="70" ht="22.5" customHeight="1">
      <c r="A70" s="376">
        <v>58.0</v>
      </c>
      <c r="B70" s="380" t="s">
        <v>371</v>
      </c>
      <c r="C70" s="281">
        <v>1.2709392245E11</v>
      </c>
      <c r="D70" s="377">
        <f t="shared" si="1"/>
        <v>326631380697</v>
      </c>
      <c r="E70" s="378">
        <v>2.57</v>
      </c>
      <c r="F70" s="257" t="s">
        <v>84</v>
      </c>
      <c r="G70" s="282">
        <v>7380.952380952381</v>
      </c>
      <c r="H70" s="305">
        <v>0.787</v>
      </c>
      <c r="I70" s="306">
        <v>5.01</v>
      </c>
    </row>
    <row r="71" ht="22.5" customHeight="1">
      <c r="A71" s="376">
        <v>4.0</v>
      </c>
      <c r="B71" s="381" t="s">
        <v>44</v>
      </c>
      <c r="C71" s="281">
        <v>4.595932041317461E12</v>
      </c>
      <c r="D71" s="377">
        <f t="shared" si="1"/>
        <v>11673667384946</v>
      </c>
      <c r="E71" s="379">
        <v>2.54</v>
      </c>
      <c r="F71" s="257" t="s">
        <v>47</v>
      </c>
      <c r="G71" s="282">
        <v>7936.507936507936</v>
      </c>
      <c r="H71" s="305">
        <v>0.712</v>
      </c>
      <c r="I71" s="306">
        <v>5.23</v>
      </c>
    </row>
    <row r="72" ht="22.5" customHeight="1">
      <c r="A72" s="376">
        <v>121.0</v>
      </c>
      <c r="B72" s="256" t="s">
        <v>738</v>
      </c>
      <c r="C72" s="281">
        <v>1.54051975E10</v>
      </c>
      <c r="D72" s="377">
        <f t="shared" si="1"/>
        <v>39129201650</v>
      </c>
      <c r="E72" s="379">
        <v>2.54</v>
      </c>
      <c r="F72" s="257" t="s">
        <v>84</v>
      </c>
      <c r="G72" s="282">
        <v>9404.761904761905</v>
      </c>
      <c r="H72" s="305">
        <v>0.705</v>
      </c>
      <c r="I72" s="306">
        <v>4.09</v>
      </c>
    </row>
    <row r="73" ht="22.5" customHeight="1">
      <c r="A73" s="376">
        <v>144.0</v>
      </c>
      <c r="B73" s="296" t="s">
        <v>868</v>
      </c>
      <c r="C73" s="281">
        <v>5.453330361111111E9</v>
      </c>
      <c r="D73" s="377">
        <f t="shared" si="1"/>
        <v>13796925814</v>
      </c>
      <c r="E73" s="379">
        <v>2.53</v>
      </c>
      <c r="F73" s="257" t="s">
        <v>54</v>
      </c>
      <c r="G73" s="282">
        <v>2698.4126984126983</v>
      </c>
      <c r="H73" s="305">
        <v>0.741</v>
      </c>
      <c r="I73" s="306">
        <v>3.27</v>
      </c>
    </row>
    <row r="74" ht="22.5" customHeight="1">
      <c r="A74" s="376">
        <v>68.0</v>
      </c>
      <c r="B74" s="256" t="s">
        <v>431</v>
      </c>
      <c r="C74" s="281">
        <v>8.14343112629619E10</v>
      </c>
      <c r="D74" s="377">
        <f t="shared" si="1"/>
        <v>201957091932</v>
      </c>
      <c r="E74" s="379">
        <v>2.48</v>
      </c>
      <c r="F74" s="257" t="s">
        <v>40</v>
      </c>
      <c r="G74" s="282">
        <v>3702.3809523809523</v>
      </c>
      <c r="H74" s="305">
        <v>0.745</v>
      </c>
      <c r="I74" s="306">
        <v>5.19</v>
      </c>
    </row>
    <row r="75" ht="22.5" customHeight="1">
      <c r="A75" s="376">
        <v>172.0</v>
      </c>
      <c r="B75" s="264" t="s">
        <v>1032</v>
      </c>
      <c r="C75" s="281">
        <v>3.659047817460318E7</v>
      </c>
      <c r="D75" s="377">
        <f t="shared" si="1"/>
        <v>90744385.87</v>
      </c>
      <c r="E75" s="379">
        <v>2.48</v>
      </c>
      <c r="F75" s="257" t="s">
        <v>47</v>
      </c>
      <c r="G75" s="282">
        <v>3531.746031746032</v>
      </c>
      <c r="H75" s="305">
        <v>0.747</v>
      </c>
      <c r="I75" s="306">
        <v>6.12</v>
      </c>
    </row>
    <row r="76" ht="22.5" customHeight="1">
      <c r="A76" s="376">
        <v>75.0</v>
      </c>
      <c r="B76" s="256" t="s">
        <v>473</v>
      </c>
      <c r="C76" s="281">
        <v>6.75904856E10</v>
      </c>
      <c r="D76" s="377">
        <f t="shared" si="1"/>
        <v>166948499432</v>
      </c>
      <c r="E76" s="379">
        <v>2.47</v>
      </c>
      <c r="F76" s="257" t="s">
        <v>47</v>
      </c>
      <c r="G76" s="282">
        <v>7619.047619047619</v>
      </c>
      <c r="H76" s="305">
        <v>0.728</v>
      </c>
      <c r="I76" s="306">
        <v>6.21</v>
      </c>
    </row>
    <row r="77" ht="22.5" customHeight="1">
      <c r="A77" s="376">
        <v>159.0</v>
      </c>
      <c r="B77" s="264" t="s">
        <v>956</v>
      </c>
      <c r="C77" s="281">
        <v>8.435022933333334E8</v>
      </c>
      <c r="D77" s="377">
        <f t="shared" si="1"/>
        <v>2075015642</v>
      </c>
      <c r="E77" s="379">
        <v>2.46</v>
      </c>
      <c r="F77" s="257" t="s">
        <v>121</v>
      </c>
      <c r="G77" s="282">
        <v>2603.1746031746034</v>
      </c>
      <c r="H77" s="305">
        <v>0.754</v>
      </c>
      <c r="I77" s="306">
        <v>2.96</v>
      </c>
    </row>
    <row r="78" ht="22.5" customHeight="1">
      <c r="A78" s="376">
        <v>52.0</v>
      </c>
      <c r="B78" s="256" t="s">
        <v>335</v>
      </c>
      <c r="C78" s="281">
        <v>1.6357963364602222E11</v>
      </c>
      <c r="D78" s="377">
        <f t="shared" si="1"/>
        <v>400770102433</v>
      </c>
      <c r="E78" s="379">
        <v>2.45</v>
      </c>
      <c r="F78" s="257" t="s">
        <v>121</v>
      </c>
      <c r="G78" s="282">
        <v>3694.4444444444443</v>
      </c>
      <c r="H78" s="305">
        <v>0.751</v>
      </c>
      <c r="I78" s="306">
        <v>5.91</v>
      </c>
    </row>
    <row r="79" ht="22.5" customHeight="1">
      <c r="A79" s="376">
        <v>167.0</v>
      </c>
      <c r="B79" s="264" t="s">
        <v>1004</v>
      </c>
      <c r="C79" s="281">
        <v>2.231595383333333E8</v>
      </c>
      <c r="D79" s="377">
        <f t="shared" si="1"/>
        <v>546740868.9</v>
      </c>
      <c r="E79" s="378">
        <v>2.45</v>
      </c>
      <c r="F79" s="257" t="s">
        <v>84</v>
      </c>
      <c r="G79" s="282">
        <v>154.76190476190476</v>
      </c>
      <c r="H79" s="305">
        <v>0.463</v>
      </c>
      <c r="I79" s="306">
        <v>4.35</v>
      </c>
    </row>
    <row r="80" ht="22.5" customHeight="1">
      <c r="A80" s="376">
        <v>35.0</v>
      </c>
      <c r="B80" s="291" t="s">
        <v>212</v>
      </c>
      <c r="C80" s="281">
        <v>3.426489819873015E11</v>
      </c>
      <c r="D80" s="377">
        <f t="shared" si="1"/>
        <v>836063516049</v>
      </c>
      <c r="E80" s="378">
        <v>2.44</v>
      </c>
      <c r="F80" s="257" t="s">
        <v>84</v>
      </c>
      <c r="G80" s="282">
        <v>10793.650793650793</v>
      </c>
      <c r="H80" s="305">
        <v>0.829</v>
      </c>
      <c r="I80" s="306">
        <v>3.91</v>
      </c>
    </row>
    <row r="81" ht="22.5" customHeight="1">
      <c r="A81" s="376">
        <v>113.0</v>
      </c>
      <c r="B81" s="256" t="s">
        <v>684</v>
      </c>
      <c r="C81" s="281">
        <v>2.286835616065238E10</v>
      </c>
      <c r="D81" s="377">
        <f t="shared" si="1"/>
        <v>55570105470</v>
      </c>
      <c r="E81" s="378">
        <v>2.43</v>
      </c>
      <c r="F81" s="257" t="s">
        <v>33</v>
      </c>
      <c r="G81" s="282">
        <v>3654.7619047619046</v>
      </c>
      <c r="H81" s="305">
        <v>0.624</v>
      </c>
      <c r="I81" s="306">
        <v>2.04</v>
      </c>
    </row>
    <row r="82" ht="22.5" customHeight="1">
      <c r="A82" s="376">
        <v>157.0</v>
      </c>
      <c r="B82" s="256" t="s">
        <v>944</v>
      </c>
      <c r="C82" s="281">
        <v>1.1501991111111112E9</v>
      </c>
      <c r="D82" s="377">
        <f t="shared" si="1"/>
        <v>2794983840</v>
      </c>
      <c r="E82" s="378">
        <v>2.43</v>
      </c>
      <c r="F82" s="257" t="s">
        <v>84</v>
      </c>
      <c r="G82" s="282">
        <v>396.8253968253968</v>
      </c>
      <c r="H82" s="332">
        <v>0.388</v>
      </c>
      <c r="I82" s="306">
        <v>9.67</v>
      </c>
    </row>
    <row r="83" ht="22.5" customHeight="1">
      <c r="A83" s="376">
        <v>105.0</v>
      </c>
      <c r="B83" s="264" t="s">
        <v>638</v>
      </c>
      <c r="C83" s="281">
        <v>3.1921859876785713E10</v>
      </c>
      <c r="D83" s="377">
        <f t="shared" si="1"/>
        <v>76612463704</v>
      </c>
      <c r="E83" s="379">
        <v>2.4</v>
      </c>
      <c r="F83" s="257" t="s">
        <v>33</v>
      </c>
      <c r="G83" s="282">
        <v>7341.269841269841</v>
      </c>
      <c r="H83" s="305">
        <v>0.744</v>
      </c>
      <c r="I83" s="306">
        <v>9.76</v>
      </c>
    </row>
    <row r="84" ht="22.5" customHeight="1">
      <c r="A84" s="376">
        <v>133.0</v>
      </c>
      <c r="B84" s="256" t="s">
        <v>803</v>
      </c>
      <c r="C84" s="281">
        <v>8.683926122912699E9</v>
      </c>
      <c r="D84" s="377">
        <f t="shared" si="1"/>
        <v>20754583434</v>
      </c>
      <c r="E84" s="379">
        <v>2.39</v>
      </c>
      <c r="F84" s="257" t="s">
        <v>26</v>
      </c>
      <c r="G84" s="282">
        <v>4007.936507936508</v>
      </c>
      <c r="H84" s="305">
        <v>0.762</v>
      </c>
      <c r="I84" s="306">
        <v>9.37</v>
      </c>
    </row>
    <row r="85" ht="22.5" customHeight="1">
      <c r="A85" s="376">
        <v>166.0</v>
      </c>
      <c r="B85" s="264" t="s">
        <v>998</v>
      </c>
      <c r="C85" s="281">
        <v>2.5229691666666666E8</v>
      </c>
      <c r="D85" s="377">
        <f t="shared" si="1"/>
        <v>600466661.7</v>
      </c>
      <c r="E85" s="379">
        <v>2.38</v>
      </c>
      <c r="F85" s="257" t="s">
        <v>47</v>
      </c>
      <c r="G85" s="282">
        <v>4880.952380952381</v>
      </c>
      <c r="H85" s="305">
        <v>0.759</v>
      </c>
      <c r="I85" s="306">
        <v>8.34</v>
      </c>
    </row>
    <row r="86" ht="22.5" customHeight="1">
      <c r="A86" s="376">
        <v>59.0</v>
      </c>
      <c r="B86" s="264" t="s">
        <v>377</v>
      </c>
      <c r="C86" s="281">
        <v>1.2286953868583333E11</v>
      </c>
      <c r="D86" s="377">
        <f t="shared" si="1"/>
        <v>289972111299</v>
      </c>
      <c r="E86" s="379">
        <v>2.36</v>
      </c>
      <c r="F86" s="257" t="s">
        <v>54</v>
      </c>
      <c r="G86" s="282">
        <v>6468.253968253968</v>
      </c>
      <c r="H86" s="305">
        <v>0.756</v>
      </c>
      <c r="I86" s="306">
        <v>4.13</v>
      </c>
    </row>
    <row r="87" ht="22.5" customHeight="1">
      <c r="A87" s="376">
        <v>162.0</v>
      </c>
      <c r="B87" s="256" t="s">
        <v>974</v>
      </c>
      <c r="C87" s="281">
        <v>7.476360186492063E8</v>
      </c>
      <c r="D87" s="377">
        <f t="shared" si="1"/>
        <v>1749468284</v>
      </c>
      <c r="E87" s="379">
        <v>2.34</v>
      </c>
      <c r="F87" s="257" t="s">
        <v>121</v>
      </c>
      <c r="G87" s="282">
        <v>3126.9841269841268</v>
      </c>
      <c r="H87" s="305">
        <v>0.777</v>
      </c>
      <c r="I87" s="306">
        <v>4.6</v>
      </c>
    </row>
    <row r="88" ht="22.5" customHeight="1">
      <c r="A88" s="376">
        <v>54.0</v>
      </c>
      <c r="B88" s="256" t="s">
        <v>347</v>
      </c>
      <c r="C88" s="281">
        <v>1.592695336383333E11</v>
      </c>
      <c r="D88" s="377">
        <f t="shared" si="1"/>
        <v>369505318041</v>
      </c>
      <c r="E88" s="379">
        <v>2.32</v>
      </c>
      <c r="F88" s="257" t="s">
        <v>33</v>
      </c>
      <c r="G88" s="282">
        <v>9325.396825396825</v>
      </c>
      <c r="H88" s="305">
        <v>0.749</v>
      </c>
      <c r="I88" s="306">
        <v>6.89</v>
      </c>
    </row>
    <row r="89" ht="22.5" customHeight="1">
      <c r="A89" s="376">
        <v>151.0</v>
      </c>
      <c r="B89" s="264" t="s">
        <v>908</v>
      </c>
      <c r="C89" s="281">
        <v>2.8245873639999995E9</v>
      </c>
      <c r="D89" s="377">
        <f t="shared" si="1"/>
        <v>6553042684</v>
      </c>
      <c r="E89" s="379">
        <v>2.32</v>
      </c>
      <c r="F89" s="257" t="s">
        <v>26</v>
      </c>
      <c r="G89" s="282">
        <v>4444.444444444444</v>
      </c>
      <c r="H89" s="305">
        <v>0.774</v>
      </c>
      <c r="I89" s="306">
        <v>1.09</v>
      </c>
    </row>
    <row r="90" ht="22.5" customHeight="1">
      <c r="A90" s="376">
        <v>147.0</v>
      </c>
      <c r="B90" s="256" t="s">
        <v>885</v>
      </c>
      <c r="C90" s="281">
        <v>4.2867464486250005E9</v>
      </c>
      <c r="D90" s="377">
        <f t="shared" si="1"/>
        <v>9902384296</v>
      </c>
      <c r="E90" s="378">
        <v>2.31</v>
      </c>
      <c r="F90" s="257" t="s">
        <v>40</v>
      </c>
      <c r="G90" s="282">
        <v>1916.6666666666667</v>
      </c>
      <c r="H90" s="305">
        <v>0.688</v>
      </c>
      <c r="I90" s="306">
        <v>2.38</v>
      </c>
    </row>
    <row r="91" ht="22.5" customHeight="1">
      <c r="A91" s="376">
        <v>34.0</v>
      </c>
      <c r="B91" s="294" t="s">
        <v>276</v>
      </c>
      <c r="C91" s="281">
        <v>3.516789977839285E11</v>
      </c>
      <c r="D91" s="377">
        <f t="shared" si="1"/>
        <v>808861694903</v>
      </c>
      <c r="E91" s="379">
        <v>2.3</v>
      </c>
      <c r="F91" s="257" t="s">
        <v>33</v>
      </c>
      <c r="G91" s="282">
        <v>6428.571428571428</v>
      </c>
      <c r="H91" s="305">
        <v>0.768</v>
      </c>
      <c r="I91" s="306">
        <v>8.92</v>
      </c>
    </row>
    <row r="92" ht="22.5" customHeight="1">
      <c r="A92" s="376">
        <v>22.0</v>
      </c>
      <c r="B92" s="294" t="s">
        <v>125</v>
      </c>
      <c r="C92" s="281">
        <v>6.790113959904761E11</v>
      </c>
      <c r="D92" s="377">
        <f t="shared" si="1"/>
        <v>1548145982858</v>
      </c>
      <c r="E92" s="379">
        <v>2.28</v>
      </c>
      <c r="F92" s="257" t="s">
        <v>54</v>
      </c>
      <c r="G92" s="282">
        <v>4920.6349206349205</v>
      </c>
      <c r="H92" s="305">
        <v>0.78</v>
      </c>
      <c r="I92" s="306">
        <v>4.12</v>
      </c>
    </row>
    <row r="93" ht="22.5" customHeight="1">
      <c r="A93" s="376">
        <v>29.0</v>
      </c>
      <c r="B93" s="291" t="s">
        <v>182</v>
      </c>
      <c r="C93" s="281">
        <v>4.735681908276032E11</v>
      </c>
      <c r="D93" s="377">
        <f t="shared" si="1"/>
        <v>1074999793179</v>
      </c>
      <c r="E93" s="378">
        <v>2.27</v>
      </c>
      <c r="F93" s="257" t="s">
        <v>33</v>
      </c>
      <c r="G93" s="282">
        <v>10634.920634920634</v>
      </c>
      <c r="H93" s="305">
        <v>0.852</v>
      </c>
      <c r="I93" s="306">
        <v>7.61</v>
      </c>
    </row>
    <row r="94" ht="22.5" customHeight="1">
      <c r="A94" s="376">
        <v>43.0</v>
      </c>
      <c r="B94" s="294" t="s">
        <v>252</v>
      </c>
      <c r="C94" s="281">
        <v>2.5368360056325E11</v>
      </c>
      <c r="D94" s="377">
        <f t="shared" si="1"/>
        <v>575861773279</v>
      </c>
      <c r="E94" s="379">
        <v>2.27</v>
      </c>
      <c r="F94" s="257" t="s">
        <v>33</v>
      </c>
      <c r="G94" s="282">
        <v>8055.555555555556</v>
      </c>
      <c r="H94" s="305">
        <v>0.765</v>
      </c>
      <c r="I94" s="306">
        <v>5.7</v>
      </c>
    </row>
    <row r="95" ht="22.5" customHeight="1">
      <c r="A95" s="376">
        <v>163.0</v>
      </c>
      <c r="B95" s="256" t="s">
        <v>980</v>
      </c>
      <c r="C95" s="281">
        <v>5.401980623015873E8</v>
      </c>
      <c r="D95" s="377">
        <f t="shared" si="1"/>
        <v>1220847621</v>
      </c>
      <c r="E95" s="379">
        <v>2.26</v>
      </c>
      <c r="F95" s="257" t="s">
        <v>33</v>
      </c>
      <c r="G95" s="282">
        <v>11269.84126984127</v>
      </c>
      <c r="H95" s="305">
        <v>0.752</v>
      </c>
      <c r="I95" s="306">
        <v>8.97</v>
      </c>
    </row>
    <row r="96" ht="22.5" customHeight="1">
      <c r="A96" s="376">
        <v>60.0</v>
      </c>
      <c r="B96" s="256" t="s">
        <v>383</v>
      </c>
      <c r="C96" s="281">
        <v>1.153328334107143E11</v>
      </c>
      <c r="D96" s="377">
        <f t="shared" si="1"/>
        <v>259498875174</v>
      </c>
      <c r="E96" s="379">
        <v>2.25</v>
      </c>
      <c r="F96" s="257" t="s">
        <v>33</v>
      </c>
      <c r="G96" s="282">
        <v>10515.873015873016</v>
      </c>
      <c r="H96" s="305">
        <v>0.758</v>
      </c>
      <c r="I96" s="306">
        <v>0.61</v>
      </c>
    </row>
    <row r="97" ht="22.5" customHeight="1">
      <c r="A97" s="376">
        <v>99.0</v>
      </c>
      <c r="B97" s="264" t="s">
        <v>603</v>
      </c>
      <c r="C97" s="281">
        <v>3.6522059566666664E10</v>
      </c>
      <c r="D97" s="377">
        <f t="shared" si="1"/>
        <v>82174634025</v>
      </c>
      <c r="E97" s="379">
        <v>2.25</v>
      </c>
      <c r="F97" s="257" t="s">
        <v>54</v>
      </c>
      <c r="G97" s="282">
        <v>7301.587301587301</v>
      </c>
      <c r="H97" s="305">
        <v>0.773</v>
      </c>
      <c r="I97" s="306">
        <v>6.78</v>
      </c>
    </row>
    <row r="98" ht="22.5" customHeight="1">
      <c r="A98" s="376">
        <v>74.0</v>
      </c>
      <c r="B98" s="264" t="s">
        <v>467</v>
      </c>
      <c r="C98" s="281">
        <v>6.907179064629366E10</v>
      </c>
      <c r="D98" s="377">
        <f t="shared" si="1"/>
        <v>154030093141</v>
      </c>
      <c r="E98" s="378">
        <v>2.23</v>
      </c>
      <c r="F98" s="257" t="s">
        <v>26</v>
      </c>
      <c r="G98" s="282">
        <v>5039.68253968254</v>
      </c>
      <c r="H98" s="305">
        <v>0.668</v>
      </c>
      <c r="I98" s="306">
        <v>5.31</v>
      </c>
    </row>
    <row r="99" ht="22.5" customHeight="1">
      <c r="A99" s="376">
        <v>66.0</v>
      </c>
      <c r="B99" s="256" t="s">
        <v>419</v>
      </c>
      <c r="C99" s="281">
        <v>9.336046975E10</v>
      </c>
      <c r="D99" s="377">
        <f t="shared" si="1"/>
        <v>205393033450</v>
      </c>
      <c r="E99" s="379">
        <v>2.2</v>
      </c>
      <c r="F99" s="257" t="s">
        <v>47</v>
      </c>
      <c r="G99" s="282">
        <v>8333.333333333334</v>
      </c>
      <c r="H99" s="305">
        <v>0.779</v>
      </c>
      <c r="I99" s="306">
        <v>8.74</v>
      </c>
    </row>
    <row r="100" ht="22.5" customHeight="1">
      <c r="A100" s="376">
        <v>164.0</v>
      </c>
      <c r="B100" s="264" t="s">
        <v>986</v>
      </c>
      <c r="C100" s="281">
        <v>4.172759413333333E8</v>
      </c>
      <c r="D100" s="377">
        <f t="shared" si="1"/>
        <v>905488792.7</v>
      </c>
      <c r="E100" s="379">
        <v>2.17</v>
      </c>
      <c r="F100" s="257" t="s">
        <v>121</v>
      </c>
      <c r="G100" s="282">
        <v>5039.68253968254</v>
      </c>
      <c r="H100" s="305">
        <v>0.8</v>
      </c>
      <c r="I100" s="306">
        <v>7.18</v>
      </c>
    </row>
    <row r="101" ht="22.5" customHeight="1">
      <c r="A101" s="376">
        <v>13.0</v>
      </c>
      <c r="B101" s="294" t="s">
        <v>130</v>
      </c>
      <c r="C101" s="281">
        <v>9.621865886412301E11</v>
      </c>
      <c r="D101" s="377">
        <f t="shared" si="1"/>
        <v>2068701165579</v>
      </c>
      <c r="E101" s="378">
        <v>2.15</v>
      </c>
      <c r="F101" s="257" t="s">
        <v>54</v>
      </c>
      <c r="G101" s="282">
        <v>11230.15873015873</v>
      </c>
      <c r="H101" s="305">
        <v>0.834</v>
      </c>
      <c r="I101" s="306">
        <v>7.02</v>
      </c>
    </row>
    <row r="102" ht="22.5" customHeight="1">
      <c r="A102" s="376">
        <v>71.0</v>
      </c>
      <c r="B102" s="256" t="s">
        <v>449</v>
      </c>
      <c r="C102" s="281">
        <v>7.42341875E10</v>
      </c>
      <c r="D102" s="377">
        <f t="shared" si="1"/>
        <v>158861161250</v>
      </c>
      <c r="E102" s="379">
        <v>2.14</v>
      </c>
      <c r="F102" s="257" t="s">
        <v>121</v>
      </c>
      <c r="G102" s="282">
        <v>6031.746031746032</v>
      </c>
      <c r="H102" s="305">
        <v>0.801</v>
      </c>
      <c r="I102" s="306">
        <v>6.04</v>
      </c>
    </row>
    <row r="103" ht="22.5" customHeight="1">
      <c r="A103" s="376">
        <v>116.0</v>
      </c>
      <c r="B103" s="256" t="s">
        <v>708</v>
      </c>
      <c r="C103" s="281">
        <v>1.922844342222222E10</v>
      </c>
      <c r="D103" s="377">
        <f t="shared" si="1"/>
        <v>40956584489</v>
      </c>
      <c r="E103" s="379">
        <v>2.13</v>
      </c>
      <c r="F103" s="257" t="s">
        <v>121</v>
      </c>
      <c r="G103" s="282">
        <v>6111.111111111111</v>
      </c>
      <c r="H103" s="305">
        <v>0.803</v>
      </c>
      <c r="I103" s="306">
        <v>5.07</v>
      </c>
    </row>
    <row r="104" ht="22.5" customHeight="1">
      <c r="A104" s="376">
        <v>73.0</v>
      </c>
      <c r="B104" s="256" t="s">
        <v>461</v>
      </c>
      <c r="C104" s="281">
        <v>6.952607438083333E10</v>
      </c>
      <c r="D104" s="377">
        <f t="shared" si="1"/>
        <v>147395277687</v>
      </c>
      <c r="E104" s="379">
        <v>2.12</v>
      </c>
      <c r="F104" s="257" t="s">
        <v>121</v>
      </c>
      <c r="G104" s="282">
        <v>6309.523809523809</v>
      </c>
      <c r="H104" s="305">
        <v>0.805</v>
      </c>
      <c r="I104" s="306">
        <v>8.73</v>
      </c>
    </row>
    <row r="105" ht="22.5" customHeight="1">
      <c r="A105" s="376">
        <v>48.0</v>
      </c>
      <c r="B105" s="264" t="s">
        <v>299</v>
      </c>
      <c r="C105" s="281">
        <v>2.0217224663999997E11</v>
      </c>
      <c r="D105" s="377">
        <f t="shared" si="1"/>
        <v>426583440410</v>
      </c>
      <c r="E105" s="379">
        <v>2.11</v>
      </c>
      <c r="F105" s="257" t="s">
        <v>40</v>
      </c>
      <c r="G105" s="282">
        <v>6388.888888888889</v>
      </c>
      <c r="H105" s="305">
        <v>0.807</v>
      </c>
      <c r="I105" s="306">
        <v>6.08</v>
      </c>
    </row>
    <row r="106" ht="22.5" customHeight="1">
      <c r="A106" s="376">
        <v>55.0</v>
      </c>
      <c r="B106" s="264" t="s">
        <v>353</v>
      </c>
      <c r="C106" s="281">
        <v>1.371663268755E11</v>
      </c>
      <c r="D106" s="377">
        <f t="shared" si="1"/>
        <v>289420949707</v>
      </c>
      <c r="E106" s="378">
        <v>2.11</v>
      </c>
      <c r="F106" s="257" t="s">
        <v>40</v>
      </c>
      <c r="G106" s="282">
        <v>7500.0</v>
      </c>
      <c r="H106" s="305">
        <v>0.88</v>
      </c>
      <c r="I106" s="306">
        <v>9.51</v>
      </c>
    </row>
    <row r="107" ht="22.5" customHeight="1">
      <c r="A107" s="376">
        <v>33.0</v>
      </c>
      <c r="B107" s="291" t="s">
        <v>218</v>
      </c>
      <c r="C107" s="281">
        <v>3.616348482671428E11</v>
      </c>
      <c r="D107" s="377">
        <f t="shared" si="1"/>
        <v>759433181361</v>
      </c>
      <c r="E107" s="378">
        <v>2.1</v>
      </c>
      <c r="F107" s="257" t="s">
        <v>47</v>
      </c>
      <c r="G107" s="282">
        <v>4880.952380952381</v>
      </c>
      <c r="H107" s="305">
        <v>0.655</v>
      </c>
      <c r="I107" s="306">
        <v>8.98</v>
      </c>
    </row>
    <row r="108" ht="22.5" customHeight="1">
      <c r="A108" s="376">
        <v>90.0</v>
      </c>
      <c r="B108" s="264" t="s">
        <v>555</v>
      </c>
      <c r="C108" s="281">
        <v>4.691162472007936E10</v>
      </c>
      <c r="D108" s="377">
        <f t="shared" si="1"/>
        <v>98514411912</v>
      </c>
      <c r="E108" s="379">
        <v>2.1</v>
      </c>
      <c r="F108" s="257" t="s">
        <v>47</v>
      </c>
      <c r="G108" s="282">
        <v>12936.507936507936</v>
      </c>
      <c r="H108" s="305">
        <v>0.776</v>
      </c>
      <c r="I108" s="306">
        <v>6.07</v>
      </c>
    </row>
    <row r="109" ht="22.5" customHeight="1">
      <c r="A109" s="376">
        <v>139.0</v>
      </c>
      <c r="B109" s="264" t="s">
        <v>838</v>
      </c>
      <c r="C109" s="281">
        <v>7.143614195142858E9</v>
      </c>
      <c r="D109" s="377">
        <f t="shared" si="1"/>
        <v>14858717526</v>
      </c>
      <c r="E109" s="378">
        <v>2.08</v>
      </c>
      <c r="F109" s="257" t="s">
        <v>121</v>
      </c>
      <c r="G109" s="282">
        <v>18968.25396825397</v>
      </c>
      <c r="H109" s="305">
        <v>0.763</v>
      </c>
      <c r="I109" s="306">
        <v>6.43</v>
      </c>
    </row>
    <row r="110" ht="22.5" customHeight="1">
      <c r="A110" s="376">
        <v>88.0</v>
      </c>
      <c r="B110" s="256" t="s">
        <v>543</v>
      </c>
      <c r="C110" s="281">
        <v>4.9370042944444435E10</v>
      </c>
      <c r="D110" s="377">
        <f t="shared" si="1"/>
        <v>102195988895</v>
      </c>
      <c r="E110" s="379">
        <v>2.07</v>
      </c>
      <c r="F110" s="257" t="s">
        <v>121</v>
      </c>
      <c r="G110" s="282">
        <v>7222.222222222222</v>
      </c>
      <c r="H110" s="305">
        <v>0.81</v>
      </c>
      <c r="I110" s="306">
        <v>3.68</v>
      </c>
    </row>
    <row r="111" ht="22.5" customHeight="1">
      <c r="A111" s="376">
        <v>67.0</v>
      </c>
      <c r="B111" s="256" t="s">
        <v>425</v>
      </c>
      <c r="C111" s="281">
        <v>9.232235512499998E10</v>
      </c>
      <c r="D111" s="377">
        <f t="shared" si="1"/>
        <v>190184051558</v>
      </c>
      <c r="E111" s="379">
        <v>2.06</v>
      </c>
      <c r="F111" s="257" t="s">
        <v>121</v>
      </c>
      <c r="G111" s="282">
        <v>7222.222222222222</v>
      </c>
      <c r="H111" s="305">
        <v>0.812</v>
      </c>
      <c r="I111" s="306">
        <v>6.75</v>
      </c>
    </row>
    <row r="112" ht="22.5" customHeight="1">
      <c r="A112" s="376">
        <v>130.0</v>
      </c>
      <c r="B112" s="256" t="s">
        <v>786</v>
      </c>
      <c r="C112" s="281">
        <v>1.02057848585E10</v>
      </c>
      <c r="D112" s="377">
        <f t="shared" si="1"/>
        <v>20819801111</v>
      </c>
      <c r="E112" s="379">
        <v>2.04</v>
      </c>
      <c r="F112" s="257" t="s">
        <v>26</v>
      </c>
      <c r="G112" s="282">
        <v>7261.9047619047615</v>
      </c>
      <c r="H112" s="305">
        <v>0.815</v>
      </c>
      <c r="I112" s="306">
        <v>7.36</v>
      </c>
    </row>
    <row r="113" ht="22.5" customHeight="1">
      <c r="A113" s="376">
        <v>30.0</v>
      </c>
      <c r="B113" s="291" t="s">
        <v>177</v>
      </c>
      <c r="C113" s="281">
        <v>4.320269695451429E11</v>
      </c>
      <c r="D113" s="377">
        <f t="shared" si="1"/>
        <v>877014748177</v>
      </c>
      <c r="E113" s="378">
        <v>2.03</v>
      </c>
      <c r="F113" s="257" t="s">
        <v>40</v>
      </c>
      <c r="G113" s="282">
        <v>15515.873015873016</v>
      </c>
      <c r="H113" s="305">
        <v>0.847</v>
      </c>
      <c r="I113" s="306">
        <v>7.03</v>
      </c>
    </row>
    <row r="114" ht="22.5" customHeight="1">
      <c r="A114" s="376">
        <v>141.0</v>
      </c>
      <c r="B114" s="256" t="s">
        <v>850</v>
      </c>
      <c r="C114" s="281">
        <v>6.445839964999999E9</v>
      </c>
      <c r="D114" s="377">
        <f t="shared" si="1"/>
        <v>12891679930</v>
      </c>
      <c r="E114" s="379">
        <v>2.0</v>
      </c>
      <c r="F114" s="257" t="s">
        <v>33</v>
      </c>
      <c r="G114" s="282">
        <v>8492.063492063491</v>
      </c>
      <c r="H114" s="305">
        <v>0.818</v>
      </c>
      <c r="I114" s="306">
        <v>6.43</v>
      </c>
    </row>
    <row r="115" ht="22.5" customHeight="1">
      <c r="A115" s="376">
        <v>42.0</v>
      </c>
      <c r="B115" s="291" t="s">
        <v>229</v>
      </c>
      <c r="C115" s="281">
        <v>2.915548945833334E11</v>
      </c>
      <c r="D115" s="377">
        <f t="shared" si="1"/>
        <v>577278691275</v>
      </c>
      <c r="E115" s="379">
        <v>1.98</v>
      </c>
      <c r="F115" s="257" t="s">
        <v>121</v>
      </c>
      <c r="G115" s="282">
        <v>8769.84126984127</v>
      </c>
      <c r="H115" s="305">
        <v>0.82</v>
      </c>
      <c r="I115" s="306">
        <v>5.58</v>
      </c>
    </row>
    <row r="116" ht="22.5" customHeight="1">
      <c r="A116" s="376">
        <v>171.0</v>
      </c>
      <c r="B116" s="264" t="s">
        <v>1026</v>
      </c>
      <c r="C116" s="281">
        <v>4.8167166666666664E7</v>
      </c>
      <c r="D116" s="377">
        <f t="shared" si="1"/>
        <v>94407646.67</v>
      </c>
      <c r="E116" s="379">
        <v>1.96</v>
      </c>
      <c r="F116" s="257" t="s">
        <v>121</v>
      </c>
      <c r="G116" s="282">
        <v>9325.396825396825</v>
      </c>
      <c r="H116" s="305">
        <v>0.822</v>
      </c>
      <c r="I116" s="306">
        <v>5.15</v>
      </c>
    </row>
    <row r="117" ht="22.5" customHeight="1">
      <c r="A117" s="376">
        <v>6.0</v>
      </c>
      <c r="B117" s="294" t="s">
        <v>51</v>
      </c>
      <c r="C117" s="281">
        <v>2.805116867174722E12</v>
      </c>
      <c r="D117" s="377">
        <f t="shared" si="1"/>
        <v>5357773216304</v>
      </c>
      <c r="E117" s="379">
        <v>1.91</v>
      </c>
      <c r="F117" s="257" t="s">
        <v>54</v>
      </c>
      <c r="G117" s="282">
        <v>10753.968253968254</v>
      </c>
      <c r="H117" s="305">
        <v>0.825</v>
      </c>
      <c r="I117" s="306">
        <v>6.21</v>
      </c>
    </row>
    <row r="118" ht="22.5" customHeight="1">
      <c r="A118" s="376">
        <v>153.0</v>
      </c>
      <c r="B118" s="264" t="s">
        <v>920</v>
      </c>
      <c r="C118" s="281">
        <v>2.0398260333333337E9</v>
      </c>
      <c r="D118" s="377">
        <f t="shared" si="1"/>
        <v>3875669463</v>
      </c>
      <c r="E118" s="379">
        <v>1.9</v>
      </c>
      <c r="F118" s="257" t="s">
        <v>121</v>
      </c>
      <c r="G118" s="282">
        <v>10753.968253968254</v>
      </c>
      <c r="H118" s="305">
        <v>0.827</v>
      </c>
      <c r="I118" s="306">
        <v>5.2</v>
      </c>
    </row>
    <row r="119" ht="22.5" customHeight="1">
      <c r="A119" s="376">
        <v>17.0</v>
      </c>
      <c r="B119" s="291" t="s">
        <v>94</v>
      </c>
      <c r="C119" s="281">
        <v>7.90959715766615E11</v>
      </c>
      <c r="D119" s="377">
        <f t="shared" si="1"/>
        <v>1479094668484</v>
      </c>
      <c r="E119" s="379">
        <v>1.87</v>
      </c>
      <c r="F119" s="257" t="s">
        <v>40</v>
      </c>
      <c r="G119" s="282">
        <v>10992.063492063491</v>
      </c>
      <c r="H119" s="305">
        <v>0.832</v>
      </c>
      <c r="I119" s="306">
        <v>1.53</v>
      </c>
    </row>
    <row r="120" ht="22.5" customHeight="1">
      <c r="A120" s="376">
        <v>47.0</v>
      </c>
      <c r="B120" s="292" t="s">
        <v>287</v>
      </c>
      <c r="C120" s="281">
        <v>2.209924513740873E11</v>
      </c>
      <c r="D120" s="377">
        <f t="shared" si="1"/>
        <v>406626110528</v>
      </c>
      <c r="E120" s="379">
        <v>1.84</v>
      </c>
      <c r="F120" s="257" t="s">
        <v>54</v>
      </c>
      <c r="G120" s="282">
        <v>11230.15873015873</v>
      </c>
      <c r="H120" s="305">
        <v>0.836</v>
      </c>
      <c r="I120" s="306">
        <v>7.88</v>
      </c>
    </row>
    <row r="121" ht="22.5" customHeight="1">
      <c r="A121" s="376">
        <v>5.0</v>
      </c>
      <c r="B121" s="294" t="s">
        <v>37</v>
      </c>
      <c r="C121" s="281">
        <v>4.1219802919744165E12</v>
      </c>
      <c r="D121" s="377">
        <f t="shared" si="1"/>
        <v>7460784328474</v>
      </c>
      <c r="E121" s="379">
        <v>1.81</v>
      </c>
      <c r="F121" s="257" t="s">
        <v>40</v>
      </c>
      <c r="G121" s="282">
        <v>11861.111111111111</v>
      </c>
      <c r="H121" s="305">
        <v>0.839</v>
      </c>
      <c r="I121" s="306">
        <v>8.15</v>
      </c>
    </row>
    <row r="122" ht="22.5" customHeight="1">
      <c r="A122" s="376">
        <v>107.0</v>
      </c>
      <c r="B122" s="256" t="s">
        <v>649</v>
      </c>
      <c r="C122" s="281">
        <v>2.8578230591142853E10</v>
      </c>
      <c r="D122" s="377">
        <f t="shared" si="1"/>
        <v>50011903535</v>
      </c>
      <c r="E122" s="379">
        <v>1.75</v>
      </c>
      <c r="F122" s="257" t="s">
        <v>40</v>
      </c>
      <c r="G122" s="282">
        <v>13214.285714285714</v>
      </c>
      <c r="H122" s="305">
        <v>0.843</v>
      </c>
      <c r="I122" s="306">
        <v>4.96</v>
      </c>
    </row>
    <row r="123" ht="22.5" customHeight="1">
      <c r="A123" s="376">
        <v>86.0</v>
      </c>
      <c r="B123" s="256" t="s">
        <v>531</v>
      </c>
      <c r="C123" s="281">
        <v>5.0800889917031746E10</v>
      </c>
      <c r="D123" s="377">
        <f t="shared" si="1"/>
        <v>88393548456</v>
      </c>
      <c r="E123" s="379">
        <v>1.74</v>
      </c>
      <c r="F123" s="257" t="s">
        <v>26</v>
      </c>
      <c r="G123" s="282">
        <v>11230.15873015873</v>
      </c>
      <c r="H123" s="305">
        <v>0.856</v>
      </c>
      <c r="I123" s="306">
        <v>8.12</v>
      </c>
    </row>
    <row r="124" ht="22.5" customHeight="1">
      <c r="A124" s="376">
        <v>128.0</v>
      </c>
      <c r="B124" s="256" t="s">
        <v>780</v>
      </c>
      <c r="C124" s="281">
        <v>1.125041036367853E10</v>
      </c>
      <c r="D124" s="377">
        <f t="shared" si="1"/>
        <v>19238201722</v>
      </c>
      <c r="E124" s="379">
        <v>1.71</v>
      </c>
      <c r="F124" s="257" t="s">
        <v>121</v>
      </c>
      <c r="G124" s="282">
        <v>11892.8571428571</v>
      </c>
      <c r="H124" s="305">
        <v>0.858</v>
      </c>
      <c r="I124" s="306">
        <v>9.22</v>
      </c>
    </row>
    <row r="125" ht="22.5" customHeight="1">
      <c r="A125" s="376">
        <v>118.0</v>
      </c>
      <c r="B125" s="256" t="s">
        <v>720</v>
      </c>
      <c r="C125" s="281">
        <v>1.8087912917500004E10</v>
      </c>
      <c r="D125" s="377">
        <f t="shared" si="1"/>
        <v>30387693701</v>
      </c>
      <c r="E125" s="379">
        <v>1.68</v>
      </c>
      <c r="F125" s="257" t="s">
        <v>26</v>
      </c>
      <c r="G125" s="282">
        <v>8333.333333333334</v>
      </c>
      <c r="H125" s="305">
        <v>0.883</v>
      </c>
      <c r="I125" s="306">
        <v>6.18</v>
      </c>
    </row>
    <row r="126" ht="22.5" customHeight="1">
      <c r="A126" s="376">
        <v>70.0</v>
      </c>
      <c r="B126" s="268" t="s">
        <v>443</v>
      </c>
      <c r="C126" s="281">
        <v>7.42659909142857E10</v>
      </c>
      <c r="D126" s="377">
        <f t="shared" si="1"/>
        <v>123281544918</v>
      </c>
      <c r="E126" s="379">
        <v>1.66</v>
      </c>
      <c r="F126" s="257" t="s">
        <v>54</v>
      </c>
      <c r="G126" s="282">
        <v>13769.84126984127</v>
      </c>
      <c r="H126" s="305">
        <v>0.86</v>
      </c>
      <c r="I126" s="306">
        <v>8.03</v>
      </c>
    </row>
    <row r="127" ht="22.5" customHeight="1">
      <c r="A127" s="376">
        <v>23.0</v>
      </c>
      <c r="B127" s="294" t="s">
        <v>159</v>
      </c>
      <c r="C127" s="281">
        <v>6.527985783585398E11</v>
      </c>
      <c r="D127" s="377">
        <f t="shared" si="1"/>
        <v>1077117654292</v>
      </c>
      <c r="E127" s="379">
        <v>1.65</v>
      </c>
      <c r="F127" s="257" t="s">
        <v>40</v>
      </c>
      <c r="G127" s="282">
        <v>8769.84126984127</v>
      </c>
      <c r="H127" s="305">
        <v>0.887</v>
      </c>
      <c r="I127" s="306">
        <v>7.84</v>
      </c>
    </row>
    <row r="128" ht="22.5" customHeight="1">
      <c r="A128" s="376">
        <v>24.0</v>
      </c>
      <c r="B128" s="294" t="s">
        <v>188</v>
      </c>
      <c r="C128" s="281">
        <v>5.926600069775E11</v>
      </c>
      <c r="D128" s="377">
        <f t="shared" si="1"/>
        <v>977889011513</v>
      </c>
      <c r="E128" s="378">
        <v>1.65</v>
      </c>
      <c r="F128" s="257" t="s">
        <v>33</v>
      </c>
      <c r="G128" s="282">
        <v>15277.777777777777</v>
      </c>
      <c r="H128" s="305">
        <v>0.913</v>
      </c>
      <c r="I128" s="306">
        <v>1.35</v>
      </c>
    </row>
    <row r="129" ht="22.5" customHeight="1">
      <c r="A129" s="376">
        <v>57.0</v>
      </c>
      <c r="B129" s="268" t="s">
        <v>365</v>
      </c>
      <c r="C129" s="281">
        <v>1.2803953061682541E11</v>
      </c>
      <c r="D129" s="377">
        <f t="shared" si="1"/>
        <v>208704434905</v>
      </c>
      <c r="E129" s="379">
        <v>1.63</v>
      </c>
      <c r="F129" s="257" t="s">
        <v>54</v>
      </c>
      <c r="G129" s="282">
        <v>8849.20634920635</v>
      </c>
      <c r="H129" s="305">
        <v>0.89</v>
      </c>
      <c r="I129" s="306">
        <v>6.43</v>
      </c>
    </row>
    <row r="130" ht="22.5" customHeight="1">
      <c r="A130" s="376">
        <v>64.0</v>
      </c>
      <c r="B130" s="256" t="s">
        <v>407</v>
      </c>
      <c r="C130" s="281">
        <v>9.617548558285713E10</v>
      </c>
      <c r="D130" s="377">
        <f t="shared" si="1"/>
        <v>155804286644</v>
      </c>
      <c r="E130" s="379">
        <v>1.62</v>
      </c>
      <c r="F130" s="257" t="s">
        <v>26</v>
      </c>
      <c r="G130" s="282">
        <v>14603.174603174602</v>
      </c>
      <c r="H130" s="305">
        <v>0.862</v>
      </c>
      <c r="I130" s="306">
        <v>6.91</v>
      </c>
    </row>
    <row r="131" ht="22.5" customHeight="1">
      <c r="A131" s="376">
        <v>91.0</v>
      </c>
      <c r="B131" s="268" t="s">
        <v>561</v>
      </c>
      <c r="C131" s="281">
        <v>4.635525885047619E10</v>
      </c>
      <c r="D131" s="377">
        <f t="shared" si="1"/>
        <v>74168414161</v>
      </c>
      <c r="E131" s="379">
        <v>1.6</v>
      </c>
      <c r="F131" s="257" t="s">
        <v>54</v>
      </c>
      <c r="G131" s="282">
        <v>14841.269841269841</v>
      </c>
      <c r="H131" s="305">
        <v>0.865</v>
      </c>
      <c r="I131" s="306">
        <v>7.85</v>
      </c>
    </row>
    <row r="132" ht="22.5" customHeight="1">
      <c r="A132" s="376">
        <v>14.0</v>
      </c>
      <c r="B132" s="291" t="s">
        <v>118</v>
      </c>
      <c r="C132" s="281">
        <v>9.569425622773809E11</v>
      </c>
      <c r="D132" s="377">
        <f t="shared" si="1"/>
        <v>1521538674021</v>
      </c>
      <c r="E132" s="379">
        <v>1.59</v>
      </c>
      <c r="F132" s="257" t="s">
        <v>121</v>
      </c>
      <c r="G132" s="282">
        <v>10198.412698412698</v>
      </c>
      <c r="H132" s="305">
        <v>0.892</v>
      </c>
      <c r="I132" s="306">
        <v>8.91</v>
      </c>
    </row>
    <row r="133" ht="22.5" customHeight="1">
      <c r="A133" s="376">
        <v>61.0</v>
      </c>
      <c r="B133" s="268" t="s">
        <v>389</v>
      </c>
      <c r="C133" s="281">
        <v>1.1323190641714287E11</v>
      </c>
      <c r="D133" s="377">
        <f t="shared" si="1"/>
        <v>180038731203</v>
      </c>
      <c r="E133" s="379">
        <v>1.59</v>
      </c>
      <c r="F133" s="257" t="s">
        <v>54</v>
      </c>
      <c r="G133" s="282">
        <v>9206.349206349207</v>
      </c>
      <c r="H133" s="305">
        <v>0.895</v>
      </c>
      <c r="I133" s="306">
        <v>9.77</v>
      </c>
    </row>
    <row r="134" ht="22.5" customHeight="1">
      <c r="A134" s="376">
        <v>15.0</v>
      </c>
      <c r="B134" s="291" t="s">
        <v>147</v>
      </c>
      <c r="C134" s="281">
        <v>8.343564116486666E11</v>
      </c>
      <c r="D134" s="377">
        <f t="shared" si="1"/>
        <v>1309939566288</v>
      </c>
      <c r="E134" s="379">
        <v>1.57</v>
      </c>
      <c r="F134" s="257" t="s">
        <v>26</v>
      </c>
      <c r="G134" s="282">
        <v>15555.555555555555</v>
      </c>
      <c r="H134" s="305">
        <v>0.868</v>
      </c>
      <c r="I134" s="306">
        <v>3.26</v>
      </c>
    </row>
    <row r="135" ht="22.5" customHeight="1">
      <c r="A135" s="376">
        <v>26.0</v>
      </c>
      <c r="B135" s="294" t="s">
        <v>106</v>
      </c>
      <c r="C135" s="281">
        <v>5.3937474341666656E11</v>
      </c>
      <c r="D135" s="377">
        <f t="shared" si="1"/>
        <v>836030852296</v>
      </c>
      <c r="E135" s="379">
        <v>1.55</v>
      </c>
      <c r="F135" s="257" t="s">
        <v>84</v>
      </c>
      <c r="G135" s="282">
        <v>10119.047619047618</v>
      </c>
      <c r="H135" s="305">
        <v>0.9</v>
      </c>
      <c r="I135" s="306">
        <v>4.93</v>
      </c>
    </row>
    <row r="136" ht="22.5" customHeight="1">
      <c r="A136" s="376">
        <v>101.0</v>
      </c>
      <c r="B136" s="264" t="s">
        <v>615</v>
      </c>
      <c r="C136" s="281">
        <v>3.4937151856416664E10</v>
      </c>
      <c r="D136" s="377">
        <f t="shared" si="1"/>
        <v>53453842340</v>
      </c>
      <c r="E136" s="379">
        <v>1.53</v>
      </c>
      <c r="F136" s="257" t="s">
        <v>26</v>
      </c>
      <c r="G136" s="282">
        <v>10436.507936507936</v>
      </c>
      <c r="H136" s="305">
        <v>0.901</v>
      </c>
      <c r="I136" s="306">
        <v>8.59</v>
      </c>
    </row>
    <row r="137" ht="22.5" customHeight="1">
      <c r="A137" s="376">
        <v>136.0</v>
      </c>
      <c r="B137" s="256" t="s">
        <v>820</v>
      </c>
      <c r="C137" s="281">
        <v>8.282208199206349E9</v>
      </c>
      <c r="D137" s="377">
        <f t="shared" si="1"/>
        <v>12257668135</v>
      </c>
      <c r="E137" s="379">
        <v>1.48</v>
      </c>
      <c r="F137" s="257" t="s">
        <v>121</v>
      </c>
      <c r="G137" s="282">
        <v>18492.06349206349</v>
      </c>
      <c r="H137" s="305">
        <v>0.871</v>
      </c>
      <c r="I137" s="306">
        <v>7.33</v>
      </c>
    </row>
    <row r="138" ht="22.5" customHeight="1">
      <c r="A138" s="376">
        <v>16.0</v>
      </c>
      <c r="B138" s="291" t="s">
        <v>100</v>
      </c>
      <c r="C138" s="281">
        <v>7.931441333630952E11</v>
      </c>
      <c r="D138" s="377">
        <f t="shared" si="1"/>
        <v>1165921876044</v>
      </c>
      <c r="E138" s="379">
        <v>1.47</v>
      </c>
      <c r="F138" s="257" t="s">
        <v>84</v>
      </c>
      <c r="G138" s="282">
        <v>12738.095238095239</v>
      </c>
      <c r="H138" s="305">
        <v>0.903</v>
      </c>
      <c r="I138" s="306">
        <v>7.18</v>
      </c>
    </row>
    <row r="139" ht="22.5" customHeight="1">
      <c r="A139" s="376">
        <v>41.0</v>
      </c>
      <c r="B139" s="291" t="s">
        <v>223</v>
      </c>
      <c r="C139" s="281">
        <v>2.945909132422222E11</v>
      </c>
      <c r="D139" s="377">
        <f t="shared" si="1"/>
        <v>430102733334</v>
      </c>
      <c r="E139" s="379">
        <v>1.46</v>
      </c>
      <c r="F139" s="257" t="s">
        <v>26</v>
      </c>
      <c r="G139" s="282">
        <v>18650.79365079365</v>
      </c>
      <c r="H139" s="305">
        <v>0.874</v>
      </c>
      <c r="I139" s="306">
        <v>9.25</v>
      </c>
    </row>
    <row r="140" ht="22.5" customHeight="1">
      <c r="A140" s="376">
        <v>152.0</v>
      </c>
      <c r="B140" s="264" t="s">
        <v>914</v>
      </c>
      <c r="C140" s="281">
        <v>2.5975672581746035E9</v>
      </c>
      <c r="D140" s="377">
        <f t="shared" si="1"/>
        <v>3714521179</v>
      </c>
      <c r="E140" s="378">
        <v>1.43</v>
      </c>
      <c r="F140" s="257" t="s">
        <v>84</v>
      </c>
      <c r="G140" s="282">
        <v>353.1746031746032</v>
      </c>
      <c r="H140" s="305">
        <v>0.528</v>
      </c>
      <c r="I140" s="306">
        <v>1.8</v>
      </c>
    </row>
    <row r="141" ht="22.5" customHeight="1">
      <c r="A141" s="376">
        <v>12.0</v>
      </c>
      <c r="B141" s="294" t="s">
        <v>75</v>
      </c>
      <c r="C141" s="281">
        <v>1.0008001620057144E12</v>
      </c>
      <c r="D141" s="377">
        <f t="shared" si="1"/>
        <v>1401120226808</v>
      </c>
      <c r="E141" s="379">
        <v>1.4</v>
      </c>
      <c r="F141" s="257" t="s">
        <v>40</v>
      </c>
      <c r="G141" s="282">
        <v>12579.36507936508</v>
      </c>
      <c r="H141" s="305">
        <v>0.918</v>
      </c>
      <c r="I141" s="306">
        <v>3.1</v>
      </c>
    </row>
    <row r="142" ht="22.5" customHeight="1">
      <c r="A142" s="376">
        <v>51.0</v>
      </c>
      <c r="B142" s="264" t="s">
        <v>329</v>
      </c>
      <c r="C142" s="281">
        <v>1.6512376833333334E11</v>
      </c>
      <c r="D142" s="377">
        <f t="shared" si="1"/>
        <v>231173275667</v>
      </c>
      <c r="E142" s="379">
        <v>1.4</v>
      </c>
      <c r="F142" s="257" t="s">
        <v>84</v>
      </c>
      <c r="G142" s="282">
        <v>20634.920634920636</v>
      </c>
      <c r="H142" s="305">
        <v>0.876</v>
      </c>
      <c r="I142" s="306">
        <v>7.1</v>
      </c>
    </row>
    <row r="143" ht="22.5" customHeight="1">
      <c r="A143" s="376">
        <v>117.0</v>
      </c>
      <c r="B143" s="264" t="s">
        <v>714</v>
      </c>
      <c r="C143" s="281">
        <v>1.89349201013373E10</v>
      </c>
      <c r="D143" s="377">
        <f t="shared" si="1"/>
        <v>26508888142</v>
      </c>
      <c r="E143" s="379">
        <v>1.4</v>
      </c>
      <c r="F143" s="257" t="s">
        <v>26</v>
      </c>
      <c r="G143" s="282">
        <v>14563.492063492064</v>
      </c>
      <c r="H143" s="305">
        <v>0.907</v>
      </c>
      <c r="I143" s="306">
        <v>5.24</v>
      </c>
    </row>
    <row r="144" ht="22.5" customHeight="1">
      <c r="A144" s="376">
        <v>25.0</v>
      </c>
      <c r="B144" s="292" t="s">
        <v>1268</v>
      </c>
      <c r="C144" s="281">
        <v>5.557264545083333E11</v>
      </c>
      <c r="D144" s="377">
        <f t="shared" si="1"/>
        <v>772459771767</v>
      </c>
      <c r="E144" s="379">
        <v>1.39</v>
      </c>
      <c r="F144" s="257" t="s">
        <v>54</v>
      </c>
      <c r="G144" s="282">
        <v>14166.666666666666</v>
      </c>
      <c r="H144" s="305">
        <v>0.911</v>
      </c>
      <c r="I144" s="306">
        <v>6.39</v>
      </c>
    </row>
    <row r="145" ht="22.5" customHeight="1">
      <c r="A145" s="376">
        <v>2.0</v>
      </c>
      <c r="B145" s="291" t="s">
        <v>30</v>
      </c>
      <c r="C145" s="281">
        <v>9.578388947393557E12</v>
      </c>
      <c r="D145" s="377">
        <f t="shared" si="1"/>
        <v>13026608968455</v>
      </c>
      <c r="E145" s="378">
        <v>1.36</v>
      </c>
      <c r="F145" s="257" t="s">
        <v>33</v>
      </c>
      <c r="G145" s="282">
        <v>10754.9682539683</v>
      </c>
      <c r="H145" s="305">
        <v>0.895</v>
      </c>
      <c r="I145" s="306">
        <v>6.21</v>
      </c>
    </row>
    <row r="146" ht="22.5" customHeight="1">
      <c r="A146" s="376">
        <v>31.0</v>
      </c>
      <c r="B146" s="294" t="s">
        <v>141</v>
      </c>
      <c r="C146" s="281">
        <v>4.099474265333333E11</v>
      </c>
      <c r="D146" s="377">
        <f t="shared" si="1"/>
        <v>545230077289</v>
      </c>
      <c r="E146" s="379">
        <v>1.33</v>
      </c>
      <c r="F146" s="257" t="s">
        <v>84</v>
      </c>
      <c r="G146" s="282">
        <v>14047.619047619048</v>
      </c>
      <c r="H146" s="305">
        <v>0.924</v>
      </c>
      <c r="I146" s="306">
        <v>8.64</v>
      </c>
    </row>
    <row r="147" ht="22.5" customHeight="1">
      <c r="A147" s="376">
        <v>36.0</v>
      </c>
      <c r="B147" s="292" t="s">
        <v>235</v>
      </c>
      <c r="C147" s="281">
        <v>3.402753834503968E11</v>
      </c>
      <c r="D147" s="377">
        <f t="shared" si="1"/>
        <v>452566259989</v>
      </c>
      <c r="E147" s="379">
        <v>1.33</v>
      </c>
      <c r="F147" s="257" t="s">
        <v>54</v>
      </c>
      <c r="G147" s="282">
        <v>18492.06349206349</v>
      </c>
      <c r="H147" s="305">
        <v>0.902</v>
      </c>
      <c r="I147" s="306">
        <v>8.85</v>
      </c>
    </row>
    <row r="148" ht="22.5" customHeight="1">
      <c r="A148" s="376">
        <v>28.0</v>
      </c>
      <c r="B148" s="291" t="s">
        <v>241</v>
      </c>
      <c r="C148" s="281">
        <v>4.8001429786984125E11</v>
      </c>
      <c r="D148" s="377">
        <f t="shared" si="1"/>
        <v>633618873188</v>
      </c>
      <c r="E148" s="379">
        <v>1.32</v>
      </c>
      <c r="F148" s="257" t="s">
        <v>84</v>
      </c>
      <c r="G148" s="282">
        <v>23174.603174603173</v>
      </c>
      <c r="H148" s="305">
        <v>0.88</v>
      </c>
      <c r="I148" s="306">
        <v>8.72</v>
      </c>
    </row>
    <row r="149" ht="22.5" customHeight="1">
      <c r="A149" s="376">
        <v>115.0</v>
      </c>
      <c r="B149" s="256" t="s">
        <v>702</v>
      </c>
      <c r="C149" s="281">
        <v>1.945066095E10</v>
      </c>
      <c r="D149" s="377">
        <f t="shared" si="1"/>
        <v>25480365845</v>
      </c>
      <c r="E149" s="379">
        <v>1.31</v>
      </c>
      <c r="F149" s="257" t="s">
        <v>26</v>
      </c>
      <c r="G149" s="282">
        <v>16785.714285714286</v>
      </c>
      <c r="H149" s="305">
        <v>0.914</v>
      </c>
      <c r="I149" s="306">
        <v>4.44</v>
      </c>
    </row>
    <row r="150" ht="22.5" customHeight="1">
      <c r="A150" s="376">
        <v>37.0</v>
      </c>
      <c r="B150" s="292" t="s">
        <v>293</v>
      </c>
      <c r="C150" s="281">
        <v>3.3188385360206354E11</v>
      </c>
      <c r="D150" s="377">
        <f t="shared" si="1"/>
        <v>431449009683</v>
      </c>
      <c r="E150" s="379">
        <v>1.3</v>
      </c>
      <c r="F150" s="257" t="s">
        <v>54</v>
      </c>
      <c r="G150" s="282">
        <v>14206.349206349207</v>
      </c>
      <c r="H150" s="305">
        <v>0.929</v>
      </c>
      <c r="I150" s="306">
        <v>2.34</v>
      </c>
    </row>
    <row r="151" ht="22.5" customHeight="1">
      <c r="A151" s="376">
        <v>46.0</v>
      </c>
      <c r="B151" s="291" t="s">
        <v>281</v>
      </c>
      <c r="C151" s="281">
        <v>2.2476871917111108E11</v>
      </c>
      <c r="D151" s="377">
        <f t="shared" si="1"/>
        <v>289951647731</v>
      </c>
      <c r="E151" s="379">
        <v>1.29</v>
      </c>
      <c r="F151" s="257" t="s">
        <v>40</v>
      </c>
      <c r="G151" s="282">
        <v>16269.84126984127</v>
      </c>
      <c r="H151" s="305">
        <v>0.921</v>
      </c>
      <c r="I151" s="306">
        <v>9.07</v>
      </c>
    </row>
    <row r="152" ht="22.5" customHeight="1">
      <c r="A152" s="376">
        <v>89.0</v>
      </c>
      <c r="B152" s="264" t="s">
        <v>549</v>
      </c>
      <c r="C152" s="281">
        <v>4.8050425958333336E10</v>
      </c>
      <c r="D152" s="377">
        <f t="shared" si="1"/>
        <v>61985049486</v>
      </c>
      <c r="E152" s="379">
        <v>1.29</v>
      </c>
      <c r="F152" s="257" t="s">
        <v>84</v>
      </c>
      <c r="G152" s="282">
        <v>23452.38095238095</v>
      </c>
      <c r="H152" s="305">
        <v>0.885</v>
      </c>
      <c r="I152" s="306">
        <v>6.92</v>
      </c>
    </row>
    <row r="153" ht="22.5" customHeight="1">
      <c r="A153" s="376">
        <v>77.0</v>
      </c>
      <c r="B153" s="256" t="s">
        <v>485</v>
      </c>
      <c r="C153" s="281">
        <v>5.940411107142857E10</v>
      </c>
      <c r="D153" s="377">
        <f t="shared" si="1"/>
        <v>76037262171</v>
      </c>
      <c r="E153" s="379">
        <v>1.28</v>
      </c>
      <c r="F153" s="257" t="s">
        <v>26</v>
      </c>
      <c r="G153" s="282">
        <v>12857.142857142857</v>
      </c>
      <c r="H153" s="305">
        <v>0.939</v>
      </c>
      <c r="I153" s="306">
        <v>7.68</v>
      </c>
    </row>
    <row r="154" ht="22.5" customHeight="1">
      <c r="A154" s="376">
        <v>119.0</v>
      </c>
      <c r="B154" s="264" t="s">
        <v>726</v>
      </c>
      <c r="C154" s="281">
        <v>1.7965300833333332E10</v>
      </c>
      <c r="D154" s="377">
        <f t="shared" si="1"/>
        <v>21917667017</v>
      </c>
      <c r="E154" s="379">
        <v>1.22</v>
      </c>
      <c r="F154" s="257" t="s">
        <v>121</v>
      </c>
      <c r="G154" s="282">
        <v>24603.174603174604</v>
      </c>
      <c r="H154" s="305">
        <v>0.892</v>
      </c>
      <c r="I154" s="306">
        <v>5.68</v>
      </c>
    </row>
    <row r="155" ht="22.5" customHeight="1">
      <c r="A155" s="376">
        <v>19.0</v>
      </c>
      <c r="B155" s="292" t="s">
        <v>112</v>
      </c>
      <c r="C155" s="281">
        <v>7.47841249925E11</v>
      </c>
      <c r="D155" s="377">
        <f t="shared" si="1"/>
        <v>904887912409</v>
      </c>
      <c r="E155" s="378">
        <v>1.21</v>
      </c>
      <c r="F155" s="257" t="s">
        <v>54</v>
      </c>
      <c r="G155" s="282">
        <v>25000.0</v>
      </c>
      <c r="H155" s="305">
        <v>0.947</v>
      </c>
      <c r="I155" s="306">
        <v>8.56</v>
      </c>
    </row>
    <row r="156" ht="22.5" customHeight="1">
      <c r="A156" s="376">
        <v>135.0</v>
      </c>
      <c r="B156" s="264" t="s">
        <v>814</v>
      </c>
      <c r="C156" s="281">
        <v>8.502698295964286E9</v>
      </c>
      <c r="D156" s="377">
        <f t="shared" si="1"/>
        <v>10118210972</v>
      </c>
      <c r="E156" s="379">
        <v>1.19</v>
      </c>
      <c r="F156" s="257" t="s">
        <v>33</v>
      </c>
      <c r="G156" s="282">
        <v>24642.85714285714</v>
      </c>
      <c r="H156" s="305">
        <v>0.899</v>
      </c>
      <c r="I156" s="306">
        <v>7.84</v>
      </c>
    </row>
    <row r="157" ht="22.5" customHeight="1">
      <c r="A157" s="376">
        <v>109.0</v>
      </c>
      <c r="B157" s="256" t="s">
        <v>660</v>
      </c>
      <c r="C157" s="281">
        <v>2.6789607288888885E10</v>
      </c>
      <c r="D157" s="377">
        <f t="shared" si="1"/>
        <v>31343840528</v>
      </c>
      <c r="E157" s="378">
        <v>1.17</v>
      </c>
      <c r="F157" s="257" t="s">
        <v>40</v>
      </c>
      <c r="G157" s="282">
        <v>13055.555555555555</v>
      </c>
      <c r="H157" s="305">
        <v>0.841</v>
      </c>
      <c r="I157" s="306">
        <v>2.76</v>
      </c>
    </row>
    <row r="158" ht="22.5" customHeight="1">
      <c r="A158" s="376">
        <v>53.0</v>
      </c>
      <c r="B158" s="264" t="s">
        <v>1292</v>
      </c>
      <c r="C158" s="281">
        <v>1.613006854725E11</v>
      </c>
      <c r="D158" s="377">
        <f t="shared" si="1"/>
        <v>183882781439</v>
      </c>
      <c r="E158" s="379">
        <v>1.14</v>
      </c>
      <c r="F158" s="257" t="s">
        <v>26</v>
      </c>
      <c r="G158" s="282">
        <v>24722.222222222223</v>
      </c>
      <c r="H158" s="305">
        <v>0.908</v>
      </c>
      <c r="I158" s="306">
        <v>7.39</v>
      </c>
    </row>
    <row r="159" ht="22.5" customHeight="1">
      <c r="A159" s="376">
        <v>124.0</v>
      </c>
      <c r="B159" s="256" t="s">
        <v>756</v>
      </c>
      <c r="C159" s="281">
        <v>1.399074406857143E10</v>
      </c>
      <c r="D159" s="377">
        <f t="shared" si="1"/>
        <v>15809540797</v>
      </c>
      <c r="E159" s="379">
        <v>1.13</v>
      </c>
      <c r="F159" s="257" t="s">
        <v>26</v>
      </c>
      <c r="G159" s="282">
        <v>16785.714285714286</v>
      </c>
      <c r="H159" s="332">
        <v>0.95</v>
      </c>
      <c r="I159" s="306">
        <v>8.07</v>
      </c>
    </row>
    <row r="160" ht="22.5" customHeight="1">
      <c r="A160" s="376">
        <v>9.0</v>
      </c>
      <c r="B160" s="292" t="s">
        <v>88</v>
      </c>
      <c r="C160" s="281">
        <v>1.6779023509650793E12</v>
      </c>
      <c r="D160" s="377">
        <f t="shared" si="1"/>
        <v>1828913562552</v>
      </c>
      <c r="E160" s="379">
        <v>1.09</v>
      </c>
      <c r="F160" s="257" t="s">
        <v>54</v>
      </c>
      <c r="G160" s="282">
        <v>20634.920634920636</v>
      </c>
      <c r="H160" s="305">
        <v>0.939</v>
      </c>
      <c r="I160" s="306">
        <v>6.84</v>
      </c>
    </row>
    <row r="161" ht="22.5" customHeight="1">
      <c r="A161" s="376">
        <v>49.0</v>
      </c>
      <c r="B161" s="256" t="s">
        <v>1288</v>
      </c>
      <c r="C161" s="281">
        <v>1.8727303026535712E11</v>
      </c>
      <c r="D161" s="377">
        <f t="shared" si="1"/>
        <v>202254872687</v>
      </c>
      <c r="E161" s="379">
        <v>1.08</v>
      </c>
      <c r="F161" s="257" t="s">
        <v>26</v>
      </c>
      <c r="G161" s="282">
        <v>19642.85714285714</v>
      </c>
      <c r="H161" s="305">
        <v>0.945</v>
      </c>
      <c r="I161" s="306">
        <v>8.44</v>
      </c>
    </row>
    <row r="162" ht="22.5" customHeight="1">
      <c r="A162" s="376">
        <v>56.0</v>
      </c>
      <c r="B162" s="256" t="s">
        <v>359</v>
      </c>
      <c r="C162" s="281">
        <v>1.3519286644888887E11</v>
      </c>
      <c r="D162" s="377">
        <f t="shared" si="1"/>
        <v>144656367100</v>
      </c>
      <c r="E162" s="379">
        <v>1.07</v>
      </c>
      <c r="F162" s="257" t="s">
        <v>26</v>
      </c>
      <c r="G162" s="282">
        <v>18174.603174603173</v>
      </c>
      <c r="H162" s="305">
        <v>0.955</v>
      </c>
      <c r="I162" s="306">
        <v>8.77</v>
      </c>
    </row>
    <row r="163" ht="22.5" customHeight="1">
      <c r="A163" s="376">
        <v>8.0</v>
      </c>
      <c r="B163" s="292" t="s">
        <v>69</v>
      </c>
      <c r="C163" s="281">
        <v>2.1092741372392856E12</v>
      </c>
      <c r="D163" s="377">
        <f t="shared" si="1"/>
        <v>2193645102729</v>
      </c>
      <c r="E163" s="378">
        <v>1.04</v>
      </c>
      <c r="F163" s="257" t="s">
        <v>54</v>
      </c>
      <c r="G163" s="282">
        <v>23214.285714285714</v>
      </c>
      <c r="H163" s="305">
        <v>0.945</v>
      </c>
      <c r="I163" s="306">
        <v>7.64</v>
      </c>
    </row>
    <row r="164" ht="22.5" customHeight="1">
      <c r="A164" s="376">
        <v>18.0</v>
      </c>
      <c r="B164" s="292" t="s">
        <v>200</v>
      </c>
      <c r="C164" s="281">
        <v>7.507990984866667E11</v>
      </c>
      <c r="D164" s="377">
        <f t="shared" si="1"/>
        <v>765815080456</v>
      </c>
      <c r="E164" s="379">
        <v>1.02</v>
      </c>
      <c r="F164" s="257" t="s">
        <v>54</v>
      </c>
      <c r="G164" s="282">
        <v>19087.301587301587</v>
      </c>
      <c r="H164" s="305">
        <v>0.96</v>
      </c>
      <c r="I164" s="306">
        <v>5.49</v>
      </c>
    </row>
    <row r="165" ht="22.5" customHeight="1">
      <c r="A165" s="376">
        <v>3.0</v>
      </c>
      <c r="B165" s="291" t="s">
        <v>23</v>
      </c>
      <c r="C165" s="281">
        <v>8.579395623719494E12</v>
      </c>
      <c r="D165" s="377">
        <f t="shared" si="1"/>
        <v>8579395623719</v>
      </c>
      <c r="E165" s="378">
        <v>1.0</v>
      </c>
      <c r="F165" s="257" t="s">
        <v>26</v>
      </c>
      <c r="G165" s="282">
        <v>28492.0634920635</v>
      </c>
      <c r="H165" s="305">
        <v>0.942</v>
      </c>
      <c r="I165" s="306">
        <v>6.92</v>
      </c>
    </row>
    <row r="166" ht="22.5" customHeight="1">
      <c r="A166" s="376">
        <v>85.0</v>
      </c>
      <c r="B166" s="264" t="s">
        <v>526</v>
      </c>
      <c r="C166" s="281">
        <v>5.085189152175E10</v>
      </c>
      <c r="D166" s="377">
        <f t="shared" si="1"/>
        <v>48817815861</v>
      </c>
      <c r="E166" s="379">
        <v>0.96</v>
      </c>
      <c r="F166" s="257" t="s">
        <v>33</v>
      </c>
      <c r="G166" s="282">
        <v>30992.06349206349</v>
      </c>
      <c r="H166" s="305">
        <v>0.913</v>
      </c>
      <c r="I166" s="306">
        <v>2.88</v>
      </c>
    </row>
    <row r="167" ht="22.5" customHeight="1">
      <c r="A167" s="376">
        <v>27.0</v>
      </c>
      <c r="B167" s="294" t="s">
        <v>135</v>
      </c>
      <c r="C167" s="281">
        <v>4.8941259411523804E11</v>
      </c>
      <c r="D167" s="377">
        <f t="shared" si="1"/>
        <v>460047838468</v>
      </c>
      <c r="E167" s="378">
        <v>0.94</v>
      </c>
      <c r="F167" s="257" t="s">
        <v>33</v>
      </c>
      <c r="G167" s="282">
        <v>22896.825396825396</v>
      </c>
      <c r="H167" s="305">
        <v>0.731</v>
      </c>
      <c r="I167" s="306">
        <v>5.11</v>
      </c>
    </row>
    <row r="168" ht="22.5" customHeight="1">
      <c r="A168" s="376">
        <v>122.0</v>
      </c>
      <c r="B168" s="272" t="s">
        <v>744</v>
      </c>
      <c r="C168" s="281">
        <v>1.4985365694444447E10</v>
      </c>
      <c r="D168" s="377">
        <f t="shared" si="1"/>
        <v>13786536439</v>
      </c>
      <c r="E168" s="378">
        <v>0.92</v>
      </c>
      <c r="F168" s="257" t="s">
        <v>54</v>
      </c>
      <c r="G168" s="282">
        <v>18253.968253968254</v>
      </c>
      <c r="H168" s="305">
        <v>0.93</v>
      </c>
      <c r="I168" s="306">
        <v>9.69</v>
      </c>
    </row>
    <row r="169" ht="22.5" customHeight="1">
      <c r="A169" s="376">
        <v>10.0</v>
      </c>
      <c r="B169" s="292" t="s">
        <v>63</v>
      </c>
      <c r="C169" s="281">
        <v>1.5495283490952378E12</v>
      </c>
      <c r="D169" s="377">
        <f t="shared" si="1"/>
        <v>1368233532251</v>
      </c>
      <c r="E169" s="379">
        <v>0.883</v>
      </c>
      <c r="F169" s="257" t="s">
        <v>54</v>
      </c>
      <c r="G169" s="282">
        <v>22301.5873015873</v>
      </c>
      <c r="H169" s="305">
        <v>0.974</v>
      </c>
      <c r="I169" s="306">
        <v>9.59</v>
      </c>
    </row>
    <row r="170" ht="22.5" customHeight="1">
      <c r="A170" s="376">
        <v>65.0</v>
      </c>
      <c r="B170" s="268" t="s">
        <v>413</v>
      </c>
      <c r="C170" s="281">
        <v>9.597048444765872E10</v>
      </c>
      <c r="D170" s="377">
        <f t="shared" si="1"/>
        <v>82150734687</v>
      </c>
      <c r="E170" s="379">
        <v>0.856</v>
      </c>
      <c r="F170" s="257" t="s">
        <v>54</v>
      </c>
      <c r="G170" s="282">
        <v>29484.126984126982</v>
      </c>
      <c r="H170" s="305">
        <v>0.958</v>
      </c>
      <c r="I170" s="306">
        <v>8.14</v>
      </c>
    </row>
    <row r="171" ht="22.5" customHeight="1">
      <c r="A171" s="376">
        <v>7.0</v>
      </c>
      <c r="B171" s="291" t="s">
        <v>57</v>
      </c>
      <c r="C171" s="281">
        <v>2.6429905686190796E12</v>
      </c>
      <c r="D171" s="377">
        <f t="shared" si="1"/>
        <v>2191039181385</v>
      </c>
      <c r="E171" s="379">
        <v>0.829</v>
      </c>
      <c r="F171" s="257" t="s">
        <v>26</v>
      </c>
      <c r="G171" s="282">
        <v>35396.8253968254</v>
      </c>
      <c r="H171" s="305">
        <v>0.969</v>
      </c>
      <c r="I171" s="306">
        <v>9.04</v>
      </c>
    </row>
    <row r="172" ht="22.5" customHeight="1">
      <c r="A172" s="376">
        <v>145.0</v>
      </c>
      <c r="B172" s="264" t="s">
        <v>874</v>
      </c>
      <c r="C172" s="281">
        <v>5.438761930555556E9</v>
      </c>
      <c r="D172" s="377">
        <f t="shared" si="1"/>
        <v>4361887068</v>
      </c>
      <c r="E172" s="379">
        <v>0.802</v>
      </c>
      <c r="F172" s="257" t="s">
        <v>54</v>
      </c>
      <c r="G172" s="282">
        <v>40873.01587301587</v>
      </c>
      <c r="H172" s="305">
        <v>0.952</v>
      </c>
      <c r="I172" s="306">
        <v>6.73</v>
      </c>
    </row>
    <row r="173" ht="22.5" customHeight="1">
      <c r="A173" s="376">
        <v>62.0</v>
      </c>
      <c r="B173" s="264" t="s">
        <v>395</v>
      </c>
      <c r="C173" s="281">
        <v>1.0713399671333333E11</v>
      </c>
      <c r="D173" s="377">
        <f t="shared" si="1"/>
        <v>83028847453</v>
      </c>
      <c r="E173" s="379">
        <v>0.775</v>
      </c>
      <c r="F173" s="257" t="s">
        <v>33</v>
      </c>
      <c r="G173" s="282">
        <v>40476.19047619047</v>
      </c>
      <c r="H173" s="305">
        <v>0.963</v>
      </c>
      <c r="I173" s="306">
        <v>2.57</v>
      </c>
    </row>
    <row r="174" ht="22.5" customHeight="1">
      <c r="A174" s="376"/>
      <c r="B174" s="279"/>
      <c r="C174" s="281"/>
      <c r="D174" s="377"/>
      <c r="E174" s="382"/>
      <c r="F174" s="257" t="s">
        <v>1045</v>
      </c>
      <c r="G174" s="282"/>
      <c r="I174" s="279"/>
    </row>
    <row r="175">
      <c r="A175" s="383"/>
      <c r="B175" s="72"/>
      <c r="C175" s="76"/>
      <c r="D175" s="384"/>
      <c r="E175" s="385"/>
      <c r="F175" s="72"/>
      <c r="G175" s="77"/>
      <c r="H175" s="72"/>
      <c r="I175" s="72"/>
    </row>
    <row r="176">
      <c r="A176" s="383"/>
      <c r="B176" s="72"/>
      <c r="C176" s="76"/>
      <c r="D176" s="384"/>
      <c r="E176" s="386"/>
      <c r="F176" s="85"/>
      <c r="G176" s="83"/>
      <c r="H176" s="87"/>
      <c r="I176" s="72"/>
    </row>
    <row r="177">
      <c r="A177" s="383"/>
      <c r="B177" s="72"/>
      <c r="C177" s="76"/>
      <c r="D177" s="384"/>
      <c r="E177" s="386"/>
      <c r="F177" s="85"/>
      <c r="G177" s="91"/>
      <c r="H177" s="87"/>
      <c r="I177" s="72"/>
    </row>
    <row r="178">
      <c r="A178" s="383"/>
      <c r="B178" s="86"/>
      <c r="C178" s="76"/>
      <c r="D178" s="384"/>
      <c r="E178" s="386"/>
      <c r="F178" s="85"/>
      <c r="G178" s="83"/>
      <c r="H178" s="87"/>
      <c r="I178" s="72"/>
    </row>
    <row r="179">
      <c r="A179" s="383"/>
      <c r="B179" s="86"/>
      <c r="C179" s="76"/>
      <c r="D179" s="384"/>
      <c r="E179" s="386"/>
      <c r="F179" s="85"/>
      <c r="G179" s="72"/>
      <c r="H179" s="87"/>
      <c r="I179" s="72"/>
    </row>
    <row r="180">
      <c r="A180" s="383"/>
      <c r="B180" s="86"/>
      <c r="C180" s="76"/>
      <c r="D180" s="384"/>
      <c r="E180" s="386"/>
      <c r="F180" s="85"/>
      <c r="G180" s="72"/>
      <c r="H180" s="87"/>
      <c r="I180" s="72"/>
    </row>
    <row r="181">
      <c r="A181" s="383"/>
      <c r="B181" s="86"/>
      <c r="C181" s="76"/>
      <c r="D181" s="384"/>
      <c r="E181" s="386"/>
      <c r="F181" s="85"/>
      <c r="G181" s="72"/>
      <c r="H181" s="87"/>
      <c r="I181" s="72"/>
    </row>
    <row r="182">
      <c r="A182" s="383"/>
      <c r="B182" s="86"/>
      <c r="C182" s="76"/>
      <c r="D182" s="384"/>
      <c r="E182" s="386"/>
      <c r="F182" s="85"/>
      <c r="G182" s="72"/>
      <c r="H182" s="87"/>
      <c r="I182" s="72"/>
    </row>
    <row r="183">
      <c r="A183" s="383"/>
      <c r="B183" s="86"/>
      <c r="C183" s="76"/>
      <c r="D183" s="384"/>
      <c r="E183" s="386"/>
      <c r="F183" s="85"/>
      <c r="G183" s="72"/>
      <c r="H183" s="87"/>
      <c r="I183" s="72"/>
    </row>
    <row r="184">
      <c r="A184" s="383"/>
      <c r="B184" s="86"/>
      <c r="C184" s="76"/>
      <c r="D184" s="384"/>
      <c r="E184" s="386"/>
      <c r="F184" s="85"/>
      <c r="G184" s="72"/>
      <c r="H184" s="87"/>
      <c r="I184" s="72"/>
    </row>
    <row r="185">
      <c r="A185" s="383"/>
      <c r="B185" s="86"/>
      <c r="C185" s="76"/>
      <c r="D185" s="387"/>
      <c r="E185" s="386"/>
      <c r="F185" s="85"/>
      <c r="G185" s="72"/>
      <c r="H185" s="87"/>
      <c r="I185" s="72"/>
    </row>
  </sheetData>
  <conditionalFormatting sqref="E1:E185">
    <cfRule type="colorScale" priority="1">
      <colorScale>
        <cfvo type="formula" val="0"/>
        <cfvo type="formula" val="2"/>
        <cfvo type="formula" val="4"/>
        <color rgb="FF38761D"/>
        <color rgb="FFD9D9D9"/>
        <color rgb="FFCC4125"/>
      </colorScale>
    </cfRule>
  </conditionalFormatting>
  <dataValidations>
    <dataValidation type="custom" allowBlank="1" showDropDown="1" sqref="C2:C173 E2:E173 G2:G173">
      <formula1>AND(ISNUMBER(C2),(NOT(OR(NOT(ISERROR(DATEVALUE(C2))), AND(ISNUMBER(C2), LEFT(CELL("format", C2))="D")))))</formula1>
    </dataValidation>
    <dataValidation allowBlank="1" showDropDown="1" sqref="B2:B173"/>
  </dataValidations>
  <drawing r:id="rId1"/>
  <tableParts count="2">
    <tablePart r:id="rId4"/>
    <tablePart r:id="rId5"/>
  </tableParts>
</worksheet>
</file>