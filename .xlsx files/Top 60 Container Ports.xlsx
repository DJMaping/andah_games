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<sst xmlns="http://schemas.openxmlformats.org/spreadsheetml/2006/main" count="248" uniqueCount="155">
  <si>
    <t>No</t>
  </si>
  <si>
    <t>Port</t>
  </si>
  <si>
    <t>Country</t>
  </si>
  <si>
    <t>Reagion</t>
  </si>
  <si>
    <t>Location</t>
  </si>
  <si>
    <t>Cargo</t>
  </si>
  <si>
    <t>Column 1</t>
  </si>
  <si>
    <t>Column 2</t>
  </si>
  <si>
    <t>Havok</t>
  </si>
  <si>
    <t>Pelugrotoa</t>
  </si>
  <si>
    <t>North Mahea</t>
  </si>
  <si>
    <t>Risvor River Delta</t>
  </si>
  <si>
    <t>Fekhalai</t>
  </si>
  <si>
    <t>Dahe</t>
  </si>
  <si>
    <t>West Massir</t>
  </si>
  <si>
    <t>Keisashi Sea</t>
  </si>
  <si>
    <t>Tirna-Rovik</t>
  </si>
  <si>
    <t>Raledria</t>
  </si>
  <si>
    <t>Central Atirha</t>
  </si>
  <si>
    <t>Dsnanjo Delta</t>
  </si>
  <si>
    <t>Zhulenga</t>
  </si>
  <si>
    <t>Sheilia Sea</t>
  </si>
  <si>
    <t>Sirio</t>
  </si>
  <si>
    <t>Adrad Sea</t>
  </si>
  <si>
    <t>Puzhu</t>
  </si>
  <si>
    <t>Emara</t>
  </si>
  <si>
    <t>South Ayuma</t>
  </si>
  <si>
    <t xml:space="preserve">Elishara Delta </t>
  </si>
  <si>
    <t>Vulna</t>
  </si>
  <si>
    <t>Seytinemas</t>
  </si>
  <si>
    <t>West Mahea</t>
  </si>
  <si>
    <t>Ubrana Sea</t>
  </si>
  <si>
    <t>Shinlotha</t>
  </si>
  <si>
    <t>Liat-Vestoria</t>
  </si>
  <si>
    <t>Merela Sta</t>
  </si>
  <si>
    <t>West Ayuma</t>
  </si>
  <si>
    <t xml:space="preserve">Ryska Delta </t>
  </si>
  <si>
    <t>Drevok</t>
  </si>
  <si>
    <t>Gulf of Delic</t>
  </si>
  <si>
    <t>Koyaya</t>
  </si>
  <si>
    <t>Sanagara</t>
  </si>
  <si>
    <t>Sanagara Strait</t>
  </si>
  <si>
    <t>Mahana</t>
  </si>
  <si>
    <t>Areoix Lie</t>
  </si>
  <si>
    <t>North Acrola</t>
  </si>
  <si>
    <t>Red River Delta</t>
  </si>
  <si>
    <t>Albiran</t>
  </si>
  <si>
    <t>Etirha</t>
  </si>
  <si>
    <t>East Atirha</t>
  </si>
  <si>
    <t>Rianian Ocean</t>
  </si>
  <si>
    <t>Ikatumo</t>
  </si>
  <si>
    <t>Josnon Sea</t>
  </si>
  <si>
    <t>Walfrei</t>
  </si>
  <si>
    <t>Verusa</t>
  </si>
  <si>
    <t>Lutur</t>
  </si>
  <si>
    <t>Chaenia</t>
  </si>
  <si>
    <t>Batikolo</t>
  </si>
  <si>
    <t>Oyreain</t>
  </si>
  <si>
    <t>Alubri City</t>
  </si>
  <si>
    <t xml:space="preserve">North of Tiesa Canal </t>
  </si>
  <si>
    <t>Zornak</t>
  </si>
  <si>
    <t>Ealdorii</t>
  </si>
  <si>
    <t>Central Ayuma</t>
  </si>
  <si>
    <t>Tasa Bay</t>
  </si>
  <si>
    <t>Sarwun</t>
  </si>
  <si>
    <t>Estijan</t>
  </si>
  <si>
    <t>North Ayuma</t>
  </si>
  <si>
    <t>Blue River Delta</t>
  </si>
  <si>
    <t>Varnan</t>
  </si>
  <si>
    <t>Inania</t>
  </si>
  <si>
    <t>Lebrin River Delta</t>
  </si>
  <si>
    <t>Chishanov</t>
  </si>
  <si>
    <t>Vishanna Ocean</t>
  </si>
  <si>
    <t>Tosakaa</t>
  </si>
  <si>
    <t>Guise</t>
  </si>
  <si>
    <t>Paviri</t>
  </si>
  <si>
    <t>Easuhura</t>
  </si>
  <si>
    <t>Ders Strait</t>
  </si>
  <si>
    <t>Ralut</t>
  </si>
  <si>
    <t>Verste</t>
  </si>
  <si>
    <t>West Quia</t>
  </si>
  <si>
    <t>Bay of Screti</t>
  </si>
  <si>
    <t>Zunle</t>
  </si>
  <si>
    <t>Uscea Sea</t>
  </si>
  <si>
    <t>Mihkose</t>
  </si>
  <si>
    <t>Ztesh</t>
  </si>
  <si>
    <t>North Quia</t>
  </si>
  <si>
    <t>Northern Quian Sea</t>
  </si>
  <si>
    <t>Roviri</t>
  </si>
  <si>
    <t>United Delet</t>
  </si>
  <si>
    <t>North New Ayre</t>
  </si>
  <si>
    <t>Sahare Gulf</t>
  </si>
  <si>
    <t>Tarnokh</t>
  </si>
  <si>
    <t>Treka</t>
  </si>
  <si>
    <t>Trian</t>
  </si>
  <si>
    <t>Kiasri</t>
  </si>
  <si>
    <t>Vayvele</t>
  </si>
  <si>
    <t>East Mahea</t>
  </si>
  <si>
    <t>Gulf of Ale</t>
  </si>
  <si>
    <t>Pha Hii</t>
  </si>
  <si>
    <t>Yi Ono Bay</t>
  </si>
  <si>
    <t>Hikrum</t>
  </si>
  <si>
    <t>Sunsokua</t>
  </si>
  <si>
    <t>Wekhalu</t>
  </si>
  <si>
    <t>Serutha</t>
  </si>
  <si>
    <t>Erkizil</t>
  </si>
  <si>
    <t>Great Hinsakian Ocean</t>
  </si>
  <si>
    <t>Phinlaza</t>
  </si>
  <si>
    <t>Port Sarlda</t>
  </si>
  <si>
    <t>Ashain</t>
  </si>
  <si>
    <t>Hannian Ocean</t>
  </si>
  <si>
    <t>Horika</t>
  </si>
  <si>
    <t>Weregami</t>
  </si>
  <si>
    <t>Suenan</t>
  </si>
  <si>
    <t>Ribash</t>
  </si>
  <si>
    <t>Ahokini</t>
  </si>
  <si>
    <t>Ashanian Sea</t>
  </si>
  <si>
    <t>Sombritaji</t>
  </si>
  <si>
    <t>Taval</t>
  </si>
  <si>
    <t>North Massir</t>
  </si>
  <si>
    <t>Diairesi Sea</t>
  </si>
  <si>
    <t>Maranthulo</t>
  </si>
  <si>
    <t>Canldives</t>
  </si>
  <si>
    <t>Qinliya</t>
  </si>
  <si>
    <t>Aeses Delta</t>
  </si>
  <si>
    <t>Vintamar</t>
  </si>
  <si>
    <t>Tarakenda</t>
  </si>
  <si>
    <t>Rivik</t>
  </si>
  <si>
    <t>Brimasha</t>
  </si>
  <si>
    <t>Praesyu</t>
  </si>
  <si>
    <t>Nasuanian Sea</t>
  </si>
  <si>
    <t>Lunava</t>
  </si>
  <si>
    <t>New Misos</t>
  </si>
  <si>
    <t>West Atirha</t>
  </si>
  <si>
    <t>Northern Eanif Ocean</t>
  </si>
  <si>
    <t>Mireli</t>
  </si>
  <si>
    <t>Dy</t>
  </si>
  <si>
    <t>Ukhdari</t>
  </si>
  <si>
    <t>Zirohu</t>
  </si>
  <si>
    <t>Xintali</t>
  </si>
  <si>
    <t>Chavira</t>
  </si>
  <si>
    <t>Haiza</t>
  </si>
  <si>
    <t>Kera Sea</t>
  </si>
  <si>
    <t>Nikahatu</t>
  </si>
  <si>
    <t>Tiounala</t>
  </si>
  <si>
    <t>Wudao</t>
  </si>
  <si>
    <t>Dalsjiv</t>
  </si>
  <si>
    <t>Inrea</t>
  </si>
  <si>
    <t>South Mahea</t>
  </si>
  <si>
    <t>Sakhen</t>
  </si>
  <si>
    <t>Ilicuhe</t>
  </si>
  <si>
    <t>Lunru</t>
  </si>
  <si>
    <t>Tukmeba</t>
  </si>
  <si>
    <t>North Ayre</t>
  </si>
  <si>
    <t>Sea of Miali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</si>
</sst>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Font="1"/>
    <xf borderId="0" fillId="0" fontId="2" numFmtId="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3" fontId="4" numFmtId="0" xfId="0" applyAlignment="1" applyBorder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1" displayName="Table1" name="Table1" id="1">
  <tableColumns count="6">
    <tableColumn name="No" id="1"/>
    <tableColumn name="Port" id="2"/>
    <tableColumn name="Country" id="3"/>
    <tableColumn name="Reagion" id="4"/>
    <tableColumn name="Location" id="5"/>
    <tableColumn name="Cargo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I1:I61" displayName="Table2" name="Table2" id="2">
  <tableColumns count="1">
    <tableColumn name="Column 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K1:K61" displayName="Table3" name="Table3" id="3">
  <tableColumns count="1">
    <tableColumn name="Column 2" id="1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15.0"/>
    <col customWidth="1" min="3" max="3" width="16.0"/>
    <col customWidth="1" min="4" max="4" width="14.5"/>
    <col customWidth="1" min="5" max="5" width="19.13"/>
    <col customWidth="1" min="6" max="6" width="10.0"/>
    <col customWidth="1" min="9" max="9" width="15.88"/>
    <col customWidth="1" min="11" max="11" width="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4" t="s">
        <v>6</v>
      </c>
      <c r="J1" s="3"/>
      <c r="K1" s="1" t="s">
        <v>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2.5" customHeight="1">
      <c r="A2" s="5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32528.0</v>
      </c>
      <c r="G2" s="7"/>
      <c r="H2" s="7"/>
      <c r="I2" s="8">
        <v>32.53</v>
      </c>
      <c r="J2" s="7"/>
      <c r="K2" s="9" t="str">
        <f t="shared" ref="K2:K61" si="1">CONCATENATE(B2," ",I2)</f>
        <v>Havok 32.53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22.5" customHeight="1">
      <c r="A3" s="10">
        <f t="shared" ref="A3:A61" si="2">SUM(A2+1)</f>
        <v>2</v>
      </c>
      <c r="B3" s="5" t="s">
        <v>12</v>
      </c>
      <c r="C3" s="5" t="s">
        <v>13</v>
      </c>
      <c r="D3" s="5" t="s">
        <v>14</v>
      </c>
      <c r="E3" s="5" t="s">
        <v>15</v>
      </c>
      <c r="F3" s="6">
        <v>31649.0</v>
      </c>
      <c r="G3" s="7"/>
      <c r="H3" s="7"/>
      <c r="I3" s="8">
        <v>31.65</v>
      </c>
      <c r="J3" s="7"/>
      <c r="K3" s="9" t="str">
        <f t="shared" si="1"/>
        <v>Fekhalai 31.65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2.5" customHeight="1">
      <c r="A4" s="10">
        <f t="shared" si="2"/>
        <v>3</v>
      </c>
      <c r="B4" s="5" t="s">
        <v>16</v>
      </c>
      <c r="C4" s="5" t="s">
        <v>17</v>
      </c>
      <c r="D4" s="5" t="s">
        <v>18</v>
      </c>
      <c r="E4" s="5" t="s">
        <v>19</v>
      </c>
      <c r="F4" s="6">
        <v>23118.0</v>
      </c>
      <c r="G4" s="7"/>
      <c r="H4" s="7"/>
      <c r="I4" s="8">
        <v>23.12</v>
      </c>
      <c r="J4" s="7"/>
      <c r="K4" s="9" t="str">
        <f t="shared" si="1"/>
        <v>Tirna-Rovik 23.12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2.5" customHeight="1">
      <c r="A5" s="10">
        <f t="shared" si="2"/>
        <v>4</v>
      </c>
      <c r="B5" s="5" t="s">
        <v>20</v>
      </c>
      <c r="C5" s="5" t="s">
        <v>13</v>
      </c>
      <c r="D5" s="5" t="s">
        <v>14</v>
      </c>
      <c r="E5" s="5" t="s">
        <v>21</v>
      </c>
      <c r="F5" s="6">
        <v>22960.0</v>
      </c>
      <c r="G5" s="7"/>
      <c r="H5" s="7"/>
      <c r="I5" s="8">
        <v>22.96</v>
      </c>
      <c r="J5" s="7"/>
      <c r="K5" s="9" t="str">
        <f t="shared" si="1"/>
        <v>Zhulenga 22.96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ht="22.5" customHeight="1">
      <c r="A6" s="10">
        <f t="shared" si="2"/>
        <v>5</v>
      </c>
      <c r="B6" s="5" t="s">
        <v>22</v>
      </c>
      <c r="C6" s="5" t="s">
        <v>9</v>
      </c>
      <c r="D6" s="5" t="s">
        <v>10</v>
      </c>
      <c r="E6" s="5" t="s">
        <v>23</v>
      </c>
      <c r="F6" s="6">
        <v>17023.0</v>
      </c>
      <c r="G6" s="7"/>
      <c r="H6" s="7"/>
      <c r="I6" s="8">
        <v>17.02</v>
      </c>
      <c r="J6" s="7"/>
      <c r="K6" s="9" t="str">
        <f t="shared" si="1"/>
        <v>Sirio 17.02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22.5" customHeight="1">
      <c r="A7" s="10">
        <f t="shared" si="2"/>
        <v>6</v>
      </c>
      <c r="B7" s="5" t="s">
        <v>24</v>
      </c>
      <c r="C7" s="5" t="s">
        <v>25</v>
      </c>
      <c r="D7" s="5" t="s">
        <v>26</v>
      </c>
      <c r="E7" s="5" t="s">
        <v>27</v>
      </c>
      <c r="F7" s="6">
        <v>16783.0</v>
      </c>
      <c r="G7" s="7"/>
      <c r="H7" s="7"/>
      <c r="I7" s="8">
        <v>16.78</v>
      </c>
      <c r="J7" s="7"/>
      <c r="K7" s="9" t="str">
        <f t="shared" si="1"/>
        <v>Puzhu 16.78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22.5" customHeight="1">
      <c r="A8" s="10">
        <f t="shared" si="2"/>
        <v>7</v>
      </c>
      <c r="B8" s="5" t="s">
        <v>28</v>
      </c>
      <c r="C8" s="5" t="s">
        <v>29</v>
      </c>
      <c r="D8" s="5" t="s">
        <v>30</v>
      </c>
      <c r="E8" s="5" t="s">
        <v>31</v>
      </c>
      <c r="F8" s="6">
        <v>14609.0</v>
      </c>
      <c r="G8" s="7"/>
      <c r="H8" s="7"/>
      <c r="I8" s="8">
        <v>14.61</v>
      </c>
      <c r="J8" s="7"/>
      <c r="K8" s="9" t="str">
        <f t="shared" si="1"/>
        <v>Vulna 14.61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22.5" customHeight="1">
      <c r="A9" s="10">
        <f t="shared" si="2"/>
        <v>8</v>
      </c>
      <c r="B9" s="5" t="s">
        <v>32</v>
      </c>
      <c r="C9" s="5" t="s">
        <v>13</v>
      </c>
      <c r="D9" s="5" t="s">
        <v>14</v>
      </c>
      <c r="E9" s="5" t="s">
        <v>15</v>
      </c>
      <c r="F9" s="6">
        <v>14514.0</v>
      </c>
      <c r="G9" s="7"/>
      <c r="H9" s="7"/>
      <c r="I9" s="8">
        <v>14.51</v>
      </c>
      <c r="J9" s="7"/>
      <c r="K9" s="9" t="str">
        <f t="shared" si="1"/>
        <v>Shinlotha 14.51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22.5" customHeight="1">
      <c r="A10" s="10">
        <f t="shared" si="2"/>
        <v>9</v>
      </c>
      <c r="B10" s="5" t="s">
        <v>33</v>
      </c>
      <c r="C10" s="5" t="s">
        <v>34</v>
      </c>
      <c r="D10" s="5" t="s">
        <v>35</v>
      </c>
      <c r="E10" s="5" t="s">
        <v>36</v>
      </c>
      <c r="F10" s="6">
        <v>13280.0</v>
      </c>
      <c r="G10" s="7"/>
      <c r="H10" s="7"/>
      <c r="I10" s="8">
        <v>13.28</v>
      </c>
      <c r="J10" s="7"/>
      <c r="K10" s="9" t="str">
        <f t="shared" si="1"/>
        <v>Liat-Vestoria 13.28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22.5" customHeight="1">
      <c r="A11" s="10">
        <f t="shared" si="2"/>
        <v>10</v>
      </c>
      <c r="B11" s="5" t="s">
        <v>37</v>
      </c>
      <c r="C11" s="5" t="s">
        <v>9</v>
      </c>
      <c r="D11" s="5" t="s">
        <v>10</v>
      </c>
      <c r="E11" s="5" t="s">
        <v>38</v>
      </c>
      <c r="F11" s="6">
        <v>12298.0</v>
      </c>
      <c r="G11" s="7"/>
      <c r="H11" s="7"/>
      <c r="I11" s="8">
        <v>12.3</v>
      </c>
      <c r="J11" s="7"/>
      <c r="K11" s="9" t="str">
        <f t="shared" si="1"/>
        <v>Drevok 12.3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ht="22.5" customHeight="1">
      <c r="A12" s="10">
        <f t="shared" si="2"/>
        <v>11</v>
      </c>
      <c r="B12" s="5" t="s">
        <v>39</v>
      </c>
      <c r="C12" s="5" t="s">
        <v>40</v>
      </c>
      <c r="D12" s="5" t="s">
        <v>14</v>
      </c>
      <c r="E12" s="5" t="s">
        <v>41</v>
      </c>
      <c r="F12" s="6">
        <v>11866.0</v>
      </c>
      <c r="G12" s="7"/>
      <c r="H12" s="7"/>
      <c r="I12" s="8">
        <v>11.87</v>
      </c>
      <c r="J12" s="7"/>
      <c r="K12" s="9" t="str">
        <f t="shared" si="1"/>
        <v>Koyaya 11.87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ht="22.5" customHeight="1">
      <c r="A13" s="10">
        <f t="shared" si="2"/>
        <v>12</v>
      </c>
      <c r="B13" s="5" t="s">
        <v>42</v>
      </c>
      <c r="C13" s="5" t="s">
        <v>43</v>
      </c>
      <c r="D13" s="5" t="s">
        <v>44</v>
      </c>
      <c r="E13" s="5" t="s">
        <v>45</v>
      </c>
      <c r="F13" s="6">
        <v>10001.0</v>
      </c>
      <c r="G13" s="7"/>
      <c r="H13" s="7"/>
      <c r="I13" s="8">
        <v>10.0</v>
      </c>
      <c r="J13" s="7"/>
      <c r="K13" s="9" t="str">
        <f t="shared" si="1"/>
        <v>Mahana 10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ht="22.5" customHeight="1">
      <c r="A14" s="10">
        <f t="shared" si="2"/>
        <v>13</v>
      </c>
      <c r="B14" s="5" t="s">
        <v>46</v>
      </c>
      <c r="C14" s="5" t="s">
        <v>47</v>
      </c>
      <c r="D14" s="5" t="s">
        <v>48</v>
      </c>
      <c r="E14" s="5" t="s">
        <v>49</v>
      </c>
      <c r="F14" s="6">
        <v>9781.0</v>
      </c>
      <c r="G14" s="7"/>
      <c r="H14" s="7"/>
      <c r="I14" s="8">
        <v>9.78</v>
      </c>
      <c r="J14" s="7"/>
      <c r="K14" s="9" t="str">
        <f t="shared" si="1"/>
        <v>Albiran 9.78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ht="22.5" customHeight="1">
      <c r="A15" s="10">
        <f t="shared" si="2"/>
        <v>14</v>
      </c>
      <c r="B15" s="5" t="s">
        <v>50</v>
      </c>
      <c r="C15" s="5" t="s">
        <v>43</v>
      </c>
      <c r="D15" s="5" t="s">
        <v>44</v>
      </c>
      <c r="E15" s="5" t="s">
        <v>51</v>
      </c>
      <c r="F15" s="6">
        <v>8889.0</v>
      </c>
      <c r="G15" s="7"/>
      <c r="H15" s="7"/>
      <c r="I15" s="8">
        <v>8.89</v>
      </c>
      <c r="J15" s="7"/>
      <c r="K15" s="9" t="str">
        <f t="shared" si="1"/>
        <v>Ikatumo 8.89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ht="22.5" customHeight="1">
      <c r="A16" s="10">
        <f t="shared" si="2"/>
        <v>15</v>
      </c>
      <c r="B16" s="5" t="s">
        <v>52</v>
      </c>
      <c r="C16" s="5" t="s">
        <v>53</v>
      </c>
      <c r="D16" s="5" t="s">
        <v>35</v>
      </c>
      <c r="E16" s="5" t="s">
        <v>49</v>
      </c>
      <c r="F16" s="6">
        <v>8635.0</v>
      </c>
      <c r="G16" s="7"/>
      <c r="H16" s="7"/>
      <c r="I16" s="8">
        <v>8.64</v>
      </c>
      <c r="J16" s="7"/>
      <c r="K16" s="9" t="str">
        <f t="shared" si="1"/>
        <v>Walfrei 8.64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ht="22.5" customHeight="1">
      <c r="A17" s="10">
        <f t="shared" si="2"/>
        <v>16</v>
      </c>
      <c r="B17" s="5" t="s">
        <v>54</v>
      </c>
      <c r="C17" s="5" t="s">
        <v>55</v>
      </c>
      <c r="D17" s="5" t="s">
        <v>30</v>
      </c>
      <c r="E17" s="5" t="s">
        <v>31</v>
      </c>
      <c r="F17" s="6">
        <v>8078.0</v>
      </c>
      <c r="G17" s="7"/>
      <c r="H17" s="7"/>
      <c r="I17" s="8">
        <v>8.08</v>
      </c>
      <c r="J17" s="7"/>
      <c r="K17" s="9" t="str">
        <f t="shared" si="1"/>
        <v>Lutur 8.08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22.5" customHeight="1">
      <c r="A18" s="10">
        <f t="shared" si="2"/>
        <v>17</v>
      </c>
      <c r="B18" s="5" t="s">
        <v>56</v>
      </c>
      <c r="C18" s="5" t="s">
        <v>57</v>
      </c>
      <c r="D18" s="5" t="s">
        <v>14</v>
      </c>
      <c r="E18" s="5" t="s">
        <v>41</v>
      </c>
      <c r="F18" s="6">
        <v>8064.0</v>
      </c>
      <c r="G18" s="7"/>
      <c r="H18" s="7"/>
      <c r="I18" s="8">
        <v>8.06</v>
      </c>
      <c r="J18" s="7"/>
      <c r="K18" s="9" t="str">
        <f t="shared" si="1"/>
        <v>Batikolo 8.06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22.5" customHeight="1">
      <c r="A19" s="10">
        <f t="shared" si="2"/>
        <v>18</v>
      </c>
      <c r="B19" s="5" t="s">
        <v>58</v>
      </c>
      <c r="C19" s="5" t="s">
        <v>25</v>
      </c>
      <c r="D19" s="5" t="s">
        <v>30</v>
      </c>
      <c r="E19" s="5" t="s">
        <v>59</v>
      </c>
      <c r="F19" s="6">
        <v>7494.0</v>
      </c>
      <c r="G19" s="7"/>
      <c r="H19" s="7"/>
      <c r="I19" s="8">
        <v>7.49</v>
      </c>
      <c r="J19" s="7"/>
      <c r="K19" s="9" t="str">
        <f t="shared" si="1"/>
        <v>Alubri City 7.49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22.5" customHeight="1">
      <c r="A20" s="10">
        <f t="shared" si="2"/>
        <v>19</v>
      </c>
      <c r="B20" s="5" t="s">
        <v>60</v>
      </c>
      <c r="C20" s="5" t="s">
        <v>61</v>
      </c>
      <c r="D20" s="5" t="s">
        <v>62</v>
      </c>
      <c r="E20" s="5" t="s">
        <v>63</v>
      </c>
      <c r="F20" s="6">
        <v>7209.0</v>
      </c>
      <c r="G20" s="7"/>
      <c r="H20" s="7"/>
      <c r="I20" s="8">
        <v>7.21</v>
      </c>
      <c r="J20" s="7"/>
      <c r="K20" s="9" t="str">
        <f t="shared" si="1"/>
        <v>Zornak 7.21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22.5" customHeight="1">
      <c r="A21" s="10">
        <f t="shared" si="2"/>
        <v>20</v>
      </c>
      <c r="B21" s="5" t="s">
        <v>64</v>
      </c>
      <c r="C21" s="5" t="s">
        <v>65</v>
      </c>
      <c r="D21" s="5" t="s">
        <v>66</v>
      </c>
      <c r="E21" s="5" t="s">
        <v>67</v>
      </c>
      <c r="F21" s="6">
        <v>6215.0</v>
      </c>
      <c r="G21" s="7"/>
      <c r="H21" s="7"/>
      <c r="I21" s="8">
        <v>6.22</v>
      </c>
      <c r="J21" s="7"/>
      <c r="K21" s="9" t="str">
        <f t="shared" si="1"/>
        <v>Sarwun 6.22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22.5" customHeight="1">
      <c r="A22" s="10">
        <f t="shared" si="2"/>
        <v>21</v>
      </c>
      <c r="B22" s="5" t="s">
        <v>68</v>
      </c>
      <c r="C22" s="5" t="s">
        <v>69</v>
      </c>
      <c r="D22" s="5" t="s">
        <v>10</v>
      </c>
      <c r="E22" s="5" t="s">
        <v>70</v>
      </c>
      <c r="F22" s="6">
        <v>6115.0</v>
      </c>
      <c r="G22" s="7"/>
      <c r="H22" s="7"/>
      <c r="I22" s="8">
        <v>6.12</v>
      </c>
      <c r="J22" s="7"/>
      <c r="K22" s="9" t="str">
        <f t="shared" si="1"/>
        <v>Varnan 6.12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22.5" customHeight="1">
      <c r="A23" s="10">
        <f t="shared" si="2"/>
        <v>22</v>
      </c>
      <c r="B23" s="5" t="s">
        <v>71</v>
      </c>
      <c r="C23" s="5" t="s">
        <v>25</v>
      </c>
      <c r="D23" s="5" t="s">
        <v>26</v>
      </c>
      <c r="E23" s="5" t="s">
        <v>72</v>
      </c>
      <c r="F23" s="6">
        <v>6046.0</v>
      </c>
      <c r="G23" s="7"/>
      <c r="H23" s="7"/>
      <c r="I23" s="8">
        <v>6.05</v>
      </c>
      <c r="J23" s="7"/>
      <c r="K23" s="9" t="str">
        <f t="shared" si="1"/>
        <v>Chishanov 6.05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22.5" customHeight="1">
      <c r="A24" s="10">
        <f t="shared" si="2"/>
        <v>23</v>
      </c>
      <c r="B24" s="5" t="s">
        <v>73</v>
      </c>
      <c r="C24" s="5" t="s">
        <v>74</v>
      </c>
      <c r="D24" s="5" t="s">
        <v>48</v>
      </c>
      <c r="E24" s="5" t="s">
        <v>49</v>
      </c>
      <c r="F24" s="6">
        <v>5946.0</v>
      </c>
      <c r="G24" s="7"/>
      <c r="H24" s="7"/>
      <c r="I24" s="8">
        <v>5.95</v>
      </c>
      <c r="J24" s="7"/>
      <c r="K24" s="9" t="str">
        <f t="shared" si="1"/>
        <v>Tosakaa 5.95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22.5" customHeight="1">
      <c r="A25" s="10">
        <f t="shared" si="2"/>
        <v>24</v>
      </c>
      <c r="B25" s="5" t="s">
        <v>75</v>
      </c>
      <c r="C25" s="5" t="s">
        <v>76</v>
      </c>
      <c r="D25" s="5" t="s">
        <v>26</v>
      </c>
      <c r="E25" s="5" t="s">
        <v>77</v>
      </c>
      <c r="F25" s="6">
        <v>5530.0</v>
      </c>
      <c r="G25" s="7"/>
      <c r="H25" s="7"/>
      <c r="I25" s="8">
        <v>5.53</v>
      </c>
      <c r="J25" s="7"/>
      <c r="K25" s="9" t="str">
        <f t="shared" si="1"/>
        <v>Paviri 5.53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22.5" customHeight="1">
      <c r="A26" s="10">
        <f t="shared" si="2"/>
        <v>25</v>
      </c>
      <c r="B26" s="5" t="s">
        <v>78</v>
      </c>
      <c r="C26" s="5" t="s">
        <v>79</v>
      </c>
      <c r="D26" s="5" t="s">
        <v>80</v>
      </c>
      <c r="E26" s="5" t="s">
        <v>81</v>
      </c>
      <c r="F26" s="6">
        <v>5259.0</v>
      </c>
      <c r="G26" s="7"/>
      <c r="H26" s="7"/>
      <c r="I26" s="11">
        <v>5.26</v>
      </c>
      <c r="J26" s="7"/>
      <c r="K26" s="9" t="str">
        <f t="shared" si="1"/>
        <v>Ralut 5.26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22.5" customHeight="1">
      <c r="A27" s="10">
        <f t="shared" si="2"/>
        <v>26</v>
      </c>
      <c r="B27" s="5" t="s">
        <v>82</v>
      </c>
      <c r="C27" s="5" t="s">
        <v>17</v>
      </c>
      <c r="D27" s="5" t="s">
        <v>18</v>
      </c>
      <c r="E27" s="5" t="s">
        <v>83</v>
      </c>
      <c r="F27" s="6">
        <v>4892.0</v>
      </c>
      <c r="G27" s="7"/>
      <c r="H27" s="7"/>
      <c r="I27" s="8">
        <v>4.89</v>
      </c>
      <c r="J27" s="7"/>
      <c r="K27" s="9" t="str">
        <f t="shared" si="1"/>
        <v>Zunle 4.89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ht="22.5" customHeight="1">
      <c r="A28" s="10">
        <f t="shared" si="2"/>
        <v>27</v>
      </c>
      <c r="B28" s="5" t="s">
        <v>84</v>
      </c>
      <c r="C28" s="5" t="s">
        <v>85</v>
      </c>
      <c r="D28" s="5" t="s">
        <v>86</v>
      </c>
      <c r="E28" s="5" t="s">
        <v>87</v>
      </c>
      <c r="F28" s="6">
        <v>4738.0</v>
      </c>
      <c r="G28" s="7"/>
      <c r="H28" s="7"/>
      <c r="I28" s="8">
        <v>4.74</v>
      </c>
      <c r="J28" s="7"/>
      <c r="K28" s="9" t="str">
        <f t="shared" si="1"/>
        <v>Mihkose 4.74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22.5" customHeight="1">
      <c r="A29" s="10">
        <f t="shared" si="2"/>
        <v>28</v>
      </c>
      <c r="B29" s="5" t="s">
        <v>88</v>
      </c>
      <c r="C29" s="5" t="s">
        <v>89</v>
      </c>
      <c r="D29" s="5" t="s">
        <v>90</v>
      </c>
      <c r="E29" s="5" t="s">
        <v>91</v>
      </c>
      <c r="F29" s="6">
        <v>4470.0</v>
      </c>
      <c r="G29" s="7"/>
      <c r="H29" s="7"/>
      <c r="I29" s="8">
        <v>4.47</v>
      </c>
      <c r="J29" s="7"/>
      <c r="K29" s="9" t="str">
        <f t="shared" si="1"/>
        <v>Roviri 4.47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22.5" customHeight="1">
      <c r="A30" s="10">
        <f t="shared" si="2"/>
        <v>29</v>
      </c>
      <c r="B30" s="10" t="s">
        <v>92</v>
      </c>
      <c r="C30" s="10" t="s">
        <v>9</v>
      </c>
      <c r="D30" s="10" t="s">
        <v>10</v>
      </c>
      <c r="E30" s="10" t="s">
        <v>23</v>
      </c>
      <c r="F30" s="12">
        <v>4259.0</v>
      </c>
      <c r="G30" s="7"/>
      <c r="H30" s="7"/>
      <c r="I30" s="8">
        <v>4.26</v>
      </c>
      <c r="J30" s="7"/>
      <c r="K30" s="9" t="str">
        <f t="shared" si="1"/>
        <v>Tarnokh 4.26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22.5" customHeight="1">
      <c r="A31" s="10">
        <f t="shared" si="2"/>
        <v>30</v>
      </c>
      <c r="B31" s="5" t="s">
        <v>93</v>
      </c>
      <c r="C31" s="5" t="s">
        <v>94</v>
      </c>
      <c r="D31" s="5" t="s">
        <v>30</v>
      </c>
      <c r="E31" s="5" t="s">
        <v>31</v>
      </c>
      <c r="F31" s="6">
        <v>4235.0</v>
      </c>
      <c r="G31" s="7"/>
      <c r="H31" s="7"/>
      <c r="I31" s="8">
        <v>4.24</v>
      </c>
      <c r="J31" s="7"/>
      <c r="K31" s="9" t="str">
        <f t="shared" si="1"/>
        <v>Treka 4.24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22.5" customHeight="1">
      <c r="A32" s="10">
        <f t="shared" si="2"/>
        <v>31</v>
      </c>
      <c r="B32" s="5" t="s">
        <v>95</v>
      </c>
      <c r="C32" s="5" t="s">
        <v>96</v>
      </c>
      <c r="D32" s="5" t="s">
        <v>97</v>
      </c>
      <c r="E32" s="5" t="s">
        <v>98</v>
      </c>
      <c r="F32" s="6">
        <v>4131.0</v>
      </c>
      <c r="G32" s="7"/>
      <c r="H32" s="7"/>
      <c r="I32" s="8">
        <v>4.13</v>
      </c>
      <c r="J32" s="7"/>
      <c r="K32" s="9" t="str">
        <f t="shared" si="1"/>
        <v>Kiasri 4.13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22.5" customHeight="1">
      <c r="A33" s="10">
        <f t="shared" si="2"/>
        <v>32</v>
      </c>
      <c r="B33" s="5" t="s">
        <v>99</v>
      </c>
      <c r="C33" s="5" t="s">
        <v>99</v>
      </c>
      <c r="D33" s="5" t="s">
        <v>14</v>
      </c>
      <c r="E33" s="5" t="s">
        <v>100</v>
      </c>
      <c r="F33" s="6">
        <v>4071.0</v>
      </c>
      <c r="G33" s="7"/>
      <c r="H33" s="7"/>
      <c r="I33" s="8">
        <v>4.07</v>
      </c>
      <c r="J33" s="7"/>
      <c r="K33" s="9" t="str">
        <f t="shared" si="1"/>
        <v>Pha Hii 4.07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22.5" customHeight="1">
      <c r="A34" s="10">
        <f t="shared" si="2"/>
        <v>33</v>
      </c>
      <c r="B34" s="5" t="s">
        <v>101</v>
      </c>
      <c r="C34" s="5" t="s">
        <v>102</v>
      </c>
      <c r="D34" s="5" t="s">
        <v>97</v>
      </c>
      <c r="E34" s="5" t="s">
        <v>23</v>
      </c>
      <c r="F34" s="6">
        <v>3996.0</v>
      </c>
      <c r="G34" s="7"/>
      <c r="H34" s="7"/>
      <c r="I34" s="8">
        <v>4.0</v>
      </c>
      <c r="J34" s="7"/>
      <c r="K34" s="9" t="str">
        <f t="shared" si="1"/>
        <v>Hikrum 4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22.5" customHeight="1">
      <c r="A35" s="10">
        <f t="shared" si="2"/>
        <v>34</v>
      </c>
      <c r="B35" s="5" t="s">
        <v>103</v>
      </c>
      <c r="C35" s="5" t="s">
        <v>13</v>
      </c>
      <c r="D35" s="5" t="s">
        <v>14</v>
      </c>
      <c r="E35" s="5" t="s">
        <v>15</v>
      </c>
      <c r="F35" s="6">
        <v>3707.0</v>
      </c>
      <c r="G35" s="7"/>
      <c r="H35" s="7"/>
      <c r="I35" s="8">
        <v>3.71</v>
      </c>
      <c r="J35" s="7"/>
      <c r="K35" s="9" t="str">
        <f t="shared" si="1"/>
        <v>Wekhalu 3.71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22.5" customHeight="1">
      <c r="A36" s="10">
        <f t="shared" si="2"/>
        <v>35</v>
      </c>
      <c r="B36" s="5" t="s">
        <v>104</v>
      </c>
      <c r="C36" s="5" t="s">
        <v>105</v>
      </c>
      <c r="D36" s="5" t="s">
        <v>80</v>
      </c>
      <c r="E36" s="5" t="s">
        <v>106</v>
      </c>
      <c r="F36" s="6">
        <v>3496.0</v>
      </c>
      <c r="G36" s="7"/>
      <c r="H36" s="7"/>
      <c r="I36" s="13">
        <v>3.5</v>
      </c>
      <c r="J36" s="7"/>
      <c r="K36" s="9" t="str">
        <f t="shared" si="1"/>
        <v>Serutha 3.5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22.5" customHeight="1">
      <c r="A37" s="10">
        <f t="shared" si="2"/>
        <v>36</v>
      </c>
      <c r="B37" s="5" t="s">
        <v>107</v>
      </c>
      <c r="C37" s="5" t="s">
        <v>13</v>
      </c>
      <c r="D37" s="5" t="s">
        <v>14</v>
      </c>
      <c r="E37" s="5" t="s">
        <v>21</v>
      </c>
      <c r="F37" s="6">
        <v>3368.0</v>
      </c>
      <c r="G37" s="7"/>
      <c r="H37" s="7"/>
      <c r="I37" s="8">
        <v>3.37</v>
      </c>
      <c r="J37" s="7"/>
      <c r="K37" s="9" t="str">
        <f t="shared" si="1"/>
        <v>Phinlaza 3.37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22.5" customHeight="1">
      <c r="A38" s="10">
        <f t="shared" si="2"/>
        <v>37</v>
      </c>
      <c r="B38" s="5" t="s">
        <v>108</v>
      </c>
      <c r="C38" s="5" t="s">
        <v>109</v>
      </c>
      <c r="D38" s="5" t="s">
        <v>80</v>
      </c>
      <c r="E38" s="5" t="s">
        <v>110</v>
      </c>
      <c r="F38" s="6">
        <v>3251.0</v>
      </c>
      <c r="G38" s="7"/>
      <c r="H38" s="7"/>
      <c r="I38" s="8">
        <v>3.25</v>
      </c>
      <c r="J38" s="7"/>
      <c r="K38" s="9" t="str">
        <f t="shared" si="1"/>
        <v>Port Sarlda 3.25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ht="22.5" customHeight="1">
      <c r="A39" s="10">
        <f t="shared" si="2"/>
        <v>38</v>
      </c>
      <c r="B39" s="5" t="s">
        <v>111</v>
      </c>
      <c r="C39" s="5" t="s">
        <v>102</v>
      </c>
      <c r="D39" s="5" t="s">
        <v>97</v>
      </c>
      <c r="E39" s="5" t="s">
        <v>110</v>
      </c>
      <c r="F39" s="6">
        <v>3050.0</v>
      </c>
      <c r="G39" s="7"/>
      <c r="H39" s="7"/>
      <c r="I39" s="11">
        <v>3.05</v>
      </c>
      <c r="J39" s="7"/>
      <c r="K39" s="9" t="str">
        <f t="shared" si="1"/>
        <v>Horika 3.05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22.5" customHeight="1">
      <c r="A40" s="10">
        <f t="shared" si="2"/>
        <v>39</v>
      </c>
      <c r="B40" s="5" t="s">
        <v>112</v>
      </c>
      <c r="C40" s="5" t="s">
        <v>113</v>
      </c>
      <c r="D40" s="5" t="s">
        <v>14</v>
      </c>
      <c r="E40" s="5" t="s">
        <v>21</v>
      </c>
      <c r="F40" s="6">
        <v>2966.0</v>
      </c>
      <c r="G40" s="7"/>
      <c r="H40" s="7"/>
      <c r="I40" s="11">
        <v>2.97</v>
      </c>
      <c r="J40" s="7"/>
      <c r="K40" s="9" t="str">
        <f t="shared" si="1"/>
        <v>Weregami 2.97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22.5" customHeight="1">
      <c r="A41" s="10">
        <f t="shared" si="2"/>
        <v>40</v>
      </c>
      <c r="B41" s="5" t="s">
        <v>114</v>
      </c>
      <c r="C41" s="5" t="s">
        <v>115</v>
      </c>
      <c r="D41" s="5" t="s">
        <v>80</v>
      </c>
      <c r="E41" s="5" t="s">
        <v>116</v>
      </c>
      <c r="F41" s="6">
        <v>2961.0</v>
      </c>
      <c r="G41" s="7"/>
      <c r="H41" s="7"/>
      <c r="I41" s="11">
        <v>2.96</v>
      </c>
      <c r="J41" s="7"/>
      <c r="K41" s="9" t="str">
        <f t="shared" si="1"/>
        <v>Ribash 2.96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22.5" customHeight="1">
      <c r="A42" s="10">
        <f t="shared" si="2"/>
        <v>41</v>
      </c>
      <c r="B42" s="5" t="s">
        <v>117</v>
      </c>
      <c r="C42" s="5" t="s">
        <v>118</v>
      </c>
      <c r="D42" s="5" t="s">
        <v>119</v>
      </c>
      <c r="E42" s="5" t="s">
        <v>120</v>
      </c>
      <c r="F42" s="6">
        <v>2731.0</v>
      </c>
      <c r="G42" s="7"/>
      <c r="H42" s="7"/>
      <c r="I42" s="11">
        <v>2.73</v>
      </c>
      <c r="J42" s="7"/>
      <c r="K42" s="9" t="str">
        <f t="shared" si="1"/>
        <v>Sombritaji 2.73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22.5" customHeight="1">
      <c r="A43" s="10">
        <f t="shared" si="2"/>
        <v>42</v>
      </c>
      <c r="B43" s="5" t="s">
        <v>121</v>
      </c>
      <c r="C43" s="5" t="s">
        <v>122</v>
      </c>
      <c r="D43" s="5" t="s">
        <v>119</v>
      </c>
      <c r="E43" s="5" t="s">
        <v>72</v>
      </c>
      <c r="F43" s="6">
        <v>2713.0</v>
      </c>
      <c r="G43" s="7"/>
      <c r="H43" s="7"/>
      <c r="I43" s="11">
        <v>2.71</v>
      </c>
      <c r="J43" s="7"/>
      <c r="K43" s="9" t="str">
        <f t="shared" si="1"/>
        <v>Maranthulo 2.71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22.5" customHeight="1">
      <c r="A44" s="10">
        <f t="shared" si="2"/>
        <v>43</v>
      </c>
      <c r="B44" s="5" t="s">
        <v>123</v>
      </c>
      <c r="C44" s="5" t="s">
        <v>13</v>
      </c>
      <c r="D44" s="5" t="s">
        <v>14</v>
      </c>
      <c r="E44" s="5" t="s">
        <v>124</v>
      </c>
      <c r="F44" s="6">
        <v>2703.0</v>
      </c>
      <c r="G44" s="7"/>
      <c r="H44" s="7"/>
      <c r="I44" s="11">
        <v>2.7</v>
      </c>
      <c r="J44" s="7"/>
      <c r="K44" s="9" t="str">
        <f t="shared" si="1"/>
        <v>Qinliya 2.7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22.5" customHeight="1">
      <c r="A45" s="10">
        <f t="shared" si="2"/>
        <v>44</v>
      </c>
      <c r="B45" s="5" t="s">
        <v>125</v>
      </c>
      <c r="C45" s="5" t="s">
        <v>118</v>
      </c>
      <c r="D45" s="5" t="s">
        <v>119</v>
      </c>
      <c r="E45" s="5" t="s">
        <v>72</v>
      </c>
      <c r="F45" s="6">
        <v>2701.0</v>
      </c>
      <c r="G45" s="7"/>
      <c r="H45" s="7"/>
      <c r="I45" s="11">
        <v>2.7</v>
      </c>
      <c r="J45" s="7"/>
      <c r="K45" s="9" t="str">
        <f t="shared" si="1"/>
        <v>Vintamar 2.7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22.5" customHeight="1">
      <c r="A46" s="10">
        <f t="shared" si="2"/>
        <v>45</v>
      </c>
      <c r="B46" s="5" t="s">
        <v>126</v>
      </c>
      <c r="C46" s="5" t="s">
        <v>118</v>
      </c>
      <c r="D46" s="5" t="s">
        <v>119</v>
      </c>
      <c r="E46" s="5" t="s">
        <v>120</v>
      </c>
      <c r="F46" s="6">
        <v>2669.0</v>
      </c>
      <c r="G46" s="7"/>
      <c r="H46" s="7"/>
      <c r="I46" s="11">
        <v>2.67</v>
      </c>
      <c r="J46" s="7"/>
      <c r="K46" s="9" t="str">
        <f t="shared" si="1"/>
        <v>Tarakenda 2.67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22.5" customHeight="1">
      <c r="A47" s="10">
        <f t="shared" si="2"/>
        <v>46</v>
      </c>
      <c r="B47" s="5" t="s">
        <v>127</v>
      </c>
      <c r="C47" s="14" t="s">
        <v>9</v>
      </c>
      <c r="D47" s="5" t="s">
        <v>10</v>
      </c>
      <c r="E47" s="5" t="s">
        <v>23</v>
      </c>
      <c r="F47" s="6">
        <v>2655.0</v>
      </c>
      <c r="G47" s="7"/>
      <c r="H47" s="7"/>
      <c r="I47" s="11">
        <v>2.66</v>
      </c>
      <c r="J47" s="7"/>
      <c r="K47" s="9" t="str">
        <f t="shared" si="1"/>
        <v>Rivik 2.66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22.5" customHeight="1">
      <c r="A48" s="10">
        <f t="shared" si="2"/>
        <v>47</v>
      </c>
      <c r="B48" s="5" t="s">
        <v>128</v>
      </c>
      <c r="C48" s="5" t="s">
        <v>129</v>
      </c>
      <c r="D48" s="5" t="s">
        <v>26</v>
      </c>
      <c r="E48" s="5" t="s">
        <v>130</v>
      </c>
      <c r="F48" s="6">
        <v>2587.0</v>
      </c>
      <c r="G48" s="7"/>
      <c r="H48" s="7"/>
      <c r="I48" s="11">
        <v>2.59</v>
      </c>
      <c r="J48" s="7"/>
      <c r="K48" s="9" t="str">
        <f t="shared" si="1"/>
        <v>Brimasha 2.59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22.5" customHeight="1">
      <c r="A49" s="10">
        <f t="shared" si="2"/>
        <v>48</v>
      </c>
      <c r="B49" s="5" t="s">
        <v>131</v>
      </c>
      <c r="C49" s="5" t="s">
        <v>132</v>
      </c>
      <c r="D49" s="5" t="s">
        <v>133</v>
      </c>
      <c r="E49" s="5" t="s">
        <v>134</v>
      </c>
      <c r="F49" s="6">
        <v>2549.0</v>
      </c>
      <c r="G49" s="7"/>
      <c r="H49" s="7"/>
      <c r="I49" s="11">
        <v>2.55</v>
      </c>
      <c r="J49" s="7"/>
      <c r="K49" s="9" t="str">
        <f t="shared" si="1"/>
        <v>Lunava 2.55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22.5" customHeight="1">
      <c r="A50" s="10">
        <f t="shared" si="2"/>
        <v>49</v>
      </c>
      <c r="B50" s="5" t="s">
        <v>135</v>
      </c>
      <c r="C50" s="5" t="s">
        <v>43</v>
      </c>
      <c r="D50" s="5" t="s">
        <v>44</v>
      </c>
      <c r="E50" s="5" t="s">
        <v>51</v>
      </c>
      <c r="F50" s="6">
        <v>2525.0</v>
      </c>
      <c r="G50" s="7"/>
      <c r="H50" s="7"/>
      <c r="I50" s="11">
        <v>2.53</v>
      </c>
      <c r="J50" s="7"/>
      <c r="K50" s="9" t="str">
        <f t="shared" si="1"/>
        <v>Mireli 2.53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24.0" customHeight="1">
      <c r="A51" s="10">
        <f t="shared" si="2"/>
        <v>50</v>
      </c>
      <c r="B51" s="5" t="s">
        <v>136</v>
      </c>
      <c r="C51" s="5" t="s">
        <v>137</v>
      </c>
      <c r="D51" s="5" t="s">
        <v>62</v>
      </c>
      <c r="E51" s="5" t="s">
        <v>63</v>
      </c>
      <c r="F51" s="6">
        <v>2440.0</v>
      </c>
      <c r="G51" s="7"/>
      <c r="H51" s="7"/>
      <c r="I51" s="11">
        <v>2.44</v>
      </c>
      <c r="J51" s="7"/>
      <c r="K51" s="9" t="str">
        <f t="shared" si="1"/>
        <v>Dy 2.44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ht="22.5" customHeight="1">
      <c r="A52" s="10">
        <f t="shared" si="2"/>
        <v>51</v>
      </c>
      <c r="B52" s="5" t="s">
        <v>138</v>
      </c>
      <c r="C52" s="5" t="s">
        <v>43</v>
      </c>
      <c r="D52" s="5" t="s">
        <v>44</v>
      </c>
      <c r="E52" s="5" t="s">
        <v>51</v>
      </c>
      <c r="F52" s="6">
        <v>2304.0</v>
      </c>
      <c r="G52" s="7"/>
      <c r="H52" s="7"/>
      <c r="I52" s="11">
        <v>2.3</v>
      </c>
      <c r="J52" s="7"/>
      <c r="K52" s="9" t="str">
        <f t="shared" si="1"/>
        <v>Zirohu 2.3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ht="22.5" customHeight="1">
      <c r="A53" s="10">
        <f t="shared" si="2"/>
        <v>52</v>
      </c>
      <c r="B53" s="5" t="s">
        <v>139</v>
      </c>
      <c r="C53" s="5" t="s">
        <v>13</v>
      </c>
      <c r="D53" s="5" t="s">
        <v>14</v>
      </c>
      <c r="E53" s="5" t="s">
        <v>21</v>
      </c>
      <c r="F53" s="6">
        <v>2255.0</v>
      </c>
      <c r="G53" s="7"/>
      <c r="H53" s="7"/>
      <c r="I53" s="11">
        <v>2.26</v>
      </c>
      <c r="J53" s="7"/>
      <c r="K53" s="9" t="str">
        <f t="shared" si="1"/>
        <v>Xintali 2.26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ht="22.5" customHeight="1">
      <c r="A54" s="10">
        <f t="shared" si="2"/>
        <v>53</v>
      </c>
      <c r="B54" s="5" t="s">
        <v>140</v>
      </c>
      <c r="C54" s="15" t="s">
        <v>141</v>
      </c>
      <c r="D54" s="5" t="s">
        <v>119</v>
      </c>
      <c r="E54" s="5" t="s">
        <v>142</v>
      </c>
      <c r="F54" s="6">
        <v>2148.0</v>
      </c>
      <c r="G54" s="7"/>
      <c r="H54" s="7"/>
      <c r="I54" s="11">
        <v>2.15</v>
      </c>
      <c r="J54" s="7"/>
      <c r="K54" s="9" t="str">
        <f t="shared" si="1"/>
        <v>Chavira 2.15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ht="22.5" customHeight="1">
      <c r="A55" s="10">
        <f t="shared" si="2"/>
        <v>54</v>
      </c>
      <c r="B55" s="15" t="s">
        <v>143</v>
      </c>
      <c r="C55" s="16" t="s">
        <v>43</v>
      </c>
      <c r="D55" s="15" t="s">
        <v>44</v>
      </c>
      <c r="E55" s="15" t="s">
        <v>51</v>
      </c>
      <c r="F55" s="17">
        <v>2126.0</v>
      </c>
      <c r="G55" s="7"/>
      <c r="H55" s="7"/>
      <c r="I55" s="11">
        <v>2.13</v>
      </c>
      <c r="J55" s="7"/>
      <c r="K55" s="18" t="str">
        <f t="shared" si="1"/>
        <v>Nikahatu 2.13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ht="22.5" customHeight="1">
      <c r="A56" s="10">
        <f t="shared" si="2"/>
        <v>55</v>
      </c>
      <c r="B56" s="15" t="s">
        <v>144</v>
      </c>
      <c r="C56" s="15" t="s">
        <v>96</v>
      </c>
      <c r="D56" s="15" t="s">
        <v>97</v>
      </c>
      <c r="E56" s="15" t="s">
        <v>98</v>
      </c>
      <c r="F56" s="17">
        <v>2120.0</v>
      </c>
      <c r="G56" s="7"/>
      <c r="H56" s="7"/>
      <c r="I56" s="11">
        <v>2.12</v>
      </c>
      <c r="J56" s="7"/>
      <c r="K56" s="18" t="str">
        <f t="shared" si="1"/>
        <v>Tiounala 2.12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ht="22.5" customHeight="1">
      <c r="A57" s="10">
        <f t="shared" si="2"/>
        <v>56</v>
      </c>
      <c r="B57" s="15" t="s">
        <v>145</v>
      </c>
      <c r="C57" s="15" t="s">
        <v>13</v>
      </c>
      <c r="D57" s="15" t="s">
        <v>14</v>
      </c>
      <c r="E57" s="15" t="s">
        <v>15</v>
      </c>
      <c r="F57" s="17">
        <v>2106.0</v>
      </c>
      <c r="G57" s="7"/>
      <c r="H57" s="7"/>
      <c r="I57" s="11">
        <v>2.11</v>
      </c>
      <c r="J57" s="7"/>
      <c r="K57" s="18" t="str">
        <f t="shared" si="1"/>
        <v>Wudao 2.11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ht="22.5" customHeight="1">
      <c r="A58" s="10">
        <f t="shared" si="2"/>
        <v>57</v>
      </c>
      <c r="B58" s="15" t="s">
        <v>146</v>
      </c>
      <c r="C58" s="15" t="s">
        <v>147</v>
      </c>
      <c r="D58" s="15" t="s">
        <v>148</v>
      </c>
      <c r="E58" s="15" t="s">
        <v>110</v>
      </c>
      <c r="F58" s="17">
        <v>2065.0</v>
      </c>
      <c r="G58" s="7"/>
      <c r="H58" s="7"/>
      <c r="I58" s="11">
        <v>2.07</v>
      </c>
      <c r="J58" s="7"/>
      <c r="K58" s="18" t="str">
        <f t="shared" si="1"/>
        <v>Dalsjiv 2.07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ht="22.5" customHeight="1">
      <c r="A59" s="10">
        <f t="shared" si="2"/>
        <v>58</v>
      </c>
      <c r="B59" s="15" t="s">
        <v>149</v>
      </c>
      <c r="C59" s="15" t="s">
        <v>150</v>
      </c>
      <c r="D59" s="15" t="s">
        <v>26</v>
      </c>
      <c r="E59" s="15" t="s">
        <v>130</v>
      </c>
      <c r="F59" s="17">
        <v>2025.0</v>
      </c>
      <c r="G59" s="7"/>
      <c r="H59" s="7"/>
      <c r="I59" s="11">
        <v>2.03</v>
      </c>
      <c r="J59" s="7"/>
      <c r="K59" s="18" t="str">
        <f t="shared" si="1"/>
        <v>Sakhen 2.03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ht="22.5" customHeight="1">
      <c r="A60" s="10">
        <f t="shared" si="2"/>
        <v>59</v>
      </c>
      <c r="B60" s="15" t="s">
        <v>151</v>
      </c>
      <c r="C60" s="15" t="s">
        <v>47</v>
      </c>
      <c r="D60" s="15" t="s">
        <v>48</v>
      </c>
      <c r="E60" s="15" t="s">
        <v>83</v>
      </c>
      <c r="F60" s="17">
        <v>1992.0</v>
      </c>
      <c r="G60" s="7"/>
      <c r="H60" s="7"/>
      <c r="I60" s="11">
        <v>1.99</v>
      </c>
      <c r="J60" s="7"/>
      <c r="K60" s="18" t="str">
        <f t="shared" si="1"/>
        <v>Lunru 1.99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ht="22.5" customHeight="1">
      <c r="A61" s="10">
        <f t="shared" si="2"/>
        <v>60</v>
      </c>
      <c r="B61" s="15" t="s">
        <v>152</v>
      </c>
      <c r="C61" s="15" t="s">
        <v>153</v>
      </c>
      <c r="D61" s="15" t="s">
        <v>14</v>
      </c>
      <c r="E61" s="15" t="s">
        <v>154</v>
      </c>
      <c r="F61" s="17">
        <v>1990.0</v>
      </c>
      <c r="G61" s="7"/>
      <c r="H61" s="7"/>
      <c r="I61" s="11">
        <v>1.99</v>
      </c>
      <c r="J61" s="7"/>
      <c r="K61" s="18" t="str">
        <f t="shared" si="1"/>
        <v>Tukmeba 1.99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</sheetData>
  <dataValidations>
    <dataValidation type="custom" allowBlank="1" showDropDown="1" sqref="I2:I61">
      <formula1>AND(ISNUMBER(I2),(NOT(OR(NOT(ISERROR(DATEVALUE(I2))), AND(ISNUMBER(I2), LEFT(CELL("format", I2))="D")))))</formula1>
    </dataValidation>
  </dataValidations>
  <drawing r:id="rId1"/>
  <tableParts count="3">
    <tablePart r:id="rId5"/>
    <tablePart r:id="rId6"/>
    <tablePart r:id="rId7"/>
  </tableParts>
</worksheet>
</file>