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FLLA World Cup Host Nat" sheetId="1" r:id="rId5"/>
  </sheets>
  <definedNames/>
  <calcPr/>
</workbook>
</file>

<file path=xl/sharedStrings.xml><?xml version="1.0" encoding="utf-8"?>
<sst xmlns="http://schemas.openxmlformats.org/spreadsheetml/2006/main" count="146" uniqueCount="64">
  <si>
    <t>Earth</t>
  </si>
  <si>
    <t>Andah</t>
  </si>
  <si>
    <t>Continent</t>
  </si>
  <si>
    <t>Host</t>
  </si>
  <si>
    <t>Winner</t>
  </si>
  <si>
    <t>Score</t>
  </si>
  <si>
    <t>Runner-up</t>
  </si>
  <si>
    <t>Notes</t>
  </si>
  <si>
    <t>Number of Teams</t>
  </si>
  <si>
    <t>Quia</t>
  </si>
  <si>
    <t>Ahokini+Ashain</t>
  </si>
  <si>
    <t>TBD</t>
  </si>
  <si>
    <t>Mahea</t>
  </si>
  <si>
    <t>Pelugrotoa</t>
  </si>
  <si>
    <t>Massir</t>
  </si>
  <si>
    <t>Sanagara</t>
  </si>
  <si>
    <t>Atirha</t>
  </si>
  <si>
    <t>Raledria</t>
  </si>
  <si>
    <t>Easuhura</t>
  </si>
  <si>
    <t>1-0</t>
  </si>
  <si>
    <t>Emara</t>
  </si>
  <si>
    <t>The Miracle of Rovik</t>
  </si>
  <si>
    <t>Ayuma</t>
  </si>
  <si>
    <t>Ukhdari</t>
  </si>
  <si>
    <t>Verusa</t>
  </si>
  <si>
    <t>Darewa</t>
  </si>
  <si>
    <t>Erkizil+Quidic+Wundry+Ztesh</t>
  </si>
  <si>
    <t>Quidic</t>
  </si>
  <si>
    <t>New Misos</t>
  </si>
  <si>
    <t>First held in Quia</t>
  </si>
  <si>
    <t>New Ayre</t>
  </si>
  <si>
    <t>United Delet</t>
  </si>
  <si>
    <t>Praesyu</t>
  </si>
  <si>
    <t>Praesyu won 5-4 on penalties</t>
  </si>
  <si>
    <t>Seytinemas</t>
  </si>
  <si>
    <t>"Greatest WC in History"</t>
  </si>
  <si>
    <t>Lycroa</t>
  </si>
  <si>
    <t>0-0</t>
  </si>
  <si>
    <t>Lycroa won 3-0 on penalties</t>
  </si>
  <si>
    <t>Expanded to 32 teams</t>
  </si>
  <si>
    <t xml:space="preserve">Raledria </t>
  </si>
  <si>
    <t>Dahe</t>
  </si>
  <si>
    <t>24 teams bought back</t>
  </si>
  <si>
    <t>Taval</t>
  </si>
  <si>
    <t>Reverted to Old format</t>
  </si>
  <si>
    <t>Acrola</t>
  </si>
  <si>
    <t>Areoix Lie</t>
  </si>
  <si>
    <t>Expanded to 24 teams</t>
  </si>
  <si>
    <t>Etirha</t>
  </si>
  <si>
    <t>4-0</t>
  </si>
  <si>
    <t xml:space="preserve">Easuhura </t>
  </si>
  <si>
    <t xml:space="preserve">Was Estijan, drug scandal </t>
  </si>
  <si>
    <t>Siana</t>
  </si>
  <si>
    <t>Rebranded as the World Cup</t>
  </si>
  <si>
    <t>War</t>
  </si>
  <si>
    <t>-</t>
  </si>
  <si>
    <t>Was planned to be in Raledria</t>
  </si>
  <si>
    <t>Alzuria</t>
  </si>
  <si>
    <t>Eldjo</t>
  </si>
  <si>
    <t>Decided on a coin toss</t>
  </si>
  <si>
    <t>3-0</t>
  </si>
  <si>
    <t>Estijan</t>
  </si>
  <si>
    <t>Cancelled Due to War</t>
  </si>
  <si>
    <t>First Continental Tournament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</si>
</sst>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181A1B"/>
      <name val="Arial"/>
      <scheme val="minor"/>
    </font>
    <font>
      <color theme="1"/>
      <name val="Arial"/>
    </font>
    <font>
      <color rgb="FF434343"/>
      <name val="Roboto"/>
    </font>
    <font>
      <color rgb="FF181A1B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righ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1" fillId="2" fontId="4" numFmtId="164" xfId="0" applyAlignment="1" applyBorder="1" applyFill="1" applyFont="1" applyNumberForma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right" shrinkToFit="0" vertical="center" wrapText="0"/>
    </xf>
    <xf borderId="2" fillId="3" fontId="5" numFmtId="164" xfId="0" applyAlignment="1" applyBorder="1" applyFill="1" applyFont="1" applyNumberFormat="1">
      <alignment horizontal="center" shrinkToFit="0" vertical="center" wrapText="0"/>
    </xf>
    <xf borderId="0" fillId="0" fontId="1" numFmtId="0" xfId="0" applyAlignment="1" applyFont="1">
      <alignment horizontal="left" shrinkToFit="0" vertical="center" wrapText="0"/>
    </xf>
    <xf borderId="1" fillId="2" fontId="5" numFmtId="164" xfId="0" applyAlignment="1" applyBorder="1" applyFont="1" applyNumberFormat="1">
      <alignment horizontal="center" shrinkToFit="0" vertical="center" wrapText="0"/>
    </xf>
    <xf borderId="2" fillId="3" fontId="5" numFmtId="0" xfId="0" applyAlignment="1" applyBorder="1" applyFont="1">
      <alignment horizontal="center" readingOrder="0" shrinkToFit="0" vertical="center" wrapText="0"/>
    </xf>
    <xf borderId="1" fillId="2" fontId="5" numFmtId="0" xfId="0" applyAlignment="1" applyBorder="1" applyFont="1">
      <alignment horizontal="center" readingOrder="0" shrinkToFit="0" vertical="center" wrapText="0"/>
    </xf>
    <xf borderId="2" fillId="3" fontId="5" numFmtId="164" xfId="0" applyAlignment="1" applyBorder="1" applyFont="1" applyNumberFormat="1">
      <alignment horizontal="center" readingOrder="0" shrinkToFit="0" vertical="center" wrapText="0"/>
    </xf>
    <xf borderId="1" fillId="2" fontId="5" numFmtId="164" xfId="0" applyAlignment="1" applyBorder="1" applyFont="1" applyNumberFormat="1">
      <alignment horizontal="center" readingOrder="0" shrinkToFit="0" vertical="center" wrapText="0"/>
    </xf>
    <xf borderId="3" fillId="3" fontId="5" numFmtId="164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ist of FLLA World Cup Host Na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2" displayName="TaList_of_FLLA_World_Cup_Host_Nationsble1" name="TaList_of_FLLA_World_Cup_Host_Nationsble1" id="1">
  <tableColumns count="9">
    <tableColumn name="Earth" id="1"/>
    <tableColumn name="Andah" id="2"/>
    <tableColumn name="Continent" id="3"/>
    <tableColumn name="Host" id="4"/>
    <tableColumn name="Winner" id="5"/>
    <tableColumn name="Score" id="6"/>
    <tableColumn name="Runner-up" id="7"/>
    <tableColumn name="Notes" id="8"/>
    <tableColumn name="Number of Teams" id="9"/>
  </tableColumns>
  <tableStyleInfo name="List of FLLA World Cup Host Na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63"/>
    <col customWidth="1" min="3" max="3" width="13.25"/>
    <col customWidth="1" min="4" max="4" width="12.63"/>
    <col customWidth="1" min="5" max="5" width="11.75"/>
    <col customWidth="1" min="6" max="6" width="2.88"/>
    <col customWidth="1" min="7" max="7" width="14.75"/>
    <col customWidth="1" min="8" max="8" width="22.63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1" t="s">
        <v>7</v>
      </c>
      <c r="I1" s="6" t="s">
        <v>8</v>
      </c>
    </row>
    <row r="2" ht="22.5" customHeight="1">
      <c r="A2" s="7">
        <f t="shared" ref="A2:A32" si="1">SUM(B2+250)</f>
        <v>2026</v>
      </c>
      <c r="B2" s="8">
        <f t="shared" ref="B2:B4" si="2">SUM(B3+4)</f>
        <v>1776</v>
      </c>
      <c r="C2" s="9" t="s">
        <v>9</v>
      </c>
      <c r="D2" s="10" t="s">
        <v>10</v>
      </c>
      <c r="E2" s="11" t="s">
        <v>11</v>
      </c>
      <c r="F2" s="12"/>
      <c r="G2" s="13" t="s">
        <v>11</v>
      </c>
      <c r="H2" s="7"/>
      <c r="I2" s="10">
        <v>32.0</v>
      </c>
    </row>
    <row r="3" ht="22.5" customHeight="1">
      <c r="A3" s="7">
        <f t="shared" si="1"/>
        <v>2022</v>
      </c>
      <c r="B3" s="8">
        <f t="shared" si="2"/>
        <v>1772</v>
      </c>
      <c r="C3" s="9" t="s">
        <v>12</v>
      </c>
      <c r="D3" s="14" t="s">
        <v>13</v>
      </c>
      <c r="E3" s="11" t="s">
        <v>11</v>
      </c>
      <c r="F3" s="12"/>
      <c r="G3" s="13" t="s">
        <v>11</v>
      </c>
      <c r="H3" s="7"/>
      <c r="I3" s="10">
        <v>32.0</v>
      </c>
    </row>
    <row r="4" ht="22.5" customHeight="1">
      <c r="A4" s="7">
        <f t="shared" si="1"/>
        <v>2018</v>
      </c>
      <c r="B4" s="8">
        <f t="shared" si="2"/>
        <v>1768</v>
      </c>
      <c r="C4" s="9" t="s">
        <v>14</v>
      </c>
      <c r="D4" s="10" t="s">
        <v>15</v>
      </c>
      <c r="E4" s="11" t="s">
        <v>11</v>
      </c>
      <c r="F4" s="12"/>
      <c r="G4" s="13" t="s">
        <v>11</v>
      </c>
      <c r="H4" s="7"/>
      <c r="I4" s="10">
        <v>32.0</v>
      </c>
    </row>
    <row r="5" ht="22.5" customHeight="1">
      <c r="A5" s="7">
        <f t="shared" si="1"/>
        <v>2014</v>
      </c>
      <c r="B5" s="10">
        <v>1764.0</v>
      </c>
      <c r="C5" s="9" t="s">
        <v>16</v>
      </c>
      <c r="D5" s="10" t="s">
        <v>17</v>
      </c>
      <c r="E5" s="15" t="s">
        <v>18</v>
      </c>
      <c r="F5" s="10" t="s">
        <v>19</v>
      </c>
      <c r="G5" s="16" t="s">
        <v>20</v>
      </c>
      <c r="H5" s="10" t="s">
        <v>21</v>
      </c>
      <c r="I5" s="10">
        <v>32.0</v>
      </c>
    </row>
    <row r="6" ht="22.5" customHeight="1">
      <c r="A6" s="7">
        <f t="shared" si="1"/>
        <v>2010</v>
      </c>
      <c r="B6" s="8">
        <f t="shared" ref="B6:B32" si="3">sum(B5-4)</f>
        <v>1760</v>
      </c>
      <c r="C6" s="9" t="s">
        <v>22</v>
      </c>
      <c r="D6" s="14" t="s">
        <v>23</v>
      </c>
      <c r="E6" s="15" t="s">
        <v>24</v>
      </c>
      <c r="F6" s="17">
        <v>46054.0</v>
      </c>
      <c r="G6" s="16" t="s">
        <v>25</v>
      </c>
      <c r="H6" s="10"/>
      <c r="I6" s="10">
        <v>32.0</v>
      </c>
    </row>
    <row r="7" ht="22.5" customHeight="1">
      <c r="A7" s="7">
        <f t="shared" si="1"/>
        <v>2006</v>
      </c>
      <c r="B7" s="8">
        <f t="shared" si="3"/>
        <v>1756</v>
      </c>
      <c r="C7" s="9" t="s">
        <v>9</v>
      </c>
      <c r="D7" s="14" t="s">
        <v>26</v>
      </c>
      <c r="E7" s="15" t="s">
        <v>27</v>
      </c>
      <c r="F7" s="10" t="s">
        <v>19</v>
      </c>
      <c r="G7" s="18" t="s">
        <v>28</v>
      </c>
      <c r="H7" s="10" t="s">
        <v>29</v>
      </c>
      <c r="I7" s="10">
        <v>32.0</v>
      </c>
    </row>
    <row r="8" ht="22.5" customHeight="1">
      <c r="A8" s="7">
        <f t="shared" si="1"/>
        <v>2002</v>
      </c>
      <c r="B8" s="8">
        <f t="shared" si="3"/>
        <v>1752</v>
      </c>
      <c r="C8" s="9" t="s">
        <v>30</v>
      </c>
      <c r="D8" s="14" t="s">
        <v>31</v>
      </c>
      <c r="E8" s="19" t="s">
        <v>32</v>
      </c>
      <c r="F8" s="20">
        <v>46023.0</v>
      </c>
      <c r="G8" s="16" t="s">
        <v>24</v>
      </c>
      <c r="H8" s="21" t="s">
        <v>33</v>
      </c>
      <c r="I8" s="10">
        <v>32.0</v>
      </c>
    </row>
    <row r="9" ht="22.5" customHeight="1">
      <c r="A9" s="7">
        <f t="shared" si="1"/>
        <v>1998</v>
      </c>
      <c r="B9" s="8">
        <f t="shared" si="3"/>
        <v>1748</v>
      </c>
      <c r="C9" s="9" t="s">
        <v>16</v>
      </c>
      <c r="D9" s="14" t="s">
        <v>28</v>
      </c>
      <c r="E9" s="19" t="s">
        <v>28</v>
      </c>
      <c r="F9" s="17">
        <v>46115.0</v>
      </c>
      <c r="G9" s="18" t="s">
        <v>34</v>
      </c>
      <c r="H9" s="10" t="s">
        <v>35</v>
      </c>
      <c r="I9" s="10">
        <v>32.0</v>
      </c>
    </row>
    <row r="10" ht="22.5" customHeight="1">
      <c r="A10" s="7">
        <f t="shared" si="1"/>
        <v>1994</v>
      </c>
      <c r="B10" s="8">
        <f t="shared" si="3"/>
        <v>1744</v>
      </c>
      <c r="C10" s="9" t="s">
        <v>22</v>
      </c>
      <c r="D10" s="14" t="s">
        <v>36</v>
      </c>
      <c r="E10" s="19" t="s">
        <v>36</v>
      </c>
      <c r="F10" s="14" t="s">
        <v>37</v>
      </c>
      <c r="G10" s="16" t="s">
        <v>18</v>
      </c>
      <c r="H10" s="21" t="s">
        <v>38</v>
      </c>
      <c r="I10" s="10">
        <v>32.0</v>
      </c>
    </row>
    <row r="11" ht="22.5" customHeight="1">
      <c r="A11" s="7">
        <f t="shared" si="1"/>
        <v>1990</v>
      </c>
      <c r="B11" s="8">
        <f t="shared" si="3"/>
        <v>1740</v>
      </c>
      <c r="C11" s="9" t="s">
        <v>12</v>
      </c>
      <c r="D11" s="14" t="s">
        <v>34</v>
      </c>
      <c r="E11" s="19" t="s">
        <v>28</v>
      </c>
      <c r="F11" s="20">
        <v>46054.0</v>
      </c>
      <c r="G11" s="18" t="s">
        <v>36</v>
      </c>
      <c r="H11" s="10" t="s">
        <v>39</v>
      </c>
      <c r="I11" s="10">
        <v>32.0</v>
      </c>
    </row>
    <row r="12" ht="22.5" customHeight="1">
      <c r="A12" s="7">
        <f t="shared" si="1"/>
        <v>1986</v>
      </c>
      <c r="B12" s="8">
        <f t="shared" si="3"/>
        <v>1736</v>
      </c>
      <c r="C12" s="9" t="s">
        <v>22</v>
      </c>
      <c r="D12" s="14" t="s">
        <v>24</v>
      </c>
      <c r="E12" s="15" t="s">
        <v>40</v>
      </c>
      <c r="F12" s="17">
        <v>46082.0</v>
      </c>
      <c r="G12" s="16" t="s">
        <v>24</v>
      </c>
      <c r="H12" s="7"/>
      <c r="I12" s="10">
        <v>24.0</v>
      </c>
    </row>
    <row r="13" ht="22.5" customHeight="1">
      <c r="A13" s="7">
        <f t="shared" si="1"/>
        <v>1982</v>
      </c>
      <c r="B13" s="8">
        <f t="shared" si="3"/>
        <v>1732</v>
      </c>
      <c r="C13" s="9" t="s">
        <v>14</v>
      </c>
      <c r="D13" s="10" t="s">
        <v>41</v>
      </c>
      <c r="E13" s="19" t="s">
        <v>36</v>
      </c>
      <c r="F13" s="20">
        <v>46055.0</v>
      </c>
      <c r="G13" s="16" t="s">
        <v>20</v>
      </c>
      <c r="H13" s="10" t="s">
        <v>42</v>
      </c>
      <c r="I13" s="10">
        <v>24.0</v>
      </c>
      <c r="K13" s="22"/>
    </row>
    <row r="14" ht="22.5" customHeight="1">
      <c r="A14" s="7">
        <f t="shared" si="1"/>
        <v>1978</v>
      </c>
      <c r="B14" s="8">
        <f t="shared" si="3"/>
        <v>1728</v>
      </c>
      <c r="C14" s="9" t="s">
        <v>22</v>
      </c>
      <c r="D14" s="14" t="s">
        <v>20</v>
      </c>
      <c r="E14" s="15" t="s">
        <v>20</v>
      </c>
      <c r="F14" s="14" t="s">
        <v>19</v>
      </c>
      <c r="G14" s="16" t="s">
        <v>43</v>
      </c>
      <c r="H14" s="10" t="s">
        <v>44</v>
      </c>
      <c r="I14" s="10">
        <v>16.0</v>
      </c>
    </row>
    <row r="15" ht="22.5" customHeight="1">
      <c r="A15" s="7">
        <f t="shared" si="1"/>
        <v>1974</v>
      </c>
      <c r="B15" s="8">
        <f t="shared" si="3"/>
        <v>1724</v>
      </c>
      <c r="C15" s="9" t="s">
        <v>45</v>
      </c>
      <c r="D15" s="14" t="s">
        <v>46</v>
      </c>
      <c r="E15" s="15" t="s">
        <v>24</v>
      </c>
      <c r="F15" s="20">
        <v>46082.0</v>
      </c>
      <c r="G15" s="16" t="s">
        <v>18</v>
      </c>
      <c r="H15" s="10" t="s">
        <v>47</v>
      </c>
      <c r="I15" s="10">
        <v>24.0</v>
      </c>
    </row>
    <row r="16" ht="22.5" customHeight="1">
      <c r="A16" s="7">
        <f t="shared" si="1"/>
        <v>1970</v>
      </c>
      <c r="B16" s="8">
        <f t="shared" si="3"/>
        <v>1720</v>
      </c>
      <c r="C16" s="9" t="s">
        <v>16</v>
      </c>
      <c r="D16" s="14" t="s">
        <v>48</v>
      </c>
      <c r="E16" s="19" t="s">
        <v>32</v>
      </c>
      <c r="F16" s="14" t="s">
        <v>49</v>
      </c>
      <c r="G16" s="18" t="s">
        <v>36</v>
      </c>
      <c r="H16" s="7"/>
      <c r="I16" s="10">
        <v>16.0</v>
      </c>
    </row>
    <row r="17" ht="22.5" customHeight="1">
      <c r="A17" s="7">
        <f t="shared" si="1"/>
        <v>1966</v>
      </c>
      <c r="B17" s="8">
        <f t="shared" si="3"/>
        <v>1716</v>
      </c>
      <c r="C17" s="9" t="s">
        <v>22</v>
      </c>
      <c r="D17" s="14" t="s">
        <v>50</v>
      </c>
      <c r="E17" s="15" t="s">
        <v>40</v>
      </c>
      <c r="F17" s="20">
        <v>46054.0</v>
      </c>
      <c r="G17" s="16" t="s">
        <v>20</v>
      </c>
      <c r="H17" s="14" t="s">
        <v>51</v>
      </c>
      <c r="I17" s="10">
        <v>16.0</v>
      </c>
    </row>
    <row r="18" ht="22.5" customHeight="1">
      <c r="A18" s="7">
        <f t="shared" si="1"/>
        <v>1962</v>
      </c>
      <c r="B18" s="8">
        <f t="shared" si="3"/>
        <v>1712</v>
      </c>
      <c r="C18" s="9" t="s">
        <v>22</v>
      </c>
      <c r="D18" s="14" t="s">
        <v>32</v>
      </c>
      <c r="E18" s="15" t="s">
        <v>40</v>
      </c>
      <c r="F18" s="17">
        <v>46114.0</v>
      </c>
      <c r="G18" s="16" t="s">
        <v>18</v>
      </c>
      <c r="H18" s="7"/>
      <c r="I18" s="10">
        <v>16.0</v>
      </c>
    </row>
    <row r="19" ht="22.5" customHeight="1">
      <c r="A19" s="7">
        <f t="shared" si="1"/>
        <v>1958</v>
      </c>
      <c r="B19" s="8">
        <f t="shared" si="3"/>
        <v>1708</v>
      </c>
      <c r="C19" s="9" t="s">
        <v>30</v>
      </c>
      <c r="D19" s="14" t="s">
        <v>31</v>
      </c>
      <c r="E19" s="19" t="s">
        <v>31</v>
      </c>
      <c r="F19" s="17">
        <v>46082.0</v>
      </c>
      <c r="G19" s="16" t="s">
        <v>40</v>
      </c>
      <c r="H19" s="7"/>
      <c r="I19" s="10">
        <v>16.0</v>
      </c>
    </row>
    <row r="20" ht="22.5" customHeight="1">
      <c r="A20" s="7">
        <f t="shared" si="1"/>
        <v>1954</v>
      </c>
      <c r="B20" s="8">
        <f t="shared" si="3"/>
        <v>1704</v>
      </c>
      <c r="C20" s="9" t="s">
        <v>22</v>
      </c>
      <c r="D20" s="14" t="s">
        <v>20</v>
      </c>
      <c r="E20" s="15" t="s">
        <v>20</v>
      </c>
      <c r="F20" s="17">
        <v>46083.0</v>
      </c>
      <c r="G20" s="16" t="s">
        <v>52</v>
      </c>
      <c r="H20" s="7"/>
      <c r="I20" s="10">
        <v>16.0</v>
      </c>
    </row>
    <row r="21" ht="22.5" customHeight="1">
      <c r="A21" s="7">
        <f t="shared" si="1"/>
        <v>1950</v>
      </c>
      <c r="B21" s="8">
        <f t="shared" si="3"/>
        <v>1700</v>
      </c>
      <c r="C21" s="9" t="s">
        <v>16</v>
      </c>
      <c r="D21" s="10" t="s">
        <v>17</v>
      </c>
      <c r="E21" s="15" t="s">
        <v>40</v>
      </c>
      <c r="F21" s="23">
        <v>46082.0</v>
      </c>
      <c r="G21" s="18" t="s">
        <v>31</v>
      </c>
      <c r="H21" s="10" t="s">
        <v>53</v>
      </c>
      <c r="I21" s="10">
        <v>16.0</v>
      </c>
    </row>
    <row r="22" ht="22.5" customHeight="1">
      <c r="A22" s="7">
        <f t="shared" si="1"/>
        <v>1946</v>
      </c>
      <c r="B22" s="8">
        <f t="shared" si="3"/>
        <v>1696</v>
      </c>
      <c r="C22" s="24"/>
      <c r="D22" s="10" t="s">
        <v>54</v>
      </c>
      <c r="E22" s="25"/>
      <c r="F22" s="26"/>
      <c r="G22" s="27"/>
      <c r="H22" s="10"/>
      <c r="I22" s="10" t="s">
        <v>55</v>
      </c>
    </row>
    <row r="23" ht="22.5" customHeight="1">
      <c r="A23" s="7">
        <f t="shared" si="1"/>
        <v>1942</v>
      </c>
      <c r="B23" s="8">
        <f t="shared" si="3"/>
        <v>1692</v>
      </c>
      <c r="C23" s="24"/>
      <c r="D23" s="10" t="s">
        <v>54</v>
      </c>
      <c r="E23" s="25"/>
      <c r="F23" s="28"/>
      <c r="G23" s="27"/>
      <c r="H23" s="10"/>
      <c r="I23" s="10" t="s">
        <v>55</v>
      </c>
    </row>
    <row r="24" ht="22.5" customHeight="1">
      <c r="A24" s="7">
        <f t="shared" si="1"/>
        <v>1938</v>
      </c>
      <c r="B24" s="8">
        <f t="shared" si="3"/>
        <v>1688</v>
      </c>
      <c r="C24" s="24"/>
      <c r="D24" s="10" t="s">
        <v>54</v>
      </c>
      <c r="E24" s="25"/>
      <c r="F24" s="26"/>
      <c r="G24" s="27"/>
      <c r="H24" s="10" t="s">
        <v>56</v>
      </c>
      <c r="I24" s="10" t="s">
        <v>55</v>
      </c>
    </row>
    <row r="25" ht="22.5" customHeight="1">
      <c r="A25" s="7">
        <f t="shared" si="1"/>
        <v>1934</v>
      </c>
      <c r="B25" s="8">
        <f t="shared" si="3"/>
        <v>1684</v>
      </c>
      <c r="C25" s="9" t="s">
        <v>22</v>
      </c>
      <c r="D25" s="14" t="s">
        <v>57</v>
      </c>
      <c r="E25" s="19" t="s">
        <v>57</v>
      </c>
      <c r="F25" s="28">
        <v>46114.0</v>
      </c>
      <c r="G25" s="16" t="s">
        <v>52</v>
      </c>
      <c r="H25" s="10"/>
      <c r="I25" s="10">
        <v>16.0</v>
      </c>
    </row>
    <row r="26" ht="22.5" customHeight="1">
      <c r="A26" s="7">
        <f t="shared" si="1"/>
        <v>1930</v>
      </c>
      <c r="B26" s="8">
        <f t="shared" si="3"/>
        <v>1680</v>
      </c>
      <c r="C26" s="9" t="s">
        <v>22</v>
      </c>
      <c r="D26" s="14" t="s">
        <v>36</v>
      </c>
      <c r="E26" s="19" t="s">
        <v>36</v>
      </c>
      <c r="F26" s="29" t="s">
        <v>37</v>
      </c>
      <c r="G26" s="16" t="s">
        <v>58</v>
      </c>
      <c r="H26" s="10" t="s">
        <v>59</v>
      </c>
      <c r="I26" s="10">
        <v>13.0</v>
      </c>
    </row>
    <row r="27" ht="22.5" customHeight="1">
      <c r="A27" s="7">
        <f t="shared" si="1"/>
        <v>1926</v>
      </c>
      <c r="B27" s="8">
        <f t="shared" si="3"/>
        <v>1676</v>
      </c>
      <c r="C27" s="9" t="s">
        <v>22</v>
      </c>
      <c r="D27" s="14" t="s">
        <v>32</v>
      </c>
      <c r="E27" s="15" t="s">
        <v>58</v>
      </c>
      <c r="F27" s="30" t="s">
        <v>60</v>
      </c>
      <c r="G27" s="16" t="s">
        <v>20</v>
      </c>
      <c r="H27" s="10"/>
      <c r="I27" s="10">
        <v>12.0</v>
      </c>
    </row>
    <row r="28" ht="22.5" customHeight="1">
      <c r="A28" s="7">
        <f t="shared" si="1"/>
        <v>1922</v>
      </c>
      <c r="B28" s="8">
        <f t="shared" si="3"/>
        <v>1672</v>
      </c>
      <c r="C28" s="9" t="s">
        <v>22</v>
      </c>
      <c r="D28" s="14" t="s">
        <v>20</v>
      </c>
      <c r="E28" s="15" t="s">
        <v>20</v>
      </c>
      <c r="F28" s="31">
        <v>46114.0</v>
      </c>
      <c r="G28" s="18" t="s">
        <v>36</v>
      </c>
      <c r="H28" s="10"/>
      <c r="I28" s="10">
        <v>10.0</v>
      </c>
      <c r="K28" s="22"/>
    </row>
    <row r="29" ht="22.5" customHeight="1">
      <c r="A29" s="7">
        <f t="shared" si="1"/>
        <v>1918</v>
      </c>
      <c r="B29" s="8">
        <f t="shared" si="3"/>
        <v>1668</v>
      </c>
      <c r="C29" s="9" t="s">
        <v>22</v>
      </c>
      <c r="D29" s="10" t="s">
        <v>58</v>
      </c>
      <c r="E29" s="19" t="s">
        <v>36</v>
      </c>
      <c r="F29" s="28">
        <v>46054.0</v>
      </c>
      <c r="G29" s="16" t="s">
        <v>61</v>
      </c>
      <c r="H29" s="10"/>
      <c r="I29" s="10">
        <v>12.0</v>
      </c>
    </row>
    <row r="30" ht="22.5" customHeight="1">
      <c r="A30" s="7">
        <f t="shared" si="1"/>
        <v>1914</v>
      </c>
      <c r="B30" s="8">
        <f t="shared" si="3"/>
        <v>1664</v>
      </c>
      <c r="C30" s="24"/>
      <c r="D30" s="10" t="s">
        <v>54</v>
      </c>
      <c r="E30" s="25"/>
      <c r="F30" s="26"/>
      <c r="G30" s="27"/>
      <c r="H30" s="10" t="s">
        <v>62</v>
      </c>
      <c r="I30" s="10">
        <v>9.0</v>
      </c>
    </row>
    <row r="31" ht="22.5" customHeight="1">
      <c r="A31" s="7">
        <f t="shared" si="1"/>
        <v>1910</v>
      </c>
      <c r="B31" s="8">
        <f t="shared" si="3"/>
        <v>1660</v>
      </c>
      <c r="C31" s="9" t="s">
        <v>22</v>
      </c>
      <c r="D31" s="14" t="s">
        <v>50</v>
      </c>
      <c r="E31" s="19" t="s">
        <v>36</v>
      </c>
      <c r="F31" s="32">
        <v>46174.0</v>
      </c>
      <c r="G31" s="16" t="s">
        <v>20</v>
      </c>
      <c r="H31" s="10"/>
      <c r="I31" s="10">
        <v>8.0</v>
      </c>
      <c r="K31" s="22"/>
    </row>
    <row r="32" ht="22.5" customHeight="1">
      <c r="A32" s="7">
        <f t="shared" si="1"/>
        <v>1906</v>
      </c>
      <c r="B32" s="8">
        <f t="shared" si="3"/>
        <v>1656</v>
      </c>
      <c r="C32" s="9" t="s">
        <v>22</v>
      </c>
      <c r="D32" s="14" t="s">
        <v>52</v>
      </c>
      <c r="E32" s="15" t="s">
        <v>61</v>
      </c>
      <c r="F32" s="33">
        <v>46114.0</v>
      </c>
      <c r="G32" s="16" t="s">
        <v>58</v>
      </c>
      <c r="H32" s="10" t="s">
        <v>63</v>
      </c>
      <c r="I32" s="10">
        <v>9.0</v>
      </c>
    </row>
  </sheetData>
  <dataValidations>
    <dataValidation type="list" allowBlank="1" sqref="C2:C32">
      <formula1>"Quia,Mahea,Massir,Atirha,Ayuma,New Ayre,Acrola"</formula1>
    </dataValidation>
  </dataValidations>
  <drawing r:id="rId1"/>
  <tableParts count="1">
    <tablePart r:id="rId3"/>
  </tableParts>
</worksheet>
</file>